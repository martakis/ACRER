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Users/georgiosmartakis/Downloads/my_data/ACRER/Wageningen_tables_Excel/"/>
    </mc:Choice>
  </mc:AlternateContent>
  <xr:revisionPtr revIDLastSave="0" documentId="13_ncr:1_{F52B5CD4-E200-3845-8E50-56060FB70E2D}" xr6:coauthVersionLast="40" xr6:coauthVersionMax="40" xr10:uidLastSave="{00000000-0000-0000-0000-000000000000}"/>
  <bookViews>
    <workbookView xWindow="42940" yWindow="-940" windowWidth="32860" windowHeight="21600" xr2:uid="{00000000-000D-0000-FFFF-FFFF00000000}"/>
  </bookViews>
  <sheets>
    <sheet name="crosstab_procedure" sheetId="1" r:id="rId1"/>
    <sheet name="timeMax" sheetId="2" r:id="rId2"/>
    <sheet name="quadprog" sheetId="3" r:id="rId3"/>
    <sheet name="linprog" sheetId="4" r:id="rId4"/>
  </sheets>
  <calcPr calcId="191029"/>
</workbook>
</file>

<file path=xl/calcChain.xml><?xml version="1.0" encoding="utf-8"?>
<calcChain xmlns="http://schemas.openxmlformats.org/spreadsheetml/2006/main">
  <c r="AZ483" i="4" l="1"/>
  <c r="AZ484" i="4" s="1"/>
  <c r="AZ485" i="4" s="1"/>
  <c r="AZ486" i="4" s="1"/>
  <c r="AZ487" i="4" s="1"/>
  <c r="AZ488" i="4" s="1"/>
  <c r="AZ489" i="4" s="1"/>
  <c r="AZ490" i="4" s="1"/>
  <c r="AZ491" i="4" s="1"/>
  <c r="AZ492" i="4" s="1"/>
  <c r="AZ493" i="4" s="1"/>
  <c r="AZ494" i="4" s="1"/>
  <c r="AZ495" i="4" s="1"/>
  <c r="AZ496" i="4" s="1"/>
  <c r="AZ497" i="4" s="1"/>
  <c r="AZ498" i="4" s="1"/>
  <c r="AZ499" i="4" s="1"/>
  <c r="AZ500" i="4" s="1"/>
  <c r="AZ501" i="4" s="1"/>
  <c r="AZ502" i="4" s="1"/>
  <c r="AZ503" i="4" s="1"/>
  <c r="AZ504" i="4" s="1"/>
  <c r="AZ505" i="4" s="1"/>
  <c r="AZ506" i="4" s="1"/>
  <c r="Q212" i="4"/>
  <c r="Q213" i="4" s="1"/>
  <c r="Q214" i="4" s="1"/>
  <c r="Q215" i="4" s="1"/>
  <c r="Q216" i="4" s="1"/>
  <c r="Q217" i="4" s="1"/>
  <c r="EX730" i="3"/>
  <c r="EY730" i="3" s="1"/>
  <c r="EZ730" i="3" s="1"/>
  <c r="FA730" i="3" s="1"/>
  <c r="FB730" i="3" s="1"/>
  <c r="FC730" i="3" s="1"/>
  <c r="C301" i="3"/>
  <c r="C302" i="3" s="1"/>
  <c r="C240" i="3"/>
  <c r="C239" i="3"/>
  <c r="C238" i="3"/>
  <c r="C237" i="3"/>
  <c r="C236" i="3"/>
  <c r="C235" i="3"/>
  <c r="C234" i="3"/>
  <c r="C233" i="3"/>
  <c r="C232" i="3"/>
  <c r="C231" i="3"/>
  <c r="AX202" i="3"/>
  <c r="AX201" i="3"/>
  <c r="AX200" i="3"/>
  <c r="AX199" i="3"/>
  <c r="AX198" i="3"/>
  <c r="AX197" i="3"/>
  <c r="AX196" i="3"/>
  <c r="AX195" i="3"/>
  <c r="AX194" i="3"/>
  <c r="AX193" i="3"/>
  <c r="B92" i="3"/>
  <c r="D91" i="3"/>
  <c r="D90" i="3"/>
  <c r="D89" i="3"/>
  <c r="D88" i="3"/>
  <c r="D87" i="3"/>
  <c r="D86" i="3"/>
  <c r="D85" i="3"/>
  <c r="D84" i="3"/>
  <c r="D83" i="3"/>
  <c r="D82" i="3"/>
  <c r="N12" i="3"/>
  <c r="F11" i="3"/>
  <c r="E11" i="3"/>
  <c r="D11" i="3"/>
  <c r="C11" i="3"/>
  <c r="F10" i="3"/>
  <c r="E10" i="3"/>
  <c r="D10" i="3"/>
  <c r="C10" i="3"/>
  <c r="F9" i="3"/>
  <c r="E9" i="3"/>
  <c r="D9" i="3"/>
  <c r="C9" i="3"/>
  <c r="F8" i="3"/>
  <c r="E8" i="3"/>
  <c r="D8" i="3"/>
  <c r="C8" i="3"/>
  <c r="F7" i="3"/>
  <c r="E7" i="3"/>
  <c r="D7" i="3"/>
  <c r="C7" i="3"/>
  <c r="F6" i="3"/>
  <c r="E6" i="3"/>
  <c r="D6" i="3"/>
  <c r="C6" i="3"/>
  <c r="F5" i="3"/>
  <c r="E5" i="3"/>
  <c r="D5" i="3"/>
  <c r="C5" i="3"/>
  <c r="F4" i="3"/>
  <c r="E4" i="3"/>
  <c r="D4" i="3"/>
  <c r="C4" i="3"/>
  <c r="F3" i="3"/>
  <c r="E3" i="3"/>
  <c r="D3" i="3"/>
  <c r="C3" i="3"/>
  <c r="DP73" i="2"/>
  <c r="DO72" i="2"/>
  <c r="DO71" i="2"/>
  <c r="DO70" i="2"/>
  <c r="DO69" i="2"/>
  <c r="DO68" i="2"/>
  <c r="DO67" i="2"/>
  <c r="DO66" i="2"/>
  <c r="DO65" i="2"/>
  <c r="DO73" i="2" s="1"/>
  <c r="DO64" i="2"/>
  <c r="DQ52" i="2"/>
  <c r="AL52" i="2"/>
  <c r="DP51" i="2"/>
  <c r="DP50" i="2"/>
  <c r="DP49" i="2"/>
  <c r="DP48" i="2"/>
  <c r="DP47" i="2"/>
  <c r="DP46" i="2"/>
  <c r="DP45" i="2"/>
  <c r="DP44" i="2"/>
  <c r="DP43" i="2"/>
  <c r="DP42" i="2"/>
  <c r="DP52" i="2" s="1"/>
  <c r="CR32" i="2"/>
  <c r="BT31" i="2"/>
  <c r="BS31" i="2"/>
  <c r="BR31" i="2"/>
  <c r="BU31" i="2" s="1"/>
  <c r="BU30" i="2"/>
  <c r="BU29" i="2"/>
  <c r="BU28" i="2"/>
  <c r="BU27" i="2"/>
  <c r="BU26" i="2"/>
  <c r="BU25" i="2"/>
  <c r="BU24" i="2"/>
  <c r="BU23" i="2"/>
  <c r="BU22" i="2"/>
  <c r="F16" i="2"/>
  <c r="CD15" i="2"/>
  <c r="CT12" i="2"/>
  <c r="AD5" i="2"/>
  <c r="AD6" i="2" s="1"/>
  <c r="AD7" i="2" s="1"/>
  <c r="AD8" i="2" s="1"/>
  <c r="AD9" i="2" s="1"/>
  <c r="AD10" i="2" s="1"/>
  <c r="AD11" i="2" s="1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AD38" i="2" s="1"/>
  <c r="AD39" i="2" s="1"/>
  <c r="AD40" i="2" s="1"/>
  <c r="AD41" i="2" s="1"/>
  <c r="AD42" i="2" s="1"/>
  <c r="AD43" i="2" s="1"/>
  <c r="AD44" i="2" s="1"/>
  <c r="AD45" i="2" s="1"/>
  <c r="AD46" i="2" s="1"/>
  <c r="AD47" i="2" s="1"/>
  <c r="AD48" i="2" s="1"/>
  <c r="AD49" i="2" s="1"/>
  <c r="AD50" i="2" s="1"/>
  <c r="AD51" i="2" s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BG43" i="1"/>
  <c r="BG42" i="1"/>
  <c r="BH38" i="1"/>
  <c r="BG38" i="1"/>
  <c r="C317" i="3" l="1"/>
  <c r="D317" i="3" s="1"/>
  <c r="C313" i="3"/>
  <c r="D313" i="3" s="1"/>
  <c r="C316" i="3"/>
  <c r="D316" i="3" s="1"/>
  <c r="C312" i="3"/>
  <c r="D312" i="3" s="1"/>
  <c r="C314" i="3"/>
  <c r="D314" i="3" s="1"/>
  <c r="C310" i="3"/>
  <c r="D310" i="3" s="1"/>
  <c r="C319" i="3"/>
  <c r="D319" i="3" s="1"/>
  <c r="C315" i="3"/>
  <c r="D315" i="3" s="1"/>
  <c r="C311" i="3"/>
  <c r="D311" i="3" s="1"/>
  <c r="C318" i="3"/>
  <c r="D318" i="3" s="1"/>
</calcChain>
</file>

<file path=xl/sharedStrings.xml><?xml version="1.0" encoding="utf-8"?>
<sst xmlns="http://schemas.openxmlformats.org/spreadsheetml/2006/main" count="1190" uniqueCount="323">
  <si>
    <t>data: (1137 x 4)</t>
  </si>
  <si>
    <t>(1)</t>
  </si>
  <si>
    <t>(2)</t>
  </si>
  <si>
    <t>cdata &lt;- data %&gt;% group_by(RecrID, activity_pattern, Time_segment) %&gt;% summarise(Counts_transport_type_ID = n())</t>
  </si>
  <si>
    <t>combinaties</t>
  </si>
  <si>
    <t>cdata (515 x 5)</t>
  </si>
  <si>
    <t>(6)</t>
  </si>
  <si>
    <t xml:space="preserve">RecrID </t>
  </si>
  <si>
    <t xml:space="preserve"> activity_pattern </t>
  </si>
  <si>
    <t xml:space="preserve"> transport_type_ID </t>
  </si>
  <si>
    <t xml:space="preserve"> Time_segment</t>
  </si>
  <si>
    <t>ActInfo</t>
  </si>
  <si>
    <t>activity_pattern</t>
  </si>
  <si>
    <t>maximum_number_of_times_per_activity</t>
  </si>
  <si>
    <t>totaal</t>
  </si>
  <si>
    <t>zeros</t>
  </si>
  <si>
    <t xml:space="preserve"> Time_segment </t>
  </si>
  <si>
    <t xml:space="preserve"> Counts_transport_type_ID </t>
  </si>
  <si>
    <t xml:space="preserve"> groupsRecr_at</t>
  </si>
  <si>
    <t>(10 x 1)</t>
  </si>
  <si>
    <t>Rmatrix</t>
  </si>
  <si>
    <t>Cmatrix</t>
  </si>
  <si>
    <t>RecrID</t>
  </si>
  <si>
    <t>rows</t>
  </si>
  <si>
    <t>cdata</t>
  </si>
  <si>
    <t>(5)</t>
  </si>
  <si>
    <t xml:space="preserve"> sum_of_rows</t>
  </si>
  <si>
    <t>sum_of_zeos</t>
  </si>
  <si>
    <t>%GROUPBY  Group by Query on data matrices</t>
  </si>
  <si>
    <t>515 x 4</t>
  </si>
  <si>
    <t>%</t>
  </si>
  <si>
    <t>(4)</t>
  </si>
  <si>
    <t>% Syntax</t>
  </si>
  <si>
    <t>%  [Newdata,nObservations]=groupby(Data,GroupByIndices,DataIndices,DataTypes)</t>
  </si>
  <si>
    <t>%  [Newdata,nObservations]=groupby(Data,GroupByIndices,DataIndices)</t>
  </si>
  <si>
    <t>%  [Newdata,nObservations]=groupby(Data,GroupByIndices)</t>
  </si>
  <si>
    <t>%  [Newdata,nObservations]=groupby(Data)</t>
  </si>
  <si>
    <t xml:space="preserve">% Input: </t>
  </si>
  <si>
    <t>%  Data:           Datamatrix with items on rows and variables on columns</t>
  </si>
  <si>
    <t>TimeInfo</t>
  </si>
  <si>
    <t>Time_segment</t>
  </si>
  <si>
    <t>AvgOfnumber_available_per_time_segment</t>
  </si>
  <si>
    <t>%  GroupByIndices: row vector with column indices for data for the group by function</t>
  </si>
  <si>
    <t>(4 x 1)</t>
  </si>
  <si>
    <t>%                   default or empty : first column</t>
  </si>
  <si>
    <t>%  DataIndices:    row vector with column indices for data for output and function</t>
  </si>
  <si>
    <t>(3)</t>
  </si>
  <si>
    <t>%                   default: all columns execpt GroupByIndices</t>
  </si>
  <si>
    <t>%  DataTypes:      row vector with function code for corresponding position in DataIndices</t>
  </si>
  <si>
    <t>%                   NaN are ignored except for counts</t>
  </si>
  <si>
    <t xml:space="preserve">%                         0: first     </t>
  </si>
  <si>
    <t>The data set (data) is defined by the combinations of the variables:</t>
  </si>
  <si>
    <t xml:space="preserve">%                         1: last  </t>
  </si>
  <si>
    <t>RecrID, activity pattern, Time_segment and transport_type_ID</t>
  </si>
  <si>
    <t>%                         2: minimum</t>
  </si>
  <si>
    <t>The transport_type_ ID variable is not important in the analysis.</t>
  </si>
  <si>
    <t xml:space="preserve">%                         3: maximum </t>
  </si>
  <si>
    <t xml:space="preserve">In the analysis only the unique combinations of the variables: </t>
  </si>
  <si>
    <t>%                         4: mean</t>
  </si>
  <si>
    <t>RecrID, activity_patern and Time_segment are needed.</t>
  </si>
  <si>
    <t>%                         5: counts (NaN are counted)</t>
  </si>
  <si>
    <t>However, the shorter vector used by these three variables</t>
  </si>
  <si>
    <t>%                         6: sum(x^2)</t>
  </si>
  <si>
    <t>being determined to expand again is the design vector of these three</t>
  </si>
  <si>
    <t>%                      else: sum(x)</t>
  </si>
  <si>
    <t>variables needed</t>
  </si>
  <si>
    <t>%                   default function: mean</t>
  </si>
  <si>
    <t>cdata: (515 x 4)</t>
  </si>
  <si>
    <t xml:space="preserve">%                   if the size is less than the size of DataIndices then there the first </t>
  </si>
  <si>
    <t>%                   value of DataTypes is used again and so on</t>
  </si>
  <si>
    <t>% Output:</t>
  </si>
  <si>
    <t xml:space="preserve">%  NewData:        matrix with for the first columns the new group by classifications and </t>
  </si>
  <si>
    <t>%                  for the other columns with result of function per classification for each DataIndices</t>
  </si>
  <si>
    <t>%  nObservations:  number of observations for each value in NewData (NaN are not counted)</t>
  </si>
  <si>
    <t>total</t>
  </si>
  <si>
    <t>groupsRecr_at: 4</t>
  </si>
  <si>
    <t>groupsRecr_at: 6</t>
  </si>
  <si>
    <t>(133 x 5)</t>
  </si>
  <si>
    <t>data2 &lt;- cbind(as.matrix(data2), groupsRecr_act_ts)</t>
  </si>
  <si>
    <t>data3a &lt;- dplyr::select(data3a, -(Time_segment))</t>
  </si>
  <si>
    <t>(11)</t>
  </si>
  <si>
    <t>data7 &lt;- group_by(data6, groupsRecr_act_ts)</t>
  </si>
  <si>
    <t>(12)</t>
  </si>
  <si>
    <t>Gdata3 &lt;- group_by(data3b, groupsRecr_at, number_of_locations)</t>
  </si>
  <si>
    <t>data8 &lt;- data7[, 2:dim(data7)[2]]</t>
  </si>
  <si>
    <t>(3 x 4)</t>
  </si>
  <si>
    <t>ActMax (10 x 1)</t>
  </si>
  <si>
    <t>activity_pattern_definition</t>
  </si>
  <si>
    <t xml:space="preserve">minimum_number_of_times_per_activity </t>
  </si>
  <si>
    <t>z &lt;- df %&gt;% group_by(RecrID, groupsRecr_at) %&gt;% summarize_all(n_distinct) (33 x 1)</t>
  </si>
  <si>
    <t>data1  (515 x 3)</t>
  </si>
  <si>
    <t>(8)</t>
  </si>
  <si>
    <t>data2 &lt;- data2[order(data2$groupsRecr_at, data2$activity_pattern,  data2$Time_segment), ] (133 x 5)</t>
  </si>
  <si>
    <t>(9)</t>
  </si>
  <si>
    <t>time_segment</t>
  </si>
  <si>
    <t>(10)</t>
  </si>
  <si>
    <t>data2 &lt;- as.data.frame(data2)</t>
  </si>
  <si>
    <t>names(data2)[5] &lt;- c("groupsRecr_act_ts")</t>
  </si>
  <si>
    <t>Table = dummy; Table = Table&gt;0 (48 x 4)</t>
  </si>
  <si>
    <t>data3b &lt;- summarize_all(data3a, n_distinct) (48 x 4)</t>
  </si>
  <si>
    <t>data6 &lt;- cbind(Table, data3b[, 3]) (48 x 5)</t>
  </si>
  <si>
    <t>data7 &lt;- unique(data7)</t>
  </si>
  <si>
    <t>Gdata3 &lt;- dplyr::select(Gdata3, -(activity_pattern), -(groupsRecr_act_ts))</t>
  </si>
  <si>
    <t>TimeAvail</t>
  </si>
  <si>
    <t>stationary</t>
  </si>
  <si>
    <t>number</t>
  </si>
  <si>
    <t>groupsRecr_at</t>
  </si>
  <si>
    <t xml:space="preserve">groupsRecr_at </t>
  </si>
  <si>
    <t xml:space="preserve"> number_of_locations</t>
  </si>
  <si>
    <t xml:space="preserve"> sumofzeros</t>
  </si>
  <si>
    <t xml:space="preserve"> number_of_locations </t>
  </si>
  <si>
    <t xml:space="preserve"> groupsRecr_act_ts</t>
  </si>
  <si>
    <t xml:space="preserve"> groupsRecr_act_ts </t>
  </si>
  <si>
    <t xml:space="preserve">groupsRecr_act_ts </t>
  </si>
  <si>
    <t xml:space="preserve"> V4 </t>
  </si>
  <si>
    <t xml:space="preserve"> V3 </t>
  </si>
  <si>
    <t xml:space="preserve"> V2 </t>
  </si>
  <si>
    <t xml:space="preserve"> V1</t>
  </si>
  <si>
    <t>groupsRecr_act_ts levels</t>
  </si>
  <si>
    <t>Gdata3 &lt;- summarise_all(Gdata3, n_distinct)    totaal_aantal_locaties = sum(Gdata3(:,2))</t>
  </si>
  <si>
    <t>walking</t>
  </si>
  <si>
    <t>z1 &lt;- tally(group_by(z, groupsRecr_at), sort = FALSE) (10  x 1)</t>
  </si>
  <si>
    <t xml:space="preserve">FALSE </t>
  </si>
  <si>
    <t xml:space="preserve"> FALSE </t>
  </si>
  <si>
    <t xml:space="preserve"> TRUE </t>
  </si>
  <si>
    <t xml:space="preserve"> TRUE</t>
  </si>
  <si>
    <t>number_of_locations</t>
  </si>
  <si>
    <t>cycling</t>
  </si>
  <si>
    <t>number of locations</t>
  </si>
  <si>
    <t>stationary_and_walking</t>
  </si>
  <si>
    <t>stationary_and_cycling</t>
  </si>
  <si>
    <t>stationary_and_dog</t>
  </si>
  <si>
    <t>walking_and_dog</t>
  </si>
  <si>
    <t>cycling_and_dog</t>
  </si>
  <si>
    <t>stationary_and_walking_and_dog</t>
  </si>
  <si>
    <t>stationary_and_cycling_and_dog</t>
  </si>
  <si>
    <t>constraints on available time</t>
  </si>
  <si>
    <t>c3*design3 &lt; = timeMax</t>
  </si>
  <si>
    <t>sum</t>
  </si>
  <si>
    <t>procedure to obtain timeMax</t>
  </si>
  <si>
    <t xml:space="preserve">TRUE </t>
  </si>
  <si>
    <t>c3 (9 x 3)</t>
  </si>
  <si>
    <t>data8 &lt;- data7[, 2:dim(data7)[2]] (4 x 4)</t>
  </si>
  <si>
    <t>(7)</t>
  </si>
  <si>
    <t>(15)</t>
  </si>
  <si>
    <t>columns</t>
  </si>
  <si>
    <t>p &lt;- c3 %*% data8 (9 x 4)</t>
  </si>
  <si>
    <t>p=p&gt;0 (9 x  4)</t>
  </si>
  <si>
    <t>(9  x  4) x (4  x  1) = (9  x  1)</t>
  </si>
  <si>
    <t>timeMax=p*TimeAvail (9  x  1)</t>
  </si>
  <si>
    <t>(16)</t>
  </si>
  <si>
    <t>timeMax</t>
  </si>
  <si>
    <t>data7 (3 x 4)</t>
  </si>
  <si>
    <t>*</t>
  </si>
  <si>
    <t>=</t>
  </si>
  <si>
    <t>=&gt;</t>
  </si>
  <si>
    <t>constraints on activity: design2*n&lt;=ActMax and -design2*n&lt;=0*ActMax</t>
  </si>
  <si>
    <t>(13)</t>
  </si>
  <si>
    <t>design2 &lt;- model.matrix(~factivity_pattern - 1) (10 x 48)</t>
  </si>
  <si>
    <t>design2 &lt;- as.data.frame(design2)</t>
  </si>
  <si>
    <t>design2 &lt;- t(design2)</t>
  </si>
  <si>
    <t>ActMax</t>
  </si>
  <si>
    <t>design3 &lt;- model.matrix(~fgroupsRecr_act_ts - 1) (3 x 48)</t>
  </si>
  <si>
    <t>(14)</t>
  </si>
  <si>
    <t>levels3</t>
  </si>
  <si>
    <t>48 x 4</t>
  </si>
  <si>
    <t>Table</t>
  </si>
  <si>
    <t>c3 * design3</t>
  </si>
  <si>
    <t>(9 x 3) x (3 x 48)</t>
  </si>
  <si>
    <t xml:space="preserve"> -&gt; (9 x 48)</t>
  </si>
  <si>
    <t>timeMax=p*TimeAvail</t>
  </si>
  <si>
    <t xml:space="preserve"> c3*design3&lt;=timeMax</t>
  </si>
  <si>
    <t>constraints on activity</t>
  </si>
  <si>
    <t>design2*n&lt;=ActMax</t>
  </si>
  <si>
    <t>and</t>
  </si>
  <si>
    <t>design2*n&lt;=0*ActMax</t>
  </si>
  <si>
    <t>[design2,levels2]=fdesign(data3(:,2),2) (10 x  48)</t>
  </si>
  <si>
    <t>Amat &lt;- lin_mat*n &lt;=  lin_cond_max</t>
  </si>
  <si>
    <t>coefficients of the linear constrains matrix:  lin_mat (29 x 48)</t>
  </si>
  <si>
    <t>Amat &lt;- lin_mat &lt;- rbind(c3_design3, design2, -design2) (29 x 48)</t>
  </si>
  <si>
    <t>(17)</t>
  </si>
  <si>
    <t>coeff of the linear constrains vector lin_cond_max [timeMax; ActMax; 0*ActMax]</t>
  </si>
  <si>
    <t>(18)</t>
  </si>
  <si>
    <t>lin_cond_max &lt;- rbind(timeMax, ActMax, ZActMax) (29 x 1)</t>
  </si>
  <si>
    <t>c3*design3 (9 x 48)</t>
  </si>
  <si>
    <t>design2  (10 x 48)</t>
  </si>
  <si>
    <t>-design2 (10 x 48)</t>
  </si>
  <si>
    <t>ZActMax &lt;- as.matrix(0 * ActMax)</t>
  </si>
  <si>
    <t>construction of the Hessian matrix: HessianMatrix</t>
  </si>
  <si>
    <t>as much as possible spreading of the recreation_areas per activity</t>
  </si>
  <si>
    <t>(19)</t>
  </si>
  <si>
    <t>m1 &lt;- as.matrix(diag(c(loc_1))) (48 x 48)</t>
  </si>
  <si>
    <t>The  vector loc_1 is equal with  1/number of locations</t>
  </si>
  <si>
    <t>activity</t>
  </si>
  <si>
    <t>Ni &lt;- design2 %*% as.matrix(data3b[, 4])</t>
  </si>
  <si>
    <t>1/Ni</t>
  </si>
  <si>
    <t xml:space="preserve">data3b </t>
  </si>
  <si>
    <t xml:space="preserve"> (48 x 4)</t>
  </si>
  <si>
    <t>as much as possible spreading of the visits per activity</t>
  </si>
  <si>
    <t>fgroupsRecr_at &lt;- factor(as.matrix(data3b[, 1])) (10 x 48)</t>
  </si>
  <si>
    <t>total number of groupsRecrID_at</t>
  </si>
  <si>
    <t>(20)</t>
  </si>
  <si>
    <t>levels groupsRecr_at</t>
  </si>
  <si>
    <t>sumdesign1 &lt;- rowSums(design1)</t>
  </si>
  <si>
    <t>1/sumdesign1[, ]</t>
  </si>
  <si>
    <t>design1 &lt;- design1[, ]/sumdesign1[, ] (10 x 48)</t>
  </si>
  <si>
    <t>(21)</t>
  </si>
  <si>
    <t>design1 &gt; 0</t>
  </si>
  <si>
    <t xml:space="preserve"> FALSE</t>
  </si>
  <si>
    <t>Number of locations per level groupsRecr_at</t>
  </si>
  <si>
    <t>(23)</t>
  </si>
  <si>
    <t>m3=design1'*diag(1./Li)*design1</t>
  </si>
  <si>
    <t>(48 x48)</t>
  </si>
  <si>
    <t>(22)</t>
  </si>
  <si>
    <t>Li=design1*data3(:,4) (10 x 1)</t>
  </si>
  <si>
    <t>m3</t>
  </si>
  <si>
    <t>Li</t>
  </si>
  <si>
    <t>1/Li</t>
  </si>
  <si>
    <t>nTot:</t>
  </si>
  <si>
    <t>1/nTot:</t>
  </si>
  <si>
    <t xml:space="preserve">maximum_number_of_times_per_activity </t>
  </si>
  <si>
    <t>dia5 &lt;- diag(c(ones(SizeActMax, 1)))/sumMi/sumMi (10 x 10)</t>
  </si>
  <si>
    <t>(24)</t>
  </si>
  <si>
    <t>maximum number of visits</t>
  </si>
  <si>
    <t>total  = sumMi</t>
  </si>
  <si>
    <t>1/(sumMi^2)</t>
  </si>
  <si>
    <t>(26)</t>
  </si>
  <si>
    <t>m5 &lt;- as.matrix(t(design2) %*% dia5 %*% design2)</t>
  </si>
  <si>
    <t>(48 x 48)</t>
  </si>
  <si>
    <t>m5</t>
  </si>
  <si>
    <t>(27)</t>
  </si>
  <si>
    <t>(1 x 1) *(1 x 10)</t>
  </si>
  <si>
    <t>g11 &lt;-  ActMax/(sumMi^2)</t>
  </si>
  <si>
    <t>2g11 &lt;-  2 %*% t(ActMax/(sumMi^2)))</t>
  </si>
  <si>
    <t>(28)</t>
  </si>
  <si>
    <t>proportion of the maximum visits</t>
  </si>
  <si>
    <t>m6 &lt;- as.matrix(design0 %*% g11 %*% ActMax %*% t(design0)) (48 x 1) x (1 x 10) x  (10 x 1) x (1 x 48) = (48 x 48)</t>
  </si>
  <si>
    <t>m6</t>
  </si>
  <si>
    <t>(29)</t>
  </si>
  <si>
    <t>m7=design0*design0' (48 x 48)</t>
  </si>
  <si>
    <t>m7</t>
  </si>
  <si>
    <t>(33)</t>
  </si>
  <si>
    <t>bvec &lt;- as.vector(lin_cond_max)</t>
  </si>
  <si>
    <t>bvec &lt;- c(bvec,bvec0) and bvec &lt;- -bvec</t>
  </si>
  <si>
    <t>(31)</t>
  </si>
  <si>
    <t>l1=-2*(ActMax/sumMi.^2)'*design2</t>
  </si>
  <si>
    <t>(1 x 48)</t>
  </si>
  <si>
    <t>(30)</t>
  </si>
  <si>
    <t>The Hessian symmetric matric (48 x 48)</t>
  </si>
  <si>
    <t>HessianMatrix &lt;- as.matrix((m1 + m3 + m5 + m6 + m7)/2)</t>
  </si>
  <si>
    <t>HessianMatrix</t>
  </si>
  <si>
    <t>(32)</t>
  </si>
  <si>
    <t>l2=-2*sumMi*design0 (48 x 1)</t>
  </si>
  <si>
    <t>t(l1) * 1/2</t>
  </si>
  <si>
    <t>dvec &lt;-  -f10 &lt;-as.matrix((t(l1)) * 1/2 + l2) (48 x 1)</t>
  </si>
  <si>
    <t>(34)</t>
  </si>
  <si>
    <t>Adiag &lt;- diag(-1,sizeHessianMatrix[2]) (48 x 48)</t>
  </si>
  <si>
    <t>Amat &lt;- rbind(Amat,Adiag) (29 + 48 = 77)</t>
  </si>
  <si>
    <t>rbind ((77 x 48) (48 x 48) ) &lt;- (77 x 48)' &lt;- (48 x 77)</t>
  </si>
  <si>
    <t>Amat &lt;- -Amat</t>
  </si>
  <si>
    <t>Amat &lt;- t(Amat)</t>
  </si>
  <si>
    <t>lb = 0*design0' (1 x 48)</t>
  </si>
  <si>
    <t>h1 &lt;- data.frame(x = 1:ndim[1]) # 1:48</t>
  </si>
  <si>
    <t>ndim &lt;- dim(groupsRecr_act_ts_presence_absence)</t>
  </si>
  <si>
    <t>h2 &lt;- data.frame(y = 1:ndim[2]) # 1:4</t>
  </si>
  <si>
    <t>numberofrows &lt;- ndim[1] * ndim[2]</t>
  </si>
  <si>
    <t>function expand.grid: create a data frame from all combinations of the supplied vectors or factors</t>
  </si>
  <si>
    <t>(36)</t>
  </si>
  <si>
    <t>qp &lt;- solve.QP(Dmat = Dmat,dvec = dvec, Amat = -Amat,bvec = -bvec)</t>
  </si>
  <si>
    <t>number of rows = 48 * 4 = 192</t>
  </si>
  <si>
    <t>d2 &lt;- expand.grid(t(h2), t(h1)) (192 x 1)</t>
  </si>
  <si>
    <t>d3 &lt;- cbind(d2, d1) (192 x 3)</t>
  </si>
  <si>
    <t>(37)</t>
  </si>
  <si>
    <t>amatrix &lt;- hd3 &lt;- tbl_df(d3) (192 x 3)</t>
  </si>
  <si>
    <t>amatrix &lt;- filter(a, d1 &gt; 0) matrix with the presence of groupsRecr_act_ts (133 x 3)</t>
  </si>
  <si>
    <t>(38)</t>
  </si>
  <si>
    <t>z11 &lt;- model.matrix(~fa - 1) (48 x 133) model.matrix of the factor units (48 levels)</t>
  </si>
  <si>
    <t>n &lt;- qp$solution (48 x 1)</t>
  </si>
  <si>
    <t>d1 &lt;- matrix(t(groupsRecr_act_ts presence_absence), nrow = numberofrows, ncol = 1)</t>
  </si>
  <si>
    <t>units</t>
  </si>
  <si>
    <t>groupsRecr_act_ts presence/absence</t>
  </si>
  <si>
    <t>groupsRecr_act_ts presence_per_time_segment</t>
  </si>
  <si>
    <t>(39)</t>
  </si>
  <si>
    <t>model matrix of the factor time_segment (4 x 133)</t>
  </si>
  <si>
    <t>z12 &lt;- model.matrix(~fb - 1)</t>
  </si>
  <si>
    <t>z12 &lt;- data.frame(z12)</t>
  </si>
  <si>
    <t>z12 &lt;- t(as.matrix(z12))</t>
  </si>
  <si>
    <t>time_segment (levels)</t>
  </si>
  <si>
    <t>(40)</t>
  </si>
  <si>
    <t>M &lt;- linm &lt;- rbind(z11, z12) (52 x 133)</t>
  </si>
  <si>
    <t>z11 , z12</t>
  </si>
  <si>
    <t>z11</t>
  </si>
  <si>
    <t>z12</t>
  </si>
  <si>
    <t>bM = bvecL</t>
  </si>
  <si>
    <t>bvecL &lt;- linmax (52 x 1)</t>
  </si>
  <si>
    <t>solve5 &lt;- interior_point(t = -1, c = cvec, bM = bvecL, M = linm, e = 1e-08)</t>
  </si>
  <si>
    <t>linmax &lt;- as.matrix(c(n, TimeAvail[1], TimeAvail[2], TimeAvail[3], TimeAvail[4]))</t>
  </si>
  <si>
    <t>(41)</t>
  </si>
  <si>
    <t>amatrix = [amatrix(:,1:2),sol5]</t>
  </si>
  <si>
    <t>sol5 (133 x 1)</t>
  </si>
  <si>
    <t xml:space="preserve">result1 &lt;- merge(as.data.frame(cdata), as.data.frame(result3), by = intersect(c("groupsRecr_at", "activity_pattern", "Time_segment"), c("groupsRecr_at", "activity_pattern", "Time_segment")))					</t>
  </si>
  <si>
    <t>linmax (52 x 1)</t>
  </si>
  <si>
    <t>linmax</t>
  </si>
  <si>
    <t>sol5</t>
  </si>
  <si>
    <t>(42)</t>
  </si>
  <si>
    <t xml:space="preserve">number </t>
  </si>
  <si>
    <t>(43)</t>
  </si>
  <si>
    <t>nt (48 x 4) [p,q,nt]=crosstab(amatrix(:,1),amatrix(:,2),sol5)</t>
  </si>
  <si>
    <t>result (192 x 6)</t>
  </si>
  <si>
    <t>(44)</t>
  </si>
  <si>
    <t>result (87 x 6)</t>
  </si>
  <si>
    <t>result3 &lt;- cbind(result, number_per_location) (87 x 7)</t>
  </si>
  <si>
    <t>(45)</t>
  </si>
  <si>
    <t>result1 &lt;- data.frame(result1)    names(result1)[10] &lt;- c("number_of_visits_per_transport_ID") (421 x 10)</t>
  </si>
  <si>
    <t>(46)</t>
  </si>
  <si>
    <t xml:space="preserve"> nrOfLocations </t>
  </si>
  <si>
    <t xml:space="preserve"> number_of_visits</t>
  </si>
  <si>
    <t xml:space="preserve"> nr of locations </t>
  </si>
  <si>
    <t xml:space="preserve"> number_of_visits </t>
  </si>
  <si>
    <t>number_of visits_per_location</t>
  </si>
  <si>
    <t xml:space="preserve"> RecrID </t>
  </si>
  <si>
    <t xml:space="preserve"> number_of_visits_per_location </t>
  </si>
  <si>
    <t xml:space="preserve"> number_per_transport_ID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</si>
</sst>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"/>
    <numFmt numFmtId="166" formatCode="0.00000"/>
  </numFmts>
  <fonts count="14" x14ac:knownFonts="1">
    <font>
      <sz val="10"/>
      <color indexed="8"/>
      <name val="Arial"/>
    </font>
    <font>
      <sz val="12"/>
      <color indexed="8"/>
      <name val="Monaco"/>
    </font>
    <font>
      <sz val="11"/>
      <color indexed="8"/>
      <name val="Lucida Grande"/>
    </font>
    <font>
      <b/>
      <sz val="11"/>
      <color indexed="8"/>
      <name val="Lucida Grande"/>
    </font>
    <font>
      <b/>
      <sz val="11"/>
      <color indexed="12"/>
      <name val="Lucida Grande"/>
    </font>
    <font>
      <b/>
      <sz val="12"/>
      <color indexed="8"/>
      <name val="Lucida Grande"/>
    </font>
    <font>
      <b/>
      <sz val="12"/>
      <color indexed="12"/>
      <name val="Lucida Grande"/>
    </font>
    <font>
      <sz val="12"/>
      <color indexed="8"/>
      <name val="Lucida Grande"/>
    </font>
    <font>
      <sz val="11"/>
      <color indexed="8"/>
      <name val="Monaco"/>
    </font>
    <font>
      <sz val="12"/>
      <color indexed="12"/>
      <name val="Monaco"/>
    </font>
    <font>
      <sz val="11"/>
      <color indexed="12"/>
      <name val="Monaco"/>
    </font>
    <font>
      <sz val="14"/>
      <color indexed="8"/>
      <name val="Monaco"/>
    </font>
    <font>
      <b/>
      <sz val="12"/>
      <color indexed="8"/>
      <name val="Calibri"/>
    </font>
    <font>
      <sz val="12"/>
      <color indexed="12"/>
      <name val="Lucida Grande"/>
    </font>
  </fonts>
  <fills count="1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</fills>
  <borders count="5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9"/>
      </right>
      <top style="medium">
        <color indexed="8"/>
      </top>
      <bottom/>
      <diagonal/>
    </border>
    <border>
      <left style="thin">
        <color indexed="9"/>
      </left>
      <right style="thin">
        <color indexed="9"/>
      </right>
      <top style="medium">
        <color indexed="8"/>
      </top>
      <bottom/>
      <diagonal/>
    </border>
    <border>
      <left style="thin">
        <color indexed="9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medium">
        <color indexed="64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8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medium">
        <color indexed="8"/>
      </top>
      <bottom style="thin">
        <color indexed="9"/>
      </bottom>
      <diagonal/>
    </border>
    <border>
      <left style="medium">
        <color indexed="64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8"/>
      </right>
      <top style="thin">
        <color indexed="9"/>
      </top>
      <bottom style="medium">
        <color indexed="64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372">
    <xf numFmtId="0" fontId="0" fillId="0" borderId="0" xfId="0" applyFont="1" applyAlignment="1"/>
    <xf numFmtId="0" fontId="0" fillId="0" borderId="0" xfId="0" applyNumberFormat="1" applyFont="1" applyAlignment="1"/>
    <xf numFmtId="0" fontId="0" fillId="2" borderId="0" xfId="0" applyNumberFormat="1" applyFont="1" applyFill="1" applyAlignment="1"/>
    <xf numFmtId="0" fontId="0" fillId="0" borderId="1" xfId="0" applyNumberFormat="1" applyFont="1" applyBorder="1" applyAlignment="1"/>
    <xf numFmtId="49" fontId="1" fillId="2" borderId="2" xfId="0" applyNumberFormat="1" applyFont="1" applyFill="1" applyBorder="1" applyAlignment="1"/>
    <xf numFmtId="0" fontId="1" fillId="2" borderId="3" xfId="0" applyFont="1" applyFill="1" applyBorder="1" applyAlignment="1"/>
    <xf numFmtId="49" fontId="1" fillId="3" borderId="4" xfId="0" applyNumberFormat="1" applyFont="1" applyFill="1" applyBorder="1" applyAlignment="1">
      <alignment horizontal="center"/>
    </xf>
    <xf numFmtId="49" fontId="0" fillId="2" borderId="1" xfId="0" applyNumberFormat="1" applyFont="1" applyFill="1" applyBorder="1" applyAlignment="1"/>
    <xf numFmtId="49" fontId="1" fillId="2" borderId="4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0" fontId="1" fillId="2" borderId="5" xfId="0" applyNumberFormat="1" applyFont="1" applyFill="1" applyBorder="1" applyAlignment="1">
      <alignment horizontal="center"/>
    </xf>
    <xf numFmtId="0" fontId="1" fillId="2" borderId="3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9" fontId="1" fillId="2" borderId="6" xfId="0" applyNumberFormat="1" applyFont="1" applyFill="1" applyBorder="1" applyAlignment="1"/>
    <xf numFmtId="0" fontId="1" fillId="2" borderId="6" xfId="0" applyFont="1" applyFill="1" applyBorder="1" applyAlignment="1"/>
    <xf numFmtId="0" fontId="1" fillId="2" borderId="7" xfId="0" applyFont="1" applyFill="1" applyBorder="1" applyAlignment="1"/>
    <xf numFmtId="49" fontId="1" fillId="2" borderId="2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NumberFormat="1" applyFont="1" applyFill="1" applyBorder="1" applyAlignment="1">
      <alignment horizontal="center"/>
    </xf>
    <xf numFmtId="0" fontId="1" fillId="2" borderId="10" xfId="0" applyNumberFormat="1" applyFont="1" applyFill="1" applyBorder="1" applyAlignment="1">
      <alignment horizontal="center"/>
    </xf>
    <xf numFmtId="0" fontId="1" fillId="2" borderId="11" xfId="0" applyNumberFormat="1" applyFont="1" applyFill="1" applyBorder="1" applyAlignment="1">
      <alignment horizontal="center"/>
    </xf>
    <xf numFmtId="49" fontId="1" fillId="2" borderId="8" xfId="0" applyNumberFormat="1" applyFont="1" applyFill="1" applyBorder="1" applyAlignment="1">
      <alignment horizontal="center"/>
    </xf>
    <xf numFmtId="49" fontId="1" fillId="2" borderId="11" xfId="0" applyNumberFormat="1" applyFont="1" applyFill="1" applyBorder="1" applyAlignment="1">
      <alignment horizontal="center"/>
    </xf>
    <xf numFmtId="0" fontId="1" fillId="2" borderId="8" xfId="0" applyNumberFormat="1" applyFont="1" applyFill="1" applyBorder="1" applyAlignment="1">
      <alignment horizontal="center"/>
    </xf>
    <xf numFmtId="0" fontId="3" fillId="2" borderId="8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49" fontId="1" fillId="2" borderId="12" xfId="0" applyNumberFormat="1" applyFont="1" applyFill="1" applyBorder="1" applyAlignment="1">
      <alignment horizontal="center"/>
    </xf>
    <xf numFmtId="0" fontId="1" fillId="2" borderId="13" xfId="0" applyNumberFormat="1" applyFont="1" applyFill="1" applyBorder="1" applyAlignment="1">
      <alignment horizontal="center"/>
    </xf>
    <xf numFmtId="0" fontId="1" fillId="2" borderId="6" xfId="0" applyNumberFormat="1" applyFont="1" applyFill="1" applyBorder="1" applyAlignment="1">
      <alignment horizontal="center"/>
    </xf>
    <xf numFmtId="0" fontId="1" fillId="2" borderId="7" xfId="0" applyNumberFormat="1" applyFont="1" applyFill="1" applyBorder="1" applyAlignment="1">
      <alignment horizontal="center"/>
    </xf>
    <xf numFmtId="0" fontId="1" fillId="2" borderId="14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1" fillId="2" borderId="15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NumberFormat="1" applyFont="1" applyFill="1" applyBorder="1" applyAlignment="1">
      <alignment horizontal="center"/>
    </xf>
    <xf numFmtId="0" fontId="3" fillId="2" borderId="16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/>
    <xf numFmtId="0" fontId="2" fillId="2" borderId="1" xfId="0" applyFont="1" applyFill="1" applyBorder="1" applyAlignment="1"/>
    <xf numFmtId="0" fontId="1" fillId="2" borderId="17" xfId="0" applyNumberFormat="1" applyFont="1" applyFill="1" applyBorder="1" applyAlignment="1">
      <alignment horizontal="center"/>
    </xf>
    <xf numFmtId="0" fontId="1" fillId="2" borderId="18" xfId="0" applyNumberFormat="1" applyFont="1" applyFill="1" applyBorder="1" applyAlignment="1">
      <alignment horizontal="center"/>
    </xf>
    <xf numFmtId="0" fontId="1" fillId="2" borderId="19" xfId="0" applyNumberFormat="1" applyFont="1" applyFill="1" applyBorder="1" applyAlignment="1">
      <alignment horizontal="center"/>
    </xf>
    <xf numFmtId="0" fontId="1" fillId="2" borderId="20" xfId="0" applyNumberFormat="1" applyFont="1" applyFill="1" applyBorder="1" applyAlignment="1">
      <alignment horizontal="center"/>
    </xf>
    <xf numFmtId="0" fontId="4" fillId="2" borderId="1" xfId="0" applyFont="1" applyFill="1" applyBorder="1" applyAlignment="1"/>
    <xf numFmtId="0" fontId="1" fillId="4" borderId="21" xfId="0" applyNumberFormat="1" applyFont="1" applyFill="1" applyBorder="1" applyAlignment="1">
      <alignment horizontal="center"/>
    </xf>
    <xf numFmtId="0" fontId="1" fillId="4" borderId="22" xfId="0" applyNumberFormat="1" applyFont="1" applyFill="1" applyBorder="1" applyAlignment="1">
      <alignment horizontal="center"/>
    </xf>
    <xf numFmtId="0" fontId="1" fillId="4" borderId="23" xfId="0" applyNumberFormat="1" applyFont="1" applyFill="1" applyBorder="1" applyAlignment="1">
      <alignment horizontal="center"/>
    </xf>
    <xf numFmtId="0" fontId="1" fillId="4" borderId="24" xfId="0" applyNumberFormat="1" applyFont="1" applyFill="1" applyBorder="1" applyAlignment="1">
      <alignment horizontal="center"/>
    </xf>
    <xf numFmtId="0" fontId="1" fillId="5" borderId="21" xfId="0" applyNumberFormat="1" applyFont="1" applyFill="1" applyBorder="1" applyAlignment="1">
      <alignment horizontal="center"/>
    </xf>
    <xf numFmtId="0" fontId="1" fillId="5" borderId="22" xfId="0" applyNumberFormat="1" applyFont="1" applyFill="1" applyBorder="1" applyAlignment="1">
      <alignment horizontal="center"/>
    </xf>
    <xf numFmtId="0" fontId="1" fillId="5" borderId="23" xfId="0" applyNumberFormat="1" applyFont="1" applyFill="1" applyBorder="1" applyAlignment="1">
      <alignment horizontal="center"/>
    </xf>
    <xf numFmtId="0" fontId="1" fillId="5" borderId="24" xfId="0" applyNumberFormat="1" applyFont="1" applyFill="1" applyBorder="1" applyAlignment="1">
      <alignment horizontal="center"/>
    </xf>
    <xf numFmtId="0" fontId="1" fillId="2" borderId="12" xfId="0" applyNumberFormat="1" applyFont="1" applyFill="1" applyBorder="1" applyAlignment="1">
      <alignment horizontal="center"/>
    </xf>
    <xf numFmtId="0" fontId="3" fillId="2" borderId="12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49" fontId="1" fillId="2" borderId="1" xfId="0" applyNumberFormat="1" applyFont="1" applyFill="1" applyBorder="1" applyAlignment="1"/>
    <xf numFmtId="0" fontId="1" fillId="2" borderId="1" xfId="0" applyFont="1" applyFill="1" applyBorder="1" applyAlignment="1"/>
    <xf numFmtId="0" fontId="1" fillId="6" borderId="21" xfId="0" applyNumberFormat="1" applyFont="1" applyFill="1" applyBorder="1" applyAlignment="1">
      <alignment horizontal="center"/>
    </xf>
    <xf numFmtId="0" fontId="1" fillId="6" borderId="22" xfId="0" applyNumberFormat="1" applyFont="1" applyFill="1" applyBorder="1" applyAlignment="1">
      <alignment horizontal="center"/>
    </xf>
    <xf numFmtId="0" fontId="1" fillId="6" borderId="23" xfId="0" applyNumberFormat="1" applyFont="1" applyFill="1" applyBorder="1" applyAlignment="1">
      <alignment horizontal="center"/>
    </xf>
    <xf numFmtId="0" fontId="1" fillId="6" borderId="24" xfId="0" applyNumberFormat="1" applyFont="1" applyFill="1" applyBorder="1" applyAlignment="1">
      <alignment horizontal="center"/>
    </xf>
    <xf numFmtId="0" fontId="1" fillId="7" borderId="21" xfId="0" applyNumberFormat="1" applyFont="1" applyFill="1" applyBorder="1" applyAlignment="1">
      <alignment horizontal="center"/>
    </xf>
    <xf numFmtId="0" fontId="1" fillId="7" borderId="22" xfId="0" applyNumberFormat="1" applyFont="1" applyFill="1" applyBorder="1" applyAlignment="1">
      <alignment horizontal="center"/>
    </xf>
    <xf numFmtId="0" fontId="1" fillId="7" borderId="23" xfId="0" applyNumberFormat="1" applyFont="1" applyFill="1" applyBorder="1" applyAlignment="1">
      <alignment horizontal="center"/>
    </xf>
    <xf numFmtId="0" fontId="1" fillId="7" borderId="24" xfId="0" applyNumberFormat="1" applyFont="1" applyFill="1" applyBorder="1" applyAlignment="1">
      <alignment horizontal="center"/>
    </xf>
    <xf numFmtId="0" fontId="1" fillId="8" borderId="21" xfId="0" applyNumberFormat="1" applyFont="1" applyFill="1" applyBorder="1" applyAlignment="1">
      <alignment horizontal="center"/>
    </xf>
    <xf numFmtId="0" fontId="1" fillId="8" borderId="22" xfId="0" applyNumberFormat="1" applyFont="1" applyFill="1" applyBorder="1" applyAlignment="1">
      <alignment horizontal="center"/>
    </xf>
    <xf numFmtId="0" fontId="1" fillId="8" borderId="23" xfId="0" applyNumberFormat="1" applyFont="1" applyFill="1" applyBorder="1" applyAlignment="1">
      <alignment horizontal="center"/>
    </xf>
    <xf numFmtId="0" fontId="1" fillId="8" borderId="24" xfId="0" applyNumberFormat="1" applyFont="1" applyFill="1" applyBorder="1" applyAlignment="1">
      <alignment horizontal="center"/>
    </xf>
    <xf numFmtId="0" fontId="1" fillId="9" borderId="21" xfId="0" applyNumberFormat="1" applyFont="1" applyFill="1" applyBorder="1" applyAlignment="1">
      <alignment horizontal="center"/>
    </xf>
    <xf numFmtId="0" fontId="1" fillId="9" borderId="22" xfId="0" applyNumberFormat="1" applyFont="1" applyFill="1" applyBorder="1" applyAlignment="1">
      <alignment horizontal="center"/>
    </xf>
    <xf numFmtId="0" fontId="1" fillId="9" borderId="23" xfId="0" applyNumberFormat="1" applyFont="1" applyFill="1" applyBorder="1" applyAlignment="1">
      <alignment horizontal="center"/>
    </xf>
    <xf numFmtId="0" fontId="1" fillId="9" borderId="24" xfId="0" applyNumberFormat="1" applyFont="1" applyFill="1" applyBorder="1" applyAlignment="1">
      <alignment horizontal="center"/>
    </xf>
    <xf numFmtId="0" fontId="1" fillId="10" borderId="21" xfId="0" applyNumberFormat="1" applyFont="1" applyFill="1" applyBorder="1" applyAlignment="1">
      <alignment horizontal="center"/>
    </xf>
    <xf numFmtId="0" fontId="1" fillId="10" borderId="22" xfId="0" applyNumberFormat="1" applyFont="1" applyFill="1" applyBorder="1" applyAlignment="1">
      <alignment horizontal="center"/>
    </xf>
    <xf numFmtId="0" fontId="1" fillId="10" borderId="23" xfId="0" applyNumberFormat="1" applyFont="1" applyFill="1" applyBorder="1" applyAlignment="1">
      <alignment horizontal="center"/>
    </xf>
    <xf numFmtId="0" fontId="1" fillId="10" borderId="24" xfId="0" applyNumberFormat="1" applyFont="1" applyFill="1" applyBorder="1" applyAlignment="1">
      <alignment horizontal="center"/>
    </xf>
    <xf numFmtId="0" fontId="1" fillId="11" borderId="21" xfId="0" applyNumberFormat="1" applyFont="1" applyFill="1" applyBorder="1" applyAlignment="1">
      <alignment horizontal="center"/>
    </xf>
    <xf numFmtId="0" fontId="1" fillId="11" borderId="22" xfId="0" applyNumberFormat="1" applyFont="1" applyFill="1" applyBorder="1" applyAlignment="1">
      <alignment horizontal="center"/>
    </xf>
    <xf numFmtId="0" fontId="1" fillId="11" borderId="23" xfId="0" applyNumberFormat="1" applyFont="1" applyFill="1" applyBorder="1" applyAlignment="1">
      <alignment horizontal="center"/>
    </xf>
    <xf numFmtId="0" fontId="1" fillId="11" borderId="24" xfId="0" applyNumberFormat="1" applyFont="1" applyFill="1" applyBorder="1" applyAlignment="1">
      <alignment horizontal="center"/>
    </xf>
    <xf numFmtId="0" fontId="1" fillId="3" borderId="21" xfId="0" applyNumberFormat="1" applyFont="1" applyFill="1" applyBorder="1" applyAlignment="1">
      <alignment horizontal="center"/>
    </xf>
    <xf numFmtId="0" fontId="1" fillId="3" borderId="22" xfId="0" applyNumberFormat="1" applyFont="1" applyFill="1" applyBorder="1" applyAlignment="1">
      <alignment horizontal="center"/>
    </xf>
    <xf numFmtId="0" fontId="1" fillId="3" borderId="23" xfId="0" applyNumberFormat="1" applyFont="1" applyFill="1" applyBorder="1" applyAlignment="1">
      <alignment horizontal="center"/>
    </xf>
    <xf numFmtId="0" fontId="1" fillId="3" borderId="24" xfId="0" applyNumberFormat="1" applyFont="1" applyFill="1" applyBorder="1" applyAlignment="1">
      <alignment horizontal="center"/>
    </xf>
    <xf numFmtId="0" fontId="1" fillId="3" borderId="25" xfId="0" applyNumberFormat="1" applyFont="1" applyFill="1" applyBorder="1" applyAlignment="1">
      <alignment horizontal="center"/>
    </xf>
    <xf numFmtId="0" fontId="1" fillId="3" borderId="26" xfId="0" applyNumberFormat="1" applyFont="1" applyFill="1" applyBorder="1" applyAlignment="1">
      <alignment horizontal="center"/>
    </xf>
    <xf numFmtId="0" fontId="1" fillId="3" borderId="27" xfId="0" applyNumberFormat="1" applyFont="1" applyFill="1" applyBorder="1" applyAlignment="1">
      <alignment horizontal="center"/>
    </xf>
    <xf numFmtId="0" fontId="1" fillId="3" borderId="28" xfId="0" applyNumberFormat="1" applyFont="1" applyFill="1" applyBorder="1" applyAlignment="1">
      <alignment horizontal="center"/>
    </xf>
    <xf numFmtId="0" fontId="1" fillId="2" borderId="4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center"/>
    </xf>
    <xf numFmtId="0" fontId="0" fillId="2" borderId="2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3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/>
    <xf numFmtId="0" fontId="0" fillId="2" borderId="9" xfId="0" applyNumberFormat="1" applyFont="1" applyFill="1" applyBorder="1" applyAlignment="1">
      <alignment horizontal="center"/>
    </xf>
    <xf numFmtId="0" fontId="0" fillId="2" borderId="10" xfId="0" applyNumberFormat="1" applyFont="1" applyFill="1" applyBorder="1" applyAlignment="1">
      <alignment horizontal="center"/>
    </xf>
    <xf numFmtId="0" fontId="0" fillId="2" borderId="11" xfId="0" applyNumberFormat="1" applyFont="1" applyFill="1" applyBorder="1" applyAlignment="1">
      <alignment horizontal="center"/>
    </xf>
    <xf numFmtId="0" fontId="0" fillId="2" borderId="14" xfId="0" applyNumberFormat="1" applyFont="1" applyFill="1" applyBorder="1" applyAlignment="1">
      <alignment horizontal="center"/>
    </xf>
    <xf numFmtId="0" fontId="0" fillId="2" borderId="15" xfId="0" applyNumberFormat="1" applyFont="1" applyFill="1" applyBorder="1" applyAlignment="1">
      <alignment horizontal="center"/>
    </xf>
    <xf numFmtId="0" fontId="0" fillId="2" borderId="13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7" xfId="0" applyNumberFormat="1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14" xfId="0" applyFont="1" applyFill="1" applyBorder="1" applyAlignment="1">
      <alignment horizontal="center"/>
    </xf>
    <xf numFmtId="0" fontId="0" fillId="0" borderId="0" xfId="0" applyNumberFormat="1" applyFont="1" applyAlignment="1"/>
    <xf numFmtId="49" fontId="1" fillId="2" borderId="9" xfId="0" applyNumberFormat="1" applyFont="1" applyFill="1" applyBorder="1" applyAlignment="1"/>
    <xf numFmtId="0" fontId="1" fillId="2" borderId="10" xfId="0" applyFont="1" applyFill="1" applyBorder="1" applyAlignment="1"/>
    <xf numFmtId="0" fontId="1" fillId="2" borderId="11" xfId="0" applyFont="1" applyFill="1" applyBorder="1" applyAlignment="1"/>
    <xf numFmtId="49" fontId="0" fillId="3" borderId="4" xfId="0" applyNumberFormat="1" applyFont="1" applyFill="1" applyBorder="1" applyAlignment="1">
      <alignment horizontal="center"/>
    </xf>
    <xf numFmtId="0" fontId="1" fillId="2" borderId="5" xfId="0" applyFont="1" applyFill="1" applyBorder="1" applyAlignment="1"/>
    <xf numFmtId="49" fontId="1" fillId="2" borderId="16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2" borderId="13" xfId="0" applyNumberFormat="1" applyFont="1" applyFill="1" applyBorder="1" applyAlignment="1"/>
    <xf numFmtId="49" fontId="1" fillId="2" borderId="5" xfId="0" applyNumberFormat="1" applyFont="1" applyFill="1" applyBorder="1" applyAlignment="1"/>
    <xf numFmtId="0" fontId="5" fillId="2" borderId="1" xfId="0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6" fillId="2" borderId="8" xfId="0" applyNumberFormat="1" applyFont="1" applyFill="1" applyBorder="1" applyAlignment="1">
      <alignment horizontal="center"/>
    </xf>
    <xf numFmtId="0" fontId="5" fillId="2" borderId="9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11" xfId="0" applyNumberFormat="1" applyFont="1" applyFill="1" applyBorder="1" applyAlignment="1">
      <alignment horizontal="center" vertical="center"/>
    </xf>
    <xf numFmtId="0" fontId="3" fillId="2" borderId="11" xfId="0" applyNumberFormat="1" applyFont="1" applyFill="1" applyBorder="1" applyAlignment="1">
      <alignment horizontal="center"/>
    </xf>
    <xf numFmtId="0" fontId="4" fillId="2" borderId="8" xfId="0" applyNumberFormat="1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/>
    </xf>
    <xf numFmtId="49" fontId="1" fillId="2" borderId="10" xfId="0" applyNumberFormat="1" applyFont="1" applyFill="1" applyBorder="1" applyAlignment="1">
      <alignment horizontal="center"/>
    </xf>
    <xf numFmtId="0" fontId="5" fillId="2" borderId="8" xfId="0" applyNumberFormat="1" applyFont="1" applyFill="1" applyBorder="1" applyAlignment="1">
      <alignment horizontal="center"/>
    </xf>
    <xf numFmtId="0" fontId="5" fillId="2" borderId="9" xfId="0" applyNumberFormat="1" applyFont="1" applyFill="1" applyBorder="1" applyAlignment="1">
      <alignment horizontal="center"/>
    </xf>
    <xf numFmtId="0" fontId="5" fillId="2" borderId="10" xfId="0" applyNumberFormat="1" applyFont="1" applyFill="1" applyBorder="1" applyAlignment="1">
      <alignment horizontal="center"/>
    </xf>
    <xf numFmtId="0" fontId="5" fillId="2" borderId="11" xfId="0" applyNumberFormat="1" applyFont="1" applyFill="1" applyBorder="1" applyAlignment="1">
      <alignment horizontal="center"/>
    </xf>
    <xf numFmtId="0" fontId="6" fillId="2" borderId="16" xfId="0" applyNumberFormat="1" applyFont="1" applyFill="1" applyBorder="1" applyAlignment="1">
      <alignment horizontal="center"/>
    </xf>
    <xf numFmtId="0" fontId="5" fillId="2" borderId="14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15" xfId="0" applyNumberFormat="1" applyFont="1" applyFill="1" applyBorder="1" applyAlignment="1">
      <alignment horizontal="center" vertical="center"/>
    </xf>
    <xf numFmtId="0" fontId="3" fillId="2" borderId="15" xfId="0" applyNumberFormat="1" applyFont="1" applyFill="1" applyBorder="1" applyAlignment="1">
      <alignment horizontal="center"/>
    </xf>
    <xf numFmtId="0" fontId="4" fillId="2" borderId="16" xfId="0" applyNumberFormat="1" applyFont="1" applyFill="1" applyBorder="1" applyAlignment="1">
      <alignment horizontal="center"/>
    </xf>
    <xf numFmtId="49" fontId="1" fillId="2" borderId="14" xfId="0" applyNumberFormat="1" applyFont="1" applyFill="1" applyBorder="1" applyAlignment="1">
      <alignment horizontal="center"/>
    </xf>
    <xf numFmtId="49" fontId="1" fillId="2" borderId="15" xfId="0" applyNumberFormat="1" applyFont="1" applyFill="1" applyBorder="1" applyAlignment="1">
      <alignment horizontal="center"/>
    </xf>
    <xf numFmtId="0" fontId="5" fillId="2" borderId="16" xfId="0" applyNumberFormat="1" applyFont="1" applyFill="1" applyBorder="1" applyAlignment="1">
      <alignment horizontal="center"/>
    </xf>
    <xf numFmtId="0" fontId="5" fillId="2" borderId="14" xfId="0" applyNumberFormat="1" applyFont="1" applyFill="1" applyBorder="1" applyAlignment="1">
      <alignment horizontal="center"/>
    </xf>
    <xf numFmtId="0" fontId="5" fillId="2" borderId="1" xfId="0" applyNumberFormat="1" applyFont="1" applyFill="1" applyBorder="1" applyAlignment="1">
      <alignment horizontal="center"/>
    </xf>
    <xf numFmtId="0" fontId="5" fillId="2" borderId="15" xfId="0" applyNumberFormat="1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6" fillId="2" borderId="12" xfId="0" applyNumberFormat="1" applyFont="1" applyFill="1" applyBorder="1" applyAlignment="1">
      <alignment horizontal="center"/>
    </xf>
    <xf numFmtId="0" fontId="5" fillId="2" borderId="13" xfId="0" applyNumberFormat="1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center" vertical="center"/>
    </xf>
    <xf numFmtId="0" fontId="5" fillId="2" borderId="12" xfId="0" applyNumberFormat="1" applyFont="1" applyFill="1" applyBorder="1" applyAlignment="1">
      <alignment horizontal="center"/>
    </xf>
    <xf numFmtId="0" fontId="5" fillId="2" borderId="13" xfId="0" applyNumberFormat="1" applyFont="1" applyFill="1" applyBorder="1" applyAlignment="1">
      <alignment horizontal="center"/>
    </xf>
    <xf numFmtId="0" fontId="5" fillId="2" borderId="6" xfId="0" applyNumberFormat="1" applyFont="1" applyFill="1" applyBorder="1" applyAlignment="1">
      <alignment horizontal="center"/>
    </xf>
    <xf numFmtId="0" fontId="5" fillId="2" borderId="7" xfId="0" applyNumberFormat="1" applyFont="1" applyFill="1" applyBorder="1" applyAlignment="1">
      <alignment horizontal="center"/>
    </xf>
    <xf numFmtId="0" fontId="7" fillId="2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49" fontId="0" fillId="2" borderId="4" xfId="0" applyNumberFormat="1" applyFont="1" applyFill="1" applyBorder="1" applyAlignment="1">
      <alignment horizontal="center"/>
    </xf>
    <xf numFmtId="0" fontId="1" fillId="2" borderId="9" xfId="0" applyNumberFormat="1" applyFont="1" applyFill="1" applyBorder="1" applyAlignment="1"/>
    <xf numFmtId="0" fontId="1" fillId="2" borderId="10" xfId="0" applyNumberFormat="1" applyFont="1" applyFill="1" applyBorder="1" applyAlignment="1"/>
    <xf numFmtId="0" fontId="1" fillId="2" borderId="11" xfId="0" applyNumberFormat="1" applyFont="1" applyFill="1" applyBorder="1" applyAlignment="1"/>
    <xf numFmtId="49" fontId="8" fillId="3" borderId="4" xfId="0" applyNumberFormat="1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" fillId="2" borderId="14" xfId="0" applyNumberFormat="1" applyFont="1" applyFill="1" applyBorder="1" applyAlignment="1"/>
    <xf numFmtId="0" fontId="1" fillId="2" borderId="1" xfId="0" applyNumberFormat="1" applyFont="1" applyFill="1" applyBorder="1" applyAlignment="1"/>
    <xf numFmtId="0" fontId="1" fillId="2" borderId="15" xfId="0" applyNumberFormat="1" applyFont="1" applyFill="1" applyBorder="1" applyAlignment="1"/>
    <xf numFmtId="0" fontId="9" fillId="2" borderId="8" xfId="0" applyNumberFormat="1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9" fillId="2" borderId="16" xfId="0" applyNumberFormat="1" applyFont="1" applyFill="1" applyBorder="1" applyAlignment="1">
      <alignment horizontal="center"/>
    </xf>
    <xf numFmtId="49" fontId="11" fillId="2" borderId="16" xfId="0" applyNumberFormat="1" applyFont="1" applyFill="1" applyBorder="1" applyAlignment="1">
      <alignment horizontal="center"/>
    </xf>
    <xf numFmtId="49" fontId="0" fillId="2" borderId="16" xfId="0" applyNumberFormat="1" applyFont="1" applyFill="1" applyBorder="1" applyAlignment="1">
      <alignment horizontal="center"/>
    </xf>
    <xf numFmtId="0" fontId="1" fillId="2" borderId="13" xfId="0" applyNumberFormat="1" applyFont="1" applyFill="1" applyBorder="1" applyAlignment="1"/>
    <xf numFmtId="0" fontId="1" fillId="2" borderId="6" xfId="0" applyNumberFormat="1" applyFont="1" applyFill="1" applyBorder="1" applyAlignment="1"/>
    <xf numFmtId="0" fontId="1" fillId="2" borderId="7" xfId="0" applyNumberFormat="1" applyFont="1" applyFill="1" applyBorder="1" applyAlignment="1"/>
    <xf numFmtId="0" fontId="9" fillId="2" borderId="12" xfId="0" applyNumberFormat="1" applyFont="1" applyFill="1" applyBorder="1" applyAlignment="1">
      <alignment horizontal="center"/>
    </xf>
    <xf numFmtId="0" fontId="3" fillId="2" borderId="7" xfId="0" applyNumberFormat="1" applyFont="1" applyFill="1" applyBorder="1" applyAlignment="1">
      <alignment horizontal="center"/>
    </xf>
    <xf numFmtId="49" fontId="12" fillId="2" borderId="4" xfId="0" applyNumberFormat="1" applyFont="1" applyFill="1" applyBorder="1" applyAlignment="1">
      <alignment horizontal="center"/>
    </xf>
    <xf numFmtId="49" fontId="12" fillId="2" borderId="8" xfId="0" applyNumberFormat="1" applyFont="1" applyFill="1" applyBorder="1" applyAlignment="1">
      <alignment horizontal="center"/>
    </xf>
    <xf numFmtId="0" fontId="1" fillId="12" borderId="17" xfId="0" applyNumberFormat="1" applyFont="1" applyFill="1" applyBorder="1" applyAlignment="1">
      <alignment horizontal="center"/>
    </xf>
    <xf numFmtId="49" fontId="12" fillId="2" borderId="16" xfId="0" applyNumberFormat="1" applyFont="1" applyFill="1" applyBorder="1" applyAlignment="1">
      <alignment horizontal="center"/>
    </xf>
    <xf numFmtId="0" fontId="1" fillId="12" borderId="21" xfId="0" applyNumberFormat="1" applyFont="1" applyFill="1" applyBorder="1" applyAlignment="1">
      <alignment horizontal="center"/>
    </xf>
    <xf numFmtId="0" fontId="4" fillId="2" borderId="12" xfId="0" applyNumberFormat="1" applyFont="1" applyFill="1" applyBorder="1" applyAlignment="1">
      <alignment horizontal="center"/>
    </xf>
    <xf numFmtId="49" fontId="1" fillId="2" borderId="13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12" fillId="2" borderId="12" xfId="0" applyNumberFormat="1" applyFont="1" applyFill="1" applyBorder="1" applyAlignment="1">
      <alignment horizontal="center"/>
    </xf>
    <xf numFmtId="0" fontId="1" fillId="12" borderId="25" xfId="0" applyNumberFormat="1" applyFont="1" applyFill="1" applyBorder="1" applyAlignment="1">
      <alignment horizontal="center"/>
    </xf>
    <xf numFmtId="0" fontId="1" fillId="12" borderId="4" xfId="0" applyNumberFormat="1" applyFont="1" applyFill="1" applyBorder="1" applyAlignment="1">
      <alignment horizontal="center"/>
    </xf>
    <xf numFmtId="0" fontId="10" fillId="2" borderId="16" xfId="0" applyNumberFormat="1" applyFont="1" applyFill="1" applyBorder="1" applyAlignment="1">
      <alignment horizontal="center"/>
    </xf>
    <xf numFmtId="49" fontId="6" fillId="2" borderId="2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0" fillId="2" borderId="3" xfId="0" applyNumberFormat="1" applyFont="1" applyFill="1" applyBorder="1" applyAlignment="1"/>
    <xf numFmtId="0" fontId="6" fillId="2" borderId="1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2" borderId="8" xfId="0" applyNumberFormat="1" applyFont="1" applyFill="1" applyBorder="1" applyAlignment="1">
      <alignment horizontal="center"/>
    </xf>
    <xf numFmtId="0" fontId="0" fillId="2" borderId="16" xfId="0" applyNumberFormat="1" applyFont="1" applyFill="1" applyBorder="1" applyAlignment="1">
      <alignment horizontal="center"/>
    </xf>
    <xf numFmtId="0" fontId="0" fillId="2" borderId="12" xfId="0" applyNumberFormat="1" applyFont="1" applyFill="1" applyBorder="1" applyAlignment="1">
      <alignment horizontal="center"/>
    </xf>
    <xf numFmtId="0" fontId="10" fillId="2" borderId="12" xfId="0" applyNumberFormat="1" applyFont="1" applyFill="1" applyBorder="1" applyAlignment="1">
      <alignment horizontal="center"/>
    </xf>
    <xf numFmtId="0" fontId="0" fillId="0" borderId="0" xfId="0" applyNumberFormat="1" applyFont="1" applyAlignment="1"/>
    <xf numFmtId="0" fontId="3" fillId="2" borderId="9" xfId="0" applyNumberFormat="1" applyFont="1" applyFill="1" applyBorder="1" applyAlignment="1"/>
    <xf numFmtId="0" fontId="3" fillId="2" borderId="10" xfId="0" applyNumberFormat="1" applyFont="1" applyFill="1" applyBorder="1" applyAlignment="1"/>
    <xf numFmtId="0" fontId="3" fillId="2" borderId="11" xfId="0" applyNumberFormat="1" applyFont="1" applyFill="1" applyBorder="1" applyAlignment="1"/>
    <xf numFmtId="0" fontId="3" fillId="2" borderId="14" xfId="0" applyNumberFormat="1" applyFont="1" applyFill="1" applyBorder="1" applyAlignment="1"/>
    <xf numFmtId="0" fontId="3" fillId="2" borderId="1" xfId="0" applyNumberFormat="1" applyFont="1" applyFill="1" applyBorder="1" applyAlignment="1"/>
    <xf numFmtId="0" fontId="3" fillId="2" borderId="15" xfId="0" applyNumberFormat="1" applyFont="1" applyFill="1" applyBorder="1" applyAlignment="1"/>
    <xf numFmtId="0" fontId="3" fillId="2" borderId="13" xfId="0" applyNumberFormat="1" applyFont="1" applyFill="1" applyBorder="1" applyAlignment="1"/>
    <xf numFmtId="0" fontId="3" fillId="2" borderId="6" xfId="0" applyNumberFormat="1" applyFont="1" applyFill="1" applyBorder="1" applyAlignment="1"/>
    <xf numFmtId="0" fontId="3" fillId="2" borderId="7" xfId="0" applyNumberFormat="1" applyFont="1" applyFill="1" applyBorder="1" applyAlignment="1"/>
    <xf numFmtId="49" fontId="1" fillId="2" borderId="14" xfId="0" applyNumberFormat="1" applyFont="1" applyFill="1" applyBorder="1" applyAlignment="1"/>
    <xf numFmtId="0" fontId="9" fillId="3" borderId="17" xfId="0" applyNumberFormat="1" applyFont="1" applyFill="1" applyBorder="1" applyAlignment="1">
      <alignment horizontal="center"/>
    </xf>
    <xf numFmtId="0" fontId="1" fillId="3" borderId="29" xfId="0" applyNumberFormat="1" applyFont="1" applyFill="1" applyBorder="1" applyAlignment="1">
      <alignment horizontal="center"/>
    </xf>
    <xf numFmtId="0" fontId="1" fillId="3" borderId="30" xfId="0" applyNumberFormat="1" applyFont="1" applyFill="1" applyBorder="1" applyAlignment="1">
      <alignment horizontal="center"/>
    </xf>
    <xf numFmtId="0" fontId="1" fillId="3" borderId="31" xfId="0" applyNumberFormat="1" applyFont="1" applyFill="1" applyBorder="1" applyAlignment="1">
      <alignment horizontal="center"/>
    </xf>
    <xf numFmtId="0" fontId="3" fillId="3" borderId="17" xfId="0" applyNumberFormat="1" applyFont="1" applyFill="1" applyBorder="1" applyAlignment="1">
      <alignment horizontal="center"/>
    </xf>
    <xf numFmtId="0" fontId="4" fillId="2" borderId="10" xfId="0" applyFont="1" applyFill="1" applyBorder="1" applyAlignment="1"/>
    <xf numFmtId="0" fontId="9" fillId="3" borderId="21" xfId="0" applyNumberFormat="1" applyFont="1" applyFill="1" applyBorder="1" applyAlignment="1">
      <alignment horizontal="center"/>
    </xf>
    <xf numFmtId="0" fontId="3" fillId="3" borderId="2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9" fillId="3" borderId="25" xfId="0" applyNumberFormat="1" applyFont="1" applyFill="1" applyBorder="1" applyAlignment="1">
      <alignment horizontal="center"/>
    </xf>
    <xf numFmtId="0" fontId="3" fillId="3" borderId="25" xfId="0" applyNumberFormat="1" applyFont="1" applyFill="1" applyBorder="1" applyAlignment="1">
      <alignment horizontal="center"/>
    </xf>
    <xf numFmtId="0" fontId="9" fillId="13" borderId="17" xfId="0" applyNumberFormat="1" applyFont="1" applyFill="1" applyBorder="1" applyAlignment="1">
      <alignment horizontal="center"/>
    </xf>
    <xf numFmtId="0" fontId="1" fillId="13" borderId="29" xfId="0" applyNumberFormat="1" applyFont="1" applyFill="1" applyBorder="1" applyAlignment="1">
      <alignment horizontal="center"/>
    </xf>
    <xf numFmtId="0" fontId="1" fillId="13" borderId="30" xfId="0" applyNumberFormat="1" applyFont="1" applyFill="1" applyBorder="1" applyAlignment="1">
      <alignment horizontal="center"/>
    </xf>
    <xf numFmtId="0" fontId="1" fillId="13" borderId="31" xfId="0" applyNumberFormat="1" applyFont="1" applyFill="1" applyBorder="1" applyAlignment="1">
      <alignment horizontal="center"/>
    </xf>
    <xf numFmtId="0" fontId="3" fillId="13" borderId="17" xfId="0" applyNumberFormat="1" applyFont="1" applyFill="1" applyBorder="1" applyAlignment="1">
      <alignment horizontal="center"/>
    </xf>
    <xf numFmtId="0" fontId="9" fillId="13" borderId="21" xfId="0" applyNumberFormat="1" applyFont="1" applyFill="1" applyBorder="1" applyAlignment="1">
      <alignment horizontal="center"/>
    </xf>
    <xf numFmtId="0" fontId="1" fillId="13" borderId="22" xfId="0" applyNumberFormat="1" applyFont="1" applyFill="1" applyBorder="1" applyAlignment="1">
      <alignment horizontal="center"/>
    </xf>
    <xf numFmtId="0" fontId="1" fillId="13" borderId="23" xfId="0" applyNumberFormat="1" applyFont="1" applyFill="1" applyBorder="1" applyAlignment="1">
      <alignment horizontal="center"/>
    </xf>
    <xf numFmtId="0" fontId="1" fillId="13" borderId="24" xfId="0" applyNumberFormat="1" applyFont="1" applyFill="1" applyBorder="1" applyAlignment="1">
      <alignment horizontal="center"/>
    </xf>
    <xf numFmtId="0" fontId="3" fillId="13" borderId="21" xfId="0" applyNumberFormat="1" applyFont="1" applyFill="1" applyBorder="1" applyAlignment="1">
      <alignment horizontal="center"/>
    </xf>
    <xf numFmtId="0" fontId="0" fillId="2" borderId="13" xfId="0" applyFont="1" applyFill="1" applyBorder="1" applyAlignment="1">
      <alignment horizontal="center"/>
    </xf>
    <xf numFmtId="49" fontId="1" fillId="13" borderId="4" xfId="0" applyNumberFormat="1" applyFont="1" applyFill="1" applyBorder="1" applyAlignment="1">
      <alignment horizontal="center"/>
    </xf>
    <xf numFmtId="0" fontId="9" fillId="13" borderId="25" xfId="0" applyNumberFormat="1" applyFont="1" applyFill="1" applyBorder="1" applyAlignment="1">
      <alignment horizontal="center"/>
    </xf>
    <xf numFmtId="0" fontId="1" fillId="13" borderId="26" xfId="0" applyNumberFormat="1" applyFont="1" applyFill="1" applyBorder="1" applyAlignment="1">
      <alignment horizontal="center"/>
    </xf>
    <xf numFmtId="0" fontId="1" fillId="13" borderId="27" xfId="0" applyNumberFormat="1" applyFont="1" applyFill="1" applyBorder="1" applyAlignment="1">
      <alignment horizontal="center"/>
    </xf>
    <xf numFmtId="0" fontId="1" fillId="13" borderId="28" xfId="0" applyNumberFormat="1" applyFont="1" applyFill="1" applyBorder="1" applyAlignment="1">
      <alignment horizontal="center"/>
    </xf>
    <xf numFmtId="0" fontId="3" fillId="13" borderId="25" xfId="0" applyNumberFormat="1" applyFont="1" applyFill="1" applyBorder="1" applyAlignment="1">
      <alignment horizontal="center"/>
    </xf>
    <xf numFmtId="0" fontId="9" fillId="8" borderId="17" xfId="0" applyNumberFormat="1" applyFont="1" applyFill="1" applyBorder="1" applyAlignment="1">
      <alignment horizontal="center"/>
    </xf>
    <xf numFmtId="0" fontId="1" fillId="8" borderId="29" xfId="0" applyNumberFormat="1" applyFont="1" applyFill="1" applyBorder="1" applyAlignment="1">
      <alignment horizontal="center"/>
    </xf>
    <xf numFmtId="0" fontId="1" fillId="8" borderId="30" xfId="0" applyNumberFormat="1" applyFont="1" applyFill="1" applyBorder="1" applyAlignment="1">
      <alignment horizontal="center"/>
    </xf>
    <xf numFmtId="0" fontId="1" fillId="8" borderId="31" xfId="0" applyNumberFormat="1" applyFont="1" applyFill="1" applyBorder="1" applyAlignment="1">
      <alignment horizontal="center"/>
    </xf>
    <xf numFmtId="0" fontId="5" fillId="8" borderId="17" xfId="0" applyNumberFormat="1" applyFont="1" applyFill="1" applyBorder="1" applyAlignment="1">
      <alignment horizontal="center"/>
    </xf>
    <xf numFmtId="0" fontId="9" fillId="8" borderId="21" xfId="0" applyNumberFormat="1" applyFont="1" applyFill="1" applyBorder="1" applyAlignment="1">
      <alignment horizontal="center"/>
    </xf>
    <xf numFmtId="0" fontId="5" fillId="8" borderId="21" xfId="0" applyNumberFormat="1" applyFont="1" applyFill="1" applyBorder="1" applyAlignment="1">
      <alignment horizontal="center"/>
    </xf>
    <xf numFmtId="49" fontId="1" fillId="8" borderId="4" xfId="0" applyNumberFormat="1" applyFont="1" applyFill="1" applyBorder="1" applyAlignment="1">
      <alignment horizontal="center"/>
    </xf>
    <xf numFmtId="49" fontId="1" fillId="8" borderId="32" xfId="0" applyNumberFormat="1" applyFont="1" applyFill="1" applyBorder="1" applyAlignment="1"/>
    <xf numFmtId="0" fontId="0" fillId="8" borderId="33" xfId="0" applyFont="1" applyFill="1" applyBorder="1" applyAlignment="1"/>
    <xf numFmtId="0" fontId="0" fillId="8" borderId="34" xfId="0" applyFont="1" applyFill="1" applyBorder="1" applyAlignment="1"/>
    <xf numFmtId="0" fontId="9" fillId="8" borderId="25" xfId="0" applyNumberFormat="1" applyFont="1" applyFill="1" applyBorder="1" applyAlignment="1">
      <alignment horizontal="center"/>
    </xf>
    <xf numFmtId="0" fontId="1" fillId="8" borderId="26" xfId="0" applyNumberFormat="1" applyFont="1" applyFill="1" applyBorder="1" applyAlignment="1">
      <alignment horizontal="center"/>
    </xf>
    <xf numFmtId="0" fontId="1" fillId="8" borderId="27" xfId="0" applyNumberFormat="1" applyFont="1" applyFill="1" applyBorder="1" applyAlignment="1">
      <alignment horizontal="center"/>
    </xf>
    <xf numFmtId="0" fontId="1" fillId="8" borderId="28" xfId="0" applyNumberFormat="1" applyFont="1" applyFill="1" applyBorder="1" applyAlignment="1">
      <alignment horizontal="center"/>
    </xf>
    <xf numFmtId="0" fontId="5" fillId="8" borderId="25" xfId="0" applyNumberFormat="1" applyFont="1" applyFill="1" applyBorder="1" applyAlignment="1">
      <alignment horizontal="center"/>
    </xf>
    <xf numFmtId="164" fontId="1" fillId="2" borderId="8" xfId="0" applyNumberFormat="1" applyFont="1" applyFill="1" applyBorder="1" applyAlignment="1">
      <alignment horizontal="center"/>
    </xf>
    <xf numFmtId="164" fontId="1" fillId="2" borderId="16" xfId="0" applyNumberFormat="1" applyFont="1" applyFill="1" applyBorder="1" applyAlignment="1">
      <alignment horizontal="center"/>
    </xf>
    <xf numFmtId="164" fontId="1" fillId="2" borderId="12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1" fontId="1" fillId="2" borderId="9" xfId="0" applyNumberFormat="1" applyFont="1" applyFill="1" applyBorder="1" applyAlignment="1">
      <alignment horizontal="center"/>
    </xf>
    <xf numFmtId="11" fontId="1" fillId="2" borderId="1" xfId="0" applyNumberFormat="1" applyFont="1" applyFill="1" applyBorder="1" applyAlignment="1">
      <alignment horizontal="center"/>
    </xf>
    <xf numFmtId="165" fontId="1" fillId="2" borderId="4" xfId="0" applyNumberFormat="1" applyFont="1" applyFill="1" applyBorder="1" applyAlignment="1">
      <alignment horizontal="center"/>
    </xf>
    <xf numFmtId="11" fontId="1" fillId="2" borderId="10" xfId="0" applyNumberFormat="1" applyFont="1" applyFill="1" applyBorder="1" applyAlignment="1">
      <alignment horizontal="center"/>
    </xf>
    <xf numFmtId="11" fontId="0" fillId="2" borderId="14" xfId="0" applyNumberFormat="1" applyFont="1" applyFill="1" applyBorder="1" applyAlignment="1"/>
    <xf numFmtId="11" fontId="0" fillId="2" borderId="1" xfId="0" applyNumberFormat="1" applyFont="1" applyFill="1" applyBorder="1" applyAlignment="1"/>
    <xf numFmtId="11" fontId="1" fillId="2" borderId="15" xfId="0" applyNumberFormat="1" applyFont="1" applyFill="1" applyBorder="1" applyAlignment="1">
      <alignment horizontal="center"/>
    </xf>
    <xf numFmtId="166" fontId="1" fillId="2" borderId="8" xfId="0" applyNumberFormat="1" applyFont="1" applyFill="1" applyBorder="1" applyAlignment="1">
      <alignment horizontal="center"/>
    </xf>
    <xf numFmtId="166" fontId="1" fillId="2" borderId="16" xfId="0" applyNumberFormat="1" applyFont="1" applyFill="1" applyBorder="1" applyAlignment="1">
      <alignment horizontal="center"/>
    </xf>
    <xf numFmtId="11" fontId="1" fillId="2" borderId="14" xfId="0" applyNumberFormat="1" applyFont="1" applyFill="1" applyBorder="1" applyAlignment="1">
      <alignment horizontal="center"/>
    </xf>
    <xf numFmtId="166" fontId="1" fillId="2" borderId="12" xfId="0" applyNumberFormat="1" applyFont="1" applyFill="1" applyBorder="1" applyAlignment="1">
      <alignment horizontal="center"/>
    </xf>
    <xf numFmtId="11" fontId="1" fillId="2" borderId="6" xfId="0" applyNumberFormat="1" applyFont="1" applyFill="1" applyBorder="1" applyAlignment="1">
      <alignment horizontal="center"/>
    </xf>
    <xf numFmtId="11" fontId="1" fillId="2" borderId="7" xfId="0" applyNumberFormat="1" applyFont="1" applyFill="1" applyBorder="1" applyAlignment="1">
      <alignment horizontal="center"/>
    </xf>
    <xf numFmtId="11" fontId="0" fillId="2" borderId="10" xfId="0" applyNumberFormat="1" applyFont="1" applyFill="1" applyBorder="1" applyAlignment="1"/>
    <xf numFmtId="0" fontId="1" fillId="2" borderId="4" xfId="0" applyFont="1" applyFill="1" applyBorder="1" applyAlignment="1"/>
    <xf numFmtId="164" fontId="1" fillId="2" borderId="9" xfId="0" applyNumberFormat="1" applyFont="1" applyFill="1" applyBorder="1" applyAlignment="1">
      <alignment horizontal="center"/>
    </xf>
    <xf numFmtId="164" fontId="1" fillId="2" borderId="10" xfId="0" applyNumberFormat="1" applyFont="1" applyFill="1" applyBorder="1" applyAlignment="1">
      <alignment horizontal="center"/>
    </xf>
    <xf numFmtId="164" fontId="1" fillId="2" borderId="11" xfId="0" applyNumberFormat="1" applyFont="1" applyFill="1" applyBorder="1" applyAlignment="1">
      <alignment horizontal="center"/>
    </xf>
    <xf numFmtId="164" fontId="1" fillId="2" borderId="14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2" borderId="15" xfId="0" applyNumberFormat="1" applyFont="1" applyFill="1" applyBorder="1" applyAlignment="1">
      <alignment horizontal="center"/>
    </xf>
    <xf numFmtId="164" fontId="1" fillId="2" borderId="13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4" fontId="1" fillId="2" borderId="7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1" fillId="2" borderId="15" xfId="0" applyFont="1" applyFill="1" applyBorder="1" applyAlignment="1"/>
    <xf numFmtId="0" fontId="3" fillId="2" borderId="10" xfId="0" applyFont="1" applyFill="1" applyBorder="1" applyAlignment="1">
      <alignment horizontal="center"/>
    </xf>
    <xf numFmtId="0" fontId="6" fillId="2" borderId="4" xfId="0" applyNumberFormat="1" applyFont="1" applyFill="1" applyBorder="1" applyAlignment="1">
      <alignment horizontal="center"/>
    </xf>
    <xf numFmtId="166" fontId="1" fillId="2" borderId="2" xfId="0" applyNumberFormat="1" applyFont="1" applyFill="1" applyBorder="1" applyAlignment="1">
      <alignment horizontal="center"/>
    </xf>
    <xf numFmtId="166" fontId="1" fillId="2" borderId="5" xfId="0" applyNumberFormat="1" applyFont="1" applyFill="1" applyBorder="1" applyAlignment="1">
      <alignment horizontal="center"/>
    </xf>
    <xf numFmtId="166" fontId="1" fillId="2" borderId="3" xfId="0" applyNumberFormat="1" applyFont="1" applyFill="1" applyBorder="1" applyAlignment="1">
      <alignment horizontal="center"/>
    </xf>
    <xf numFmtId="2" fontId="5" fillId="2" borderId="8" xfId="0" applyNumberFormat="1" applyFont="1" applyFill="1" applyBorder="1" applyAlignment="1">
      <alignment horizontal="center"/>
    </xf>
    <xf numFmtId="0" fontId="0" fillId="2" borderId="16" xfId="0" applyFont="1" applyFill="1" applyBorder="1" applyAlignment="1">
      <alignment horizontal="center"/>
    </xf>
    <xf numFmtId="2" fontId="5" fillId="2" borderId="16" xfId="0" applyNumberFormat="1" applyFont="1" applyFill="1" applyBorder="1" applyAlignment="1">
      <alignment horizontal="center"/>
    </xf>
    <xf numFmtId="2" fontId="5" fillId="2" borderId="12" xfId="0" applyNumberFormat="1" applyFont="1" applyFill="1" applyBorder="1" applyAlignment="1">
      <alignment horizontal="center"/>
    </xf>
    <xf numFmtId="0" fontId="0" fillId="2" borderId="14" xfId="0" applyNumberFormat="1" applyFont="1" applyFill="1" applyBorder="1" applyAlignment="1"/>
    <xf numFmtId="0" fontId="0" fillId="2" borderId="1" xfId="0" applyNumberFormat="1" applyFont="1" applyFill="1" applyBorder="1" applyAlignment="1"/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49" fontId="0" fillId="2" borderId="6" xfId="0" applyNumberFormat="1" applyFont="1" applyFill="1" applyBorder="1" applyAlignment="1"/>
    <xf numFmtId="49" fontId="1" fillId="2" borderId="1" xfId="0" applyNumberFormat="1" applyFont="1" applyFill="1" applyBorder="1" applyAlignment="1">
      <alignment horizontal="left" vertical="center" wrapText="1"/>
    </xf>
    <xf numFmtId="0" fontId="0" fillId="2" borderId="15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vertical="center"/>
    </xf>
    <xf numFmtId="49" fontId="1" fillId="2" borderId="6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/>
    <xf numFmtId="0" fontId="0" fillId="2" borderId="9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/>
    </xf>
    <xf numFmtId="0" fontId="0" fillId="0" borderId="0" xfId="0" applyNumberFormat="1" applyFont="1" applyAlignment="1"/>
    <xf numFmtId="0" fontId="1" fillId="3" borderId="17" xfId="0" applyNumberFormat="1" applyFont="1" applyFill="1" applyBorder="1" applyAlignment="1">
      <alignment horizontal="center"/>
    </xf>
    <xf numFmtId="0" fontId="1" fillId="13" borderId="17" xfId="0" applyNumberFormat="1" applyFont="1" applyFill="1" applyBorder="1" applyAlignment="1">
      <alignment horizontal="center"/>
    </xf>
    <xf numFmtId="0" fontId="1" fillId="13" borderId="21" xfId="0" applyNumberFormat="1" applyFont="1" applyFill="1" applyBorder="1" applyAlignment="1">
      <alignment horizontal="center"/>
    </xf>
    <xf numFmtId="0" fontId="1" fillId="13" borderId="25" xfId="0" applyNumberFormat="1" applyFont="1" applyFill="1" applyBorder="1" applyAlignment="1">
      <alignment horizontal="center"/>
    </xf>
    <xf numFmtId="49" fontId="1" fillId="3" borderId="32" xfId="0" applyNumberFormat="1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/>
    </xf>
    <xf numFmtId="49" fontId="1" fillId="3" borderId="4" xfId="0" applyNumberFormat="1" applyFont="1" applyFill="1" applyBorder="1" applyAlignment="1">
      <alignment horizontal="center" vertical="center" wrapText="1"/>
    </xf>
    <xf numFmtId="166" fontId="1" fillId="2" borderId="9" xfId="0" applyNumberFormat="1" applyFont="1" applyFill="1" applyBorder="1" applyAlignment="1">
      <alignment horizontal="center"/>
    </xf>
    <xf numFmtId="166" fontId="1" fillId="2" borderId="10" xfId="0" applyNumberFormat="1" applyFont="1" applyFill="1" applyBorder="1" applyAlignment="1">
      <alignment horizontal="center"/>
    </xf>
    <xf numFmtId="164" fontId="0" fillId="2" borderId="10" xfId="0" applyNumberFormat="1" applyFont="1" applyFill="1" applyBorder="1" applyAlignment="1">
      <alignment horizontal="center"/>
    </xf>
    <xf numFmtId="164" fontId="0" fillId="2" borderId="11" xfId="0" applyNumberFormat="1" applyFont="1" applyFill="1" applyBorder="1" applyAlignment="1">
      <alignment horizontal="center"/>
    </xf>
    <xf numFmtId="166" fontId="1" fillId="2" borderId="14" xfId="0" applyNumberFormat="1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164" fontId="0" fillId="2" borderId="1" xfId="0" applyNumberFormat="1" applyFont="1" applyFill="1" applyBorder="1" applyAlignment="1">
      <alignment horizontal="center"/>
    </xf>
    <xf numFmtId="164" fontId="0" fillId="2" borderId="15" xfId="0" applyNumberFormat="1" applyFont="1" applyFill="1" applyBorder="1" applyAlignment="1">
      <alignment horizontal="center"/>
    </xf>
    <xf numFmtId="164" fontId="0" fillId="2" borderId="6" xfId="0" applyNumberFormat="1" applyFont="1" applyFill="1" applyBorder="1" applyAlignment="1">
      <alignment horizontal="center"/>
    </xf>
    <xf numFmtId="164" fontId="0" fillId="2" borderId="7" xfId="0" applyNumberFormat="1" applyFont="1" applyFill="1" applyBorder="1" applyAlignment="1">
      <alignment horizontal="center"/>
    </xf>
    <xf numFmtId="0" fontId="0" fillId="0" borderId="35" xfId="0" applyNumberFormat="1" applyFont="1" applyBorder="1" applyAlignment="1"/>
    <xf numFmtId="0" fontId="0" fillId="0" borderId="36" xfId="0" applyNumberFormat="1" applyFont="1" applyBorder="1" applyAlignment="1"/>
    <xf numFmtId="49" fontId="1" fillId="3" borderId="17" xfId="0" applyNumberFormat="1" applyFont="1" applyFill="1" applyBorder="1" applyAlignment="1">
      <alignment horizontal="center" vertical="center"/>
    </xf>
    <xf numFmtId="0" fontId="0" fillId="0" borderId="37" xfId="0" applyNumberFormat="1" applyFont="1" applyBorder="1" applyAlignment="1"/>
    <xf numFmtId="49" fontId="1" fillId="2" borderId="38" xfId="0" applyNumberFormat="1" applyFont="1" applyFill="1" applyBorder="1" applyAlignment="1">
      <alignment horizontal="center"/>
    </xf>
    <xf numFmtId="0" fontId="1" fillId="2" borderId="39" xfId="0" applyNumberFormat="1" applyFont="1" applyFill="1" applyBorder="1" applyAlignment="1">
      <alignment horizontal="center"/>
    </xf>
    <xf numFmtId="0" fontId="1" fillId="2" borderId="40" xfId="0" applyNumberFormat="1" applyFont="1" applyFill="1" applyBorder="1" applyAlignment="1">
      <alignment horizontal="center"/>
    </xf>
    <xf numFmtId="0" fontId="1" fillId="2" borderId="41" xfId="0" applyNumberFormat="1" applyFont="1" applyFill="1" applyBorder="1" applyAlignment="1">
      <alignment horizontal="center"/>
    </xf>
    <xf numFmtId="0" fontId="1" fillId="2" borderId="42" xfId="0" applyNumberFormat="1" applyFont="1" applyFill="1" applyBorder="1" applyAlignment="1">
      <alignment horizontal="center"/>
    </xf>
    <xf numFmtId="166" fontId="1" fillId="2" borderId="43" xfId="0" applyNumberFormat="1" applyFont="1" applyFill="1" applyBorder="1" applyAlignment="1">
      <alignment horizontal="center"/>
    </xf>
    <xf numFmtId="0" fontId="1" fillId="2" borderId="44" xfId="0" applyNumberFormat="1" applyFont="1" applyFill="1" applyBorder="1" applyAlignment="1">
      <alignment horizontal="center"/>
    </xf>
    <xf numFmtId="166" fontId="1" fillId="2" borderId="45" xfId="0" applyNumberFormat="1" applyFont="1" applyFill="1" applyBorder="1" applyAlignment="1">
      <alignment horizontal="center"/>
    </xf>
    <xf numFmtId="0" fontId="1" fillId="2" borderId="46" xfId="0" applyNumberFormat="1" applyFont="1" applyFill="1" applyBorder="1" applyAlignment="1">
      <alignment horizontal="center"/>
    </xf>
    <xf numFmtId="166" fontId="1" fillId="2" borderId="47" xfId="0" applyNumberFormat="1" applyFont="1" applyFill="1" applyBorder="1" applyAlignment="1">
      <alignment horizontal="center"/>
    </xf>
    <xf numFmtId="166" fontId="1" fillId="2" borderId="48" xfId="0" applyNumberFormat="1" applyFont="1" applyFill="1" applyBorder="1" applyAlignment="1">
      <alignment horizontal="center"/>
    </xf>
    <xf numFmtId="166" fontId="1" fillId="2" borderId="49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/>
    <xf numFmtId="49" fontId="1" fillId="2" borderId="17" xfId="0" applyNumberFormat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FFF00"/>
      <rgbColor rgb="FF555555"/>
      <rgbColor rgb="FFFFF2CC"/>
      <rgbColor rgb="FFFBE5D6"/>
      <rgbColor rgb="FFD6DCE5"/>
      <rgbColor rgb="FFC5E0B4"/>
      <rgbColor rgb="FFFFC000"/>
      <rgbColor rgb="FF8FAADC"/>
      <rgbColor rgb="FFDEEBF7"/>
      <rgbColor rgb="FF00B050"/>
      <rgbColor rgb="FFF2F2F2"/>
      <rgbColor rgb="FF92D05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139"/>
  <sheetViews>
    <sheetView tabSelected="1" defaultGridColor="0" topLeftCell="BF1" colorId="9" workbookViewId="0">
      <selection activeCell="BN2" sqref="BN2"/>
    </sheetView>
  </sheetViews>
  <sheetFormatPr baseColWidth="10" defaultColWidth="13.6640625" defaultRowHeight="13" customHeight="1" x14ac:dyDescent="0.15"/>
  <cols>
    <col min="1" max="1" width="9" style="2" customWidth="1"/>
    <col min="2" max="2" width="23.5" style="2" customWidth="1"/>
    <col min="3" max="3" width="24.83203125" style="2" customWidth="1"/>
    <col min="4" max="4" width="18.1640625" style="2" customWidth="1"/>
    <col min="5" max="5" width="13.6640625" style="2" customWidth="1"/>
    <col min="6" max="6" width="11.6640625" style="2" customWidth="1"/>
    <col min="7" max="7" width="22.1640625" style="2" customWidth="1"/>
    <col min="8" max="8" width="50.1640625" style="2" customWidth="1"/>
    <col min="9" max="17" width="13.6640625" style="2" customWidth="1"/>
    <col min="18" max="18" width="10.33203125" style="2" customWidth="1"/>
    <col min="19" max="19" width="24.83203125" style="2" customWidth="1"/>
    <col min="20" max="20" width="19.5" style="2" customWidth="1"/>
    <col min="21" max="21" width="34.33203125" style="2" customWidth="1"/>
    <col min="22" max="23" width="13.6640625" style="2" customWidth="1"/>
    <col min="24" max="24" width="18.5" style="2" customWidth="1"/>
    <col min="25" max="26" width="13.6640625" style="2" customWidth="1"/>
    <col min="27" max="27" width="17" style="2" customWidth="1"/>
    <col min="28" max="58" width="13.6640625" style="2" customWidth="1"/>
    <col min="59" max="59" width="18" style="2" customWidth="1"/>
    <col min="60" max="60" width="17.6640625" style="2" customWidth="1"/>
    <col min="61" max="61" width="13.6640625" style="2" customWidth="1"/>
    <col min="62" max="62" width="9" style="2" customWidth="1"/>
    <col min="63" max="63" width="24.83203125" style="2" customWidth="1"/>
    <col min="64" max="64" width="19.5" style="2" customWidth="1"/>
    <col min="65" max="65" width="34.33203125" style="2" customWidth="1"/>
    <col min="66" max="66" width="18.1640625" style="2" customWidth="1"/>
    <col min="67" max="67" width="13.6640625" style="2" customWidth="1"/>
    <col min="68" max="68" width="10.5" style="2" customWidth="1"/>
    <col min="69" max="69" width="25.5" style="2" customWidth="1"/>
    <col min="70" max="71" width="20" style="2" customWidth="1"/>
    <col min="72" max="113" width="13.6640625" style="2" customWidth="1"/>
    <col min="114" max="256" width="13.6640625" style="1" customWidth="1"/>
  </cols>
  <sheetData>
    <row r="1" spans="1:113" s="3" customFormat="1" ht="19" customHeight="1" x14ac:dyDescent="0.2">
      <c r="A1" s="4" t="s">
        <v>0</v>
      </c>
      <c r="B1" s="5"/>
      <c r="C1" s="6" t="s">
        <v>1</v>
      </c>
      <c r="F1" s="6" t="s">
        <v>2</v>
      </c>
      <c r="O1" s="7" t="s">
        <v>3</v>
      </c>
      <c r="X1" s="8" t="s">
        <v>4</v>
      </c>
      <c r="Y1" s="9">
        <v>1</v>
      </c>
      <c r="Z1" s="10">
        <v>2</v>
      </c>
      <c r="AA1" s="10">
        <v>3</v>
      </c>
      <c r="AB1" s="10">
        <v>4</v>
      </c>
      <c r="AC1" s="10">
        <v>5</v>
      </c>
      <c r="AD1" s="10">
        <v>6</v>
      </c>
      <c r="AE1" s="10">
        <v>7</v>
      </c>
      <c r="AF1" s="10">
        <v>8</v>
      </c>
      <c r="AG1" s="10">
        <v>9</v>
      </c>
      <c r="AH1" s="10">
        <v>10</v>
      </c>
      <c r="AI1" s="10">
        <v>11</v>
      </c>
      <c r="AJ1" s="10">
        <v>12</v>
      </c>
      <c r="AK1" s="10">
        <v>13</v>
      </c>
      <c r="AL1" s="10">
        <v>14</v>
      </c>
      <c r="AM1" s="10">
        <v>15</v>
      </c>
      <c r="AN1" s="10">
        <v>16</v>
      </c>
      <c r="AO1" s="10">
        <v>17</v>
      </c>
      <c r="AP1" s="10">
        <v>18</v>
      </c>
      <c r="AQ1" s="10">
        <v>19</v>
      </c>
      <c r="AR1" s="10">
        <v>20</v>
      </c>
      <c r="AS1" s="10">
        <v>21</v>
      </c>
      <c r="AT1" s="10">
        <v>22</v>
      </c>
      <c r="AU1" s="10">
        <v>23</v>
      </c>
      <c r="AV1" s="10">
        <v>24</v>
      </c>
      <c r="AW1" s="10">
        <v>25</v>
      </c>
      <c r="AX1" s="10">
        <v>26</v>
      </c>
      <c r="AY1" s="10">
        <v>27</v>
      </c>
      <c r="AZ1" s="10">
        <v>28</v>
      </c>
      <c r="BA1" s="10">
        <v>29</v>
      </c>
      <c r="BB1" s="10">
        <v>30</v>
      </c>
      <c r="BC1" s="10">
        <v>31</v>
      </c>
      <c r="BD1" s="10">
        <v>32</v>
      </c>
      <c r="BE1" s="10">
        <v>33</v>
      </c>
      <c r="BF1" s="11">
        <v>34</v>
      </c>
      <c r="BG1" s="12"/>
      <c r="BH1" s="13"/>
      <c r="BJ1" s="14" t="s">
        <v>5</v>
      </c>
      <c r="BK1" s="15"/>
      <c r="BL1" s="15"/>
      <c r="BM1" s="16"/>
      <c r="BN1" s="6" t="s">
        <v>6</v>
      </c>
    </row>
    <row r="2" spans="1:113" s="3" customFormat="1" ht="19" customHeight="1" x14ac:dyDescent="0.2">
      <c r="A2" s="17" t="s">
        <v>7</v>
      </c>
      <c r="B2" s="18" t="s">
        <v>8</v>
      </c>
      <c r="C2" s="18" t="s">
        <v>9</v>
      </c>
      <c r="D2" s="19" t="s">
        <v>10</v>
      </c>
      <c r="F2" s="8" t="s">
        <v>11</v>
      </c>
      <c r="G2" s="8" t="s">
        <v>12</v>
      </c>
      <c r="H2" s="8" t="s">
        <v>13</v>
      </c>
      <c r="J2" s="20"/>
      <c r="K2" s="21"/>
      <c r="L2" s="21"/>
      <c r="X2" s="22"/>
      <c r="Y2" s="23">
        <v>1</v>
      </c>
      <c r="Z2" s="24">
        <v>1</v>
      </c>
      <c r="AA2" s="24">
        <v>1</v>
      </c>
      <c r="AB2" s="24">
        <v>1</v>
      </c>
      <c r="AC2" s="24">
        <v>2</v>
      </c>
      <c r="AD2" s="24">
        <v>2</v>
      </c>
      <c r="AE2" s="24">
        <v>2</v>
      </c>
      <c r="AF2" s="24">
        <v>2</v>
      </c>
      <c r="AG2" s="24">
        <v>3</v>
      </c>
      <c r="AH2" s="24">
        <v>3</v>
      </c>
      <c r="AI2" s="24">
        <v>4</v>
      </c>
      <c r="AJ2" s="24">
        <v>4</v>
      </c>
      <c r="AK2" s="24">
        <v>4</v>
      </c>
      <c r="AL2" s="24">
        <v>4</v>
      </c>
      <c r="AM2" s="24">
        <v>5</v>
      </c>
      <c r="AN2" s="24">
        <v>5</v>
      </c>
      <c r="AO2" s="24">
        <v>5</v>
      </c>
      <c r="AP2" s="24">
        <v>5</v>
      </c>
      <c r="AQ2" s="24">
        <v>6</v>
      </c>
      <c r="AR2" s="24">
        <v>6</v>
      </c>
      <c r="AS2" s="24">
        <v>6</v>
      </c>
      <c r="AT2" s="24">
        <v>6</v>
      </c>
      <c r="AU2" s="24">
        <v>7</v>
      </c>
      <c r="AV2" s="24">
        <v>7</v>
      </c>
      <c r="AW2" s="24">
        <v>7</v>
      </c>
      <c r="AX2" s="24">
        <v>7</v>
      </c>
      <c r="AY2" s="24">
        <v>8</v>
      </c>
      <c r="AZ2" s="24">
        <v>8</v>
      </c>
      <c r="BA2" s="24">
        <v>9</v>
      </c>
      <c r="BB2" s="24">
        <v>9</v>
      </c>
      <c r="BC2" s="24">
        <v>9</v>
      </c>
      <c r="BD2" s="24">
        <v>9</v>
      </c>
      <c r="BE2" s="24">
        <v>10</v>
      </c>
      <c r="BF2" s="25">
        <v>10</v>
      </c>
      <c r="BG2" s="26" t="s">
        <v>14</v>
      </c>
      <c r="BH2" s="26" t="s">
        <v>15</v>
      </c>
      <c r="BJ2" s="17" t="s">
        <v>7</v>
      </c>
      <c r="BK2" s="18" t="s">
        <v>8</v>
      </c>
      <c r="BL2" s="18" t="s">
        <v>16</v>
      </c>
      <c r="BM2" s="19" t="s">
        <v>17</v>
      </c>
      <c r="BN2" s="8" t="s">
        <v>18</v>
      </c>
    </row>
    <row r="3" spans="1:113" s="3" customFormat="1" ht="19" customHeight="1" x14ac:dyDescent="0.2">
      <c r="A3" s="23">
        <v>1</v>
      </c>
      <c r="B3" s="24">
        <v>4</v>
      </c>
      <c r="C3" s="24">
        <v>1</v>
      </c>
      <c r="D3" s="25">
        <v>1</v>
      </c>
      <c r="F3" s="27" t="s">
        <v>19</v>
      </c>
      <c r="G3" s="28">
        <v>1</v>
      </c>
      <c r="H3" s="29">
        <v>15</v>
      </c>
      <c r="R3" s="8" t="s">
        <v>20</v>
      </c>
      <c r="S3" s="361" t="s">
        <v>21</v>
      </c>
      <c r="T3" s="362"/>
      <c r="X3" s="31" t="s">
        <v>22</v>
      </c>
      <c r="Y3" s="32">
        <v>1</v>
      </c>
      <c r="Z3" s="33">
        <v>2</v>
      </c>
      <c r="AA3" s="33">
        <v>3</v>
      </c>
      <c r="AB3" s="33">
        <v>4</v>
      </c>
      <c r="AC3" s="33">
        <v>1</v>
      </c>
      <c r="AD3" s="33">
        <v>2</v>
      </c>
      <c r="AE3" s="33">
        <v>3</v>
      </c>
      <c r="AF3" s="33">
        <v>4</v>
      </c>
      <c r="AG3" s="33">
        <v>3</v>
      </c>
      <c r="AH3" s="33">
        <v>4</v>
      </c>
      <c r="AI3" s="33">
        <v>1</v>
      </c>
      <c r="AJ3" s="33">
        <v>2</v>
      </c>
      <c r="AK3" s="33">
        <v>3</v>
      </c>
      <c r="AL3" s="33">
        <v>4</v>
      </c>
      <c r="AM3" s="33">
        <v>1</v>
      </c>
      <c r="AN3" s="33">
        <v>2</v>
      </c>
      <c r="AO3" s="33">
        <v>3</v>
      </c>
      <c r="AP3" s="33">
        <v>4</v>
      </c>
      <c r="AQ3" s="33">
        <v>1</v>
      </c>
      <c r="AR3" s="33">
        <v>2</v>
      </c>
      <c r="AS3" s="33">
        <v>3</v>
      </c>
      <c r="AT3" s="33">
        <v>4</v>
      </c>
      <c r="AU3" s="33">
        <v>1</v>
      </c>
      <c r="AV3" s="33">
        <v>2</v>
      </c>
      <c r="AW3" s="33">
        <v>3</v>
      </c>
      <c r="AX3" s="33">
        <v>4</v>
      </c>
      <c r="AY3" s="33">
        <v>3</v>
      </c>
      <c r="AZ3" s="33">
        <v>4</v>
      </c>
      <c r="BA3" s="33">
        <v>1</v>
      </c>
      <c r="BB3" s="33">
        <v>2</v>
      </c>
      <c r="BC3" s="33">
        <v>3</v>
      </c>
      <c r="BD3" s="33">
        <v>4</v>
      </c>
      <c r="BE3" s="33">
        <v>3</v>
      </c>
      <c r="BF3" s="34">
        <v>4</v>
      </c>
      <c r="BG3" s="31" t="s">
        <v>23</v>
      </c>
      <c r="BH3" s="31" t="s">
        <v>23</v>
      </c>
      <c r="BJ3" s="23">
        <v>1</v>
      </c>
      <c r="BK3" s="24">
        <v>4</v>
      </c>
      <c r="BL3" s="24">
        <v>1</v>
      </c>
      <c r="BM3" s="25">
        <v>3</v>
      </c>
      <c r="BN3" s="28">
        <v>25</v>
      </c>
    </row>
    <row r="4" spans="1:113" s="3" customFormat="1" ht="19" customHeight="1" x14ac:dyDescent="0.2">
      <c r="A4" s="35">
        <v>1</v>
      </c>
      <c r="B4" s="36">
        <v>4</v>
      </c>
      <c r="C4" s="36">
        <v>1</v>
      </c>
      <c r="D4" s="37">
        <v>2</v>
      </c>
      <c r="F4" s="38"/>
      <c r="G4" s="39">
        <v>2</v>
      </c>
      <c r="H4" s="40">
        <v>45</v>
      </c>
      <c r="Q4" s="26" t="s">
        <v>24</v>
      </c>
      <c r="R4" s="17" t="s">
        <v>7</v>
      </c>
      <c r="S4" s="18" t="s">
        <v>8</v>
      </c>
      <c r="T4" s="18" t="s">
        <v>16</v>
      </c>
      <c r="U4" s="19" t="s">
        <v>17</v>
      </c>
      <c r="W4" s="6" t="s">
        <v>25</v>
      </c>
      <c r="X4" s="8" t="s">
        <v>7</v>
      </c>
      <c r="Y4" s="9">
        <v>1</v>
      </c>
      <c r="Z4" s="10">
        <v>2</v>
      </c>
      <c r="AA4" s="10">
        <v>3</v>
      </c>
      <c r="AB4" s="10">
        <v>4</v>
      </c>
      <c r="AC4" s="10">
        <v>5</v>
      </c>
      <c r="AD4" s="10">
        <v>6</v>
      </c>
      <c r="AE4" s="10">
        <v>7</v>
      </c>
      <c r="AF4" s="10">
        <v>8</v>
      </c>
      <c r="AG4" s="10">
        <v>9</v>
      </c>
      <c r="AH4" s="10">
        <v>10</v>
      </c>
      <c r="AI4" s="10">
        <v>11</v>
      </c>
      <c r="AJ4" s="10">
        <v>12</v>
      </c>
      <c r="AK4" s="10">
        <v>13</v>
      </c>
      <c r="AL4" s="10">
        <v>14</v>
      </c>
      <c r="AM4" s="10">
        <v>15</v>
      </c>
      <c r="AN4" s="10">
        <v>16</v>
      </c>
      <c r="AO4" s="10">
        <v>17</v>
      </c>
      <c r="AP4" s="10">
        <v>18</v>
      </c>
      <c r="AQ4" s="10">
        <v>19</v>
      </c>
      <c r="AR4" s="10">
        <v>20</v>
      </c>
      <c r="AS4" s="10">
        <v>21</v>
      </c>
      <c r="AT4" s="10">
        <v>22</v>
      </c>
      <c r="AU4" s="10">
        <v>23</v>
      </c>
      <c r="AV4" s="10">
        <v>24</v>
      </c>
      <c r="AW4" s="10">
        <v>25</v>
      </c>
      <c r="AX4" s="10">
        <v>26</v>
      </c>
      <c r="AY4" s="10">
        <v>27</v>
      </c>
      <c r="AZ4" s="10">
        <v>28</v>
      </c>
      <c r="BA4" s="10">
        <v>29</v>
      </c>
      <c r="BB4" s="10">
        <v>30</v>
      </c>
      <c r="BC4" s="10">
        <v>31</v>
      </c>
      <c r="BD4" s="10">
        <v>32</v>
      </c>
      <c r="BE4" s="10">
        <v>33</v>
      </c>
      <c r="BF4" s="11">
        <v>34</v>
      </c>
      <c r="BG4" s="17" t="s">
        <v>26</v>
      </c>
      <c r="BH4" s="41" t="s">
        <v>27</v>
      </c>
      <c r="BJ4" s="35">
        <v>1</v>
      </c>
      <c r="BK4" s="36">
        <v>4</v>
      </c>
      <c r="BL4" s="36">
        <v>2</v>
      </c>
      <c r="BM4" s="37">
        <v>3</v>
      </c>
      <c r="BN4" s="39">
        <v>25</v>
      </c>
      <c r="DI4" s="7" t="s">
        <v>28</v>
      </c>
    </row>
    <row r="5" spans="1:113" s="3" customFormat="1" ht="19" customHeight="1" x14ac:dyDescent="0.2">
      <c r="A5" s="35">
        <v>1</v>
      </c>
      <c r="B5" s="36">
        <v>4</v>
      </c>
      <c r="C5" s="36">
        <v>1</v>
      </c>
      <c r="D5" s="37">
        <v>3</v>
      </c>
      <c r="F5" s="38"/>
      <c r="G5" s="39">
        <v>3</v>
      </c>
      <c r="H5" s="40">
        <v>38</v>
      </c>
      <c r="J5" s="42"/>
      <c r="Q5" s="31" t="s">
        <v>29</v>
      </c>
      <c r="R5" s="23">
        <v>1</v>
      </c>
      <c r="S5" s="24">
        <v>4</v>
      </c>
      <c r="T5" s="24">
        <v>1</v>
      </c>
      <c r="U5" s="25">
        <v>3</v>
      </c>
      <c r="X5" s="43">
        <v>3</v>
      </c>
      <c r="Y5" s="44">
        <v>1</v>
      </c>
      <c r="Z5" s="45">
        <v>1</v>
      </c>
      <c r="AA5" s="45">
        <v>1</v>
      </c>
      <c r="AB5" s="45">
        <v>1</v>
      </c>
      <c r="AC5" s="45">
        <v>1</v>
      </c>
      <c r="AD5" s="45">
        <v>1</v>
      </c>
      <c r="AE5" s="45">
        <v>1</v>
      </c>
      <c r="AF5" s="45">
        <v>1</v>
      </c>
      <c r="AG5" s="45">
        <v>0</v>
      </c>
      <c r="AH5" s="45">
        <v>0</v>
      </c>
      <c r="AI5" s="45">
        <v>1</v>
      </c>
      <c r="AJ5" s="45">
        <v>1</v>
      </c>
      <c r="AK5" s="45">
        <v>1</v>
      </c>
      <c r="AL5" s="45">
        <v>1</v>
      </c>
      <c r="AM5" s="45">
        <v>1</v>
      </c>
      <c r="AN5" s="45">
        <v>1</v>
      </c>
      <c r="AO5" s="45">
        <v>1</v>
      </c>
      <c r="AP5" s="45">
        <v>1</v>
      </c>
      <c r="AQ5" s="45">
        <v>1</v>
      </c>
      <c r="AR5" s="45">
        <v>1</v>
      </c>
      <c r="AS5" s="45">
        <v>1</v>
      </c>
      <c r="AT5" s="45">
        <v>1</v>
      </c>
      <c r="AU5" s="45">
        <v>1</v>
      </c>
      <c r="AV5" s="45">
        <v>1</v>
      </c>
      <c r="AW5" s="45">
        <v>1</v>
      </c>
      <c r="AX5" s="45">
        <v>1</v>
      </c>
      <c r="AY5" s="45">
        <v>0</v>
      </c>
      <c r="AZ5" s="45">
        <v>0</v>
      </c>
      <c r="BA5" s="45">
        <v>1</v>
      </c>
      <c r="BB5" s="45">
        <v>1</v>
      </c>
      <c r="BC5" s="45">
        <v>1</v>
      </c>
      <c r="BD5" s="45">
        <v>1</v>
      </c>
      <c r="BE5" s="45">
        <v>0</v>
      </c>
      <c r="BF5" s="46">
        <v>0</v>
      </c>
      <c r="BG5" s="43">
        <v>28</v>
      </c>
      <c r="BH5" s="43">
        <v>6</v>
      </c>
      <c r="BJ5" s="35">
        <v>1</v>
      </c>
      <c r="BK5" s="36">
        <v>4</v>
      </c>
      <c r="BL5" s="36">
        <v>3</v>
      </c>
      <c r="BM5" s="37">
        <v>3</v>
      </c>
      <c r="BN5" s="39">
        <v>25</v>
      </c>
      <c r="DI5" s="7" t="s">
        <v>30</v>
      </c>
    </row>
    <row r="6" spans="1:113" s="3" customFormat="1" ht="19" customHeight="1" x14ac:dyDescent="0.2">
      <c r="A6" s="35">
        <v>1</v>
      </c>
      <c r="B6" s="36">
        <v>4</v>
      </c>
      <c r="C6" s="36">
        <v>1</v>
      </c>
      <c r="D6" s="37">
        <v>4</v>
      </c>
      <c r="F6" s="38"/>
      <c r="G6" s="39">
        <v>4</v>
      </c>
      <c r="H6" s="40">
        <v>30</v>
      </c>
      <c r="J6" s="47"/>
      <c r="K6" s="42"/>
      <c r="L6" s="42"/>
      <c r="Q6" s="6" t="s">
        <v>31</v>
      </c>
      <c r="R6" s="35">
        <v>1</v>
      </c>
      <c r="S6" s="36">
        <v>4</v>
      </c>
      <c r="T6" s="36">
        <v>2</v>
      </c>
      <c r="U6" s="37">
        <v>3</v>
      </c>
      <c r="X6" s="48">
        <v>2</v>
      </c>
      <c r="Y6" s="49">
        <v>1</v>
      </c>
      <c r="Z6" s="50">
        <v>1</v>
      </c>
      <c r="AA6" s="50">
        <v>1</v>
      </c>
      <c r="AB6" s="50">
        <v>1</v>
      </c>
      <c r="AC6" s="50">
        <v>1</v>
      </c>
      <c r="AD6" s="50">
        <v>1</v>
      </c>
      <c r="AE6" s="50">
        <v>1</v>
      </c>
      <c r="AF6" s="50">
        <v>1</v>
      </c>
      <c r="AG6" s="50">
        <v>0</v>
      </c>
      <c r="AH6" s="50">
        <v>0</v>
      </c>
      <c r="AI6" s="50">
        <v>1</v>
      </c>
      <c r="AJ6" s="50">
        <v>1</v>
      </c>
      <c r="AK6" s="50">
        <v>1</v>
      </c>
      <c r="AL6" s="50">
        <v>1</v>
      </c>
      <c r="AM6" s="50">
        <v>0</v>
      </c>
      <c r="AN6" s="50">
        <v>0</v>
      </c>
      <c r="AO6" s="50">
        <v>0</v>
      </c>
      <c r="AP6" s="50">
        <v>0</v>
      </c>
      <c r="AQ6" s="50">
        <v>1</v>
      </c>
      <c r="AR6" s="50">
        <v>1</v>
      </c>
      <c r="AS6" s="50">
        <v>1</v>
      </c>
      <c r="AT6" s="50">
        <v>1</v>
      </c>
      <c r="AU6" s="50">
        <v>1</v>
      </c>
      <c r="AV6" s="50">
        <v>1</v>
      </c>
      <c r="AW6" s="50">
        <v>1</v>
      </c>
      <c r="AX6" s="50">
        <v>1</v>
      </c>
      <c r="AY6" s="50">
        <v>0</v>
      </c>
      <c r="AZ6" s="50">
        <v>0</v>
      </c>
      <c r="BA6" s="50">
        <v>1</v>
      </c>
      <c r="BB6" s="50">
        <v>1</v>
      </c>
      <c r="BC6" s="50">
        <v>1</v>
      </c>
      <c r="BD6" s="50">
        <v>1</v>
      </c>
      <c r="BE6" s="50">
        <v>0</v>
      </c>
      <c r="BF6" s="51">
        <v>0</v>
      </c>
      <c r="BG6" s="48">
        <v>24</v>
      </c>
      <c r="BH6" s="48">
        <v>10</v>
      </c>
      <c r="BJ6" s="35">
        <v>1</v>
      </c>
      <c r="BK6" s="36">
        <v>4</v>
      </c>
      <c r="BL6" s="36">
        <v>4</v>
      </c>
      <c r="BM6" s="37">
        <v>3</v>
      </c>
      <c r="BN6" s="39">
        <v>25</v>
      </c>
      <c r="DI6" s="7" t="s">
        <v>32</v>
      </c>
    </row>
    <row r="7" spans="1:113" s="3" customFormat="1" ht="18.5" customHeight="1" x14ac:dyDescent="0.2">
      <c r="A7" s="35">
        <v>1</v>
      </c>
      <c r="B7" s="36">
        <v>4</v>
      </c>
      <c r="C7" s="36">
        <v>2</v>
      </c>
      <c r="D7" s="37">
        <v>1</v>
      </c>
      <c r="F7" s="38"/>
      <c r="G7" s="39">
        <v>5</v>
      </c>
      <c r="H7" s="40">
        <v>23</v>
      </c>
      <c r="J7" s="47"/>
      <c r="K7" s="42"/>
      <c r="L7" s="42"/>
      <c r="R7" s="35">
        <v>1</v>
      </c>
      <c r="S7" s="36">
        <v>4</v>
      </c>
      <c r="T7" s="36">
        <v>3</v>
      </c>
      <c r="U7" s="37">
        <v>3</v>
      </c>
      <c r="X7" s="48">
        <v>4</v>
      </c>
      <c r="Y7" s="49">
        <v>1</v>
      </c>
      <c r="Z7" s="50">
        <v>1</v>
      </c>
      <c r="AA7" s="50">
        <v>1</v>
      </c>
      <c r="AB7" s="50">
        <v>1</v>
      </c>
      <c r="AC7" s="50">
        <v>1</v>
      </c>
      <c r="AD7" s="50">
        <v>1</v>
      </c>
      <c r="AE7" s="50">
        <v>1</v>
      </c>
      <c r="AF7" s="50">
        <v>1</v>
      </c>
      <c r="AG7" s="50">
        <v>0</v>
      </c>
      <c r="AH7" s="50">
        <v>0</v>
      </c>
      <c r="AI7" s="50">
        <v>1</v>
      </c>
      <c r="AJ7" s="50">
        <v>1</v>
      </c>
      <c r="AK7" s="50">
        <v>1</v>
      </c>
      <c r="AL7" s="50">
        <v>1</v>
      </c>
      <c r="AM7" s="50">
        <v>0</v>
      </c>
      <c r="AN7" s="50">
        <v>0</v>
      </c>
      <c r="AO7" s="50">
        <v>0</v>
      </c>
      <c r="AP7" s="50">
        <v>0</v>
      </c>
      <c r="AQ7" s="50">
        <v>1</v>
      </c>
      <c r="AR7" s="50">
        <v>1</v>
      </c>
      <c r="AS7" s="50">
        <v>1</v>
      </c>
      <c r="AT7" s="50">
        <v>1</v>
      </c>
      <c r="AU7" s="50">
        <v>1</v>
      </c>
      <c r="AV7" s="50">
        <v>1</v>
      </c>
      <c r="AW7" s="50">
        <v>1</v>
      </c>
      <c r="AX7" s="50">
        <v>1</v>
      </c>
      <c r="AY7" s="50">
        <v>0</v>
      </c>
      <c r="AZ7" s="50">
        <v>0</v>
      </c>
      <c r="BA7" s="50">
        <v>1</v>
      </c>
      <c r="BB7" s="50">
        <v>1</v>
      </c>
      <c r="BC7" s="50">
        <v>1</v>
      </c>
      <c r="BD7" s="50">
        <v>1</v>
      </c>
      <c r="BE7" s="50">
        <v>0</v>
      </c>
      <c r="BF7" s="51">
        <v>0</v>
      </c>
      <c r="BG7" s="48">
        <v>24</v>
      </c>
      <c r="BH7" s="48">
        <v>10</v>
      </c>
      <c r="BJ7" s="35">
        <v>2</v>
      </c>
      <c r="BK7" s="36">
        <v>1</v>
      </c>
      <c r="BL7" s="36">
        <v>1</v>
      </c>
      <c r="BM7" s="37">
        <v>3</v>
      </c>
      <c r="BN7" s="39">
        <v>6</v>
      </c>
      <c r="DI7" s="7" t="s">
        <v>33</v>
      </c>
    </row>
    <row r="8" spans="1:113" s="3" customFormat="1" ht="18" customHeight="1" x14ac:dyDescent="0.2">
      <c r="A8" s="35">
        <v>1</v>
      </c>
      <c r="B8" s="36">
        <v>4</v>
      </c>
      <c r="C8" s="36">
        <v>2</v>
      </c>
      <c r="D8" s="37">
        <v>2</v>
      </c>
      <c r="F8" s="38"/>
      <c r="G8" s="39">
        <v>6</v>
      </c>
      <c r="H8" s="40">
        <v>47</v>
      </c>
      <c r="J8" s="47"/>
      <c r="K8" s="42"/>
      <c r="L8" s="42"/>
      <c r="R8" s="35">
        <v>1</v>
      </c>
      <c r="S8" s="36">
        <v>4</v>
      </c>
      <c r="T8" s="36">
        <v>4</v>
      </c>
      <c r="U8" s="37">
        <v>3</v>
      </c>
      <c r="X8" s="48">
        <v>5</v>
      </c>
      <c r="Y8" s="49">
        <v>1</v>
      </c>
      <c r="Z8" s="50">
        <v>1</v>
      </c>
      <c r="AA8" s="50">
        <v>1</v>
      </c>
      <c r="AB8" s="50">
        <v>1</v>
      </c>
      <c r="AC8" s="50">
        <v>1</v>
      </c>
      <c r="AD8" s="50">
        <v>1</v>
      </c>
      <c r="AE8" s="50">
        <v>1</v>
      </c>
      <c r="AF8" s="50">
        <v>1</v>
      </c>
      <c r="AG8" s="50">
        <v>0</v>
      </c>
      <c r="AH8" s="50">
        <v>0</v>
      </c>
      <c r="AI8" s="50">
        <v>1</v>
      </c>
      <c r="AJ8" s="50">
        <v>1</v>
      </c>
      <c r="AK8" s="50">
        <v>1</v>
      </c>
      <c r="AL8" s="50">
        <v>1</v>
      </c>
      <c r="AM8" s="50">
        <v>0</v>
      </c>
      <c r="AN8" s="50">
        <v>0</v>
      </c>
      <c r="AO8" s="50">
        <v>0</v>
      </c>
      <c r="AP8" s="50">
        <v>0</v>
      </c>
      <c r="AQ8" s="50">
        <v>1</v>
      </c>
      <c r="AR8" s="50">
        <v>1</v>
      </c>
      <c r="AS8" s="50">
        <v>1</v>
      </c>
      <c r="AT8" s="50">
        <v>1</v>
      </c>
      <c r="AU8" s="50">
        <v>1</v>
      </c>
      <c r="AV8" s="50">
        <v>1</v>
      </c>
      <c r="AW8" s="50">
        <v>1</v>
      </c>
      <c r="AX8" s="50">
        <v>1</v>
      </c>
      <c r="AY8" s="50">
        <v>0</v>
      </c>
      <c r="AZ8" s="50">
        <v>0</v>
      </c>
      <c r="BA8" s="50">
        <v>1</v>
      </c>
      <c r="BB8" s="50">
        <v>1</v>
      </c>
      <c r="BC8" s="50">
        <v>1</v>
      </c>
      <c r="BD8" s="50">
        <v>1</v>
      </c>
      <c r="BE8" s="50">
        <v>0</v>
      </c>
      <c r="BF8" s="51">
        <v>0</v>
      </c>
      <c r="BG8" s="48">
        <v>24</v>
      </c>
      <c r="BH8" s="48">
        <v>10</v>
      </c>
      <c r="BJ8" s="35">
        <v>2</v>
      </c>
      <c r="BK8" s="36">
        <v>1</v>
      </c>
      <c r="BL8" s="36">
        <v>2</v>
      </c>
      <c r="BM8" s="37">
        <v>3</v>
      </c>
      <c r="BN8" s="39">
        <v>6</v>
      </c>
      <c r="DI8" s="7" t="s">
        <v>34</v>
      </c>
    </row>
    <row r="9" spans="1:113" s="3" customFormat="1" ht="18" customHeight="1" x14ac:dyDescent="0.2">
      <c r="A9" s="35">
        <v>1</v>
      </c>
      <c r="B9" s="36">
        <v>4</v>
      </c>
      <c r="C9" s="36">
        <v>2</v>
      </c>
      <c r="D9" s="37">
        <v>3</v>
      </c>
      <c r="F9" s="38"/>
      <c r="G9" s="39">
        <v>7</v>
      </c>
      <c r="H9" s="40">
        <v>20</v>
      </c>
      <c r="J9" s="47"/>
      <c r="K9" s="42"/>
      <c r="L9" s="42"/>
      <c r="R9" s="35">
        <v>2</v>
      </c>
      <c r="S9" s="36">
        <v>1</v>
      </c>
      <c r="T9" s="36">
        <v>1</v>
      </c>
      <c r="U9" s="37">
        <v>3</v>
      </c>
      <c r="X9" s="52">
        <v>11</v>
      </c>
      <c r="Y9" s="53">
        <v>0</v>
      </c>
      <c r="Z9" s="54">
        <v>0</v>
      </c>
      <c r="AA9" s="54">
        <v>1</v>
      </c>
      <c r="AB9" s="54">
        <v>1</v>
      </c>
      <c r="AC9" s="54">
        <v>0</v>
      </c>
      <c r="AD9" s="54">
        <v>0</v>
      </c>
      <c r="AE9" s="54">
        <v>1</v>
      </c>
      <c r="AF9" s="54">
        <v>1</v>
      </c>
      <c r="AG9" s="54">
        <v>1</v>
      </c>
      <c r="AH9" s="54">
        <v>1</v>
      </c>
      <c r="AI9" s="54">
        <v>0</v>
      </c>
      <c r="AJ9" s="54">
        <v>0</v>
      </c>
      <c r="AK9" s="54">
        <v>1</v>
      </c>
      <c r="AL9" s="54">
        <v>1</v>
      </c>
      <c r="AM9" s="54">
        <v>0</v>
      </c>
      <c r="AN9" s="54">
        <v>0</v>
      </c>
      <c r="AO9" s="54">
        <v>1</v>
      </c>
      <c r="AP9" s="54">
        <v>1</v>
      </c>
      <c r="AQ9" s="54">
        <v>0</v>
      </c>
      <c r="AR9" s="54">
        <v>0</v>
      </c>
      <c r="AS9" s="54">
        <v>1</v>
      </c>
      <c r="AT9" s="54">
        <v>1</v>
      </c>
      <c r="AU9" s="54">
        <v>0</v>
      </c>
      <c r="AV9" s="54">
        <v>0</v>
      </c>
      <c r="AW9" s="54">
        <v>1</v>
      </c>
      <c r="AX9" s="54">
        <v>1</v>
      </c>
      <c r="AY9" s="54">
        <v>1</v>
      </c>
      <c r="AZ9" s="54">
        <v>1</v>
      </c>
      <c r="BA9" s="54">
        <v>0</v>
      </c>
      <c r="BB9" s="54">
        <v>0</v>
      </c>
      <c r="BC9" s="54">
        <v>1</v>
      </c>
      <c r="BD9" s="54">
        <v>1</v>
      </c>
      <c r="BE9" s="54">
        <v>1</v>
      </c>
      <c r="BF9" s="55">
        <v>1</v>
      </c>
      <c r="BG9" s="52">
        <v>20</v>
      </c>
      <c r="BH9" s="52">
        <v>14</v>
      </c>
      <c r="BJ9" s="35">
        <v>2</v>
      </c>
      <c r="BK9" s="36">
        <v>1</v>
      </c>
      <c r="BL9" s="36">
        <v>3</v>
      </c>
      <c r="BM9" s="37">
        <v>3</v>
      </c>
      <c r="BN9" s="39">
        <v>6</v>
      </c>
      <c r="DI9" s="7" t="s">
        <v>35</v>
      </c>
    </row>
    <row r="10" spans="1:113" s="3" customFormat="1" ht="18" customHeight="1" x14ac:dyDescent="0.2">
      <c r="A10" s="35">
        <v>1</v>
      </c>
      <c r="B10" s="36">
        <v>4</v>
      </c>
      <c r="C10" s="36">
        <v>2</v>
      </c>
      <c r="D10" s="37">
        <v>4</v>
      </c>
      <c r="F10" s="38"/>
      <c r="G10" s="39">
        <v>8</v>
      </c>
      <c r="H10" s="40">
        <v>15</v>
      </c>
      <c r="J10" s="47"/>
      <c r="K10" s="42"/>
      <c r="L10" s="42"/>
      <c r="R10" s="35">
        <v>2</v>
      </c>
      <c r="S10" s="36">
        <v>1</v>
      </c>
      <c r="T10" s="36">
        <v>2</v>
      </c>
      <c r="U10" s="37">
        <v>3</v>
      </c>
      <c r="X10" s="52">
        <v>13</v>
      </c>
      <c r="Y10" s="53">
        <v>0</v>
      </c>
      <c r="Z10" s="54">
        <v>0</v>
      </c>
      <c r="AA10" s="54">
        <v>1</v>
      </c>
      <c r="AB10" s="54">
        <v>1</v>
      </c>
      <c r="AC10" s="54">
        <v>0</v>
      </c>
      <c r="AD10" s="54">
        <v>0</v>
      </c>
      <c r="AE10" s="54">
        <v>1</v>
      </c>
      <c r="AF10" s="54">
        <v>1</v>
      </c>
      <c r="AG10" s="54">
        <v>1</v>
      </c>
      <c r="AH10" s="54">
        <v>1</v>
      </c>
      <c r="AI10" s="54">
        <v>0</v>
      </c>
      <c r="AJ10" s="54">
        <v>0</v>
      </c>
      <c r="AK10" s="54">
        <v>1</v>
      </c>
      <c r="AL10" s="54">
        <v>1</v>
      </c>
      <c r="AM10" s="54">
        <v>0</v>
      </c>
      <c r="AN10" s="54">
        <v>0</v>
      </c>
      <c r="AO10" s="54">
        <v>1</v>
      </c>
      <c r="AP10" s="54">
        <v>1</v>
      </c>
      <c r="AQ10" s="54">
        <v>0</v>
      </c>
      <c r="AR10" s="54">
        <v>0</v>
      </c>
      <c r="AS10" s="54">
        <v>1</v>
      </c>
      <c r="AT10" s="54">
        <v>1</v>
      </c>
      <c r="AU10" s="54">
        <v>0</v>
      </c>
      <c r="AV10" s="54">
        <v>0</v>
      </c>
      <c r="AW10" s="54">
        <v>1</v>
      </c>
      <c r="AX10" s="54">
        <v>1</v>
      </c>
      <c r="AY10" s="54">
        <v>1</v>
      </c>
      <c r="AZ10" s="54">
        <v>1</v>
      </c>
      <c r="BA10" s="54">
        <v>0</v>
      </c>
      <c r="BB10" s="54">
        <v>0</v>
      </c>
      <c r="BC10" s="54">
        <v>1</v>
      </c>
      <c r="BD10" s="54">
        <v>1</v>
      </c>
      <c r="BE10" s="54">
        <v>1</v>
      </c>
      <c r="BF10" s="55">
        <v>1</v>
      </c>
      <c r="BG10" s="52">
        <v>20</v>
      </c>
      <c r="BH10" s="52">
        <v>14</v>
      </c>
      <c r="BJ10" s="35">
        <v>2</v>
      </c>
      <c r="BK10" s="36">
        <v>1</v>
      </c>
      <c r="BL10" s="36">
        <v>4</v>
      </c>
      <c r="BM10" s="37">
        <v>3</v>
      </c>
      <c r="BN10" s="39">
        <v>6</v>
      </c>
      <c r="DI10" s="7" t="s">
        <v>36</v>
      </c>
    </row>
    <row r="11" spans="1:113" s="3" customFormat="1" ht="18" customHeight="1" x14ac:dyDescent="0.2">
      <c r="A11" s="35">
        <v>1</v>
      </c>
      <c r="B11" s="36">
        <v>4</v>
      </c>
      <c r="C11" s="36">
        <v>3</v>
      </c>
      <c r="D11" s="37">
        <v>1</v>
      </c>
      <c r="F11" s="38"/>
      <c r="G11" s="39">
        <v>9</v>
      </c>
      <c r="H11" s="40">
        <v>90</v>
      </c>
      <c r="J11" s="47"/>
      <c r="K11" s="42"/>
      <c r="L11" s="42"/>
      <c r="R11" s="35">
        <v>2</v>
      </c>
      <c r="S11" s="36">
        <v>1</v>
      </c>
      <c r="T11" s="36">
        <v>3</v>
      </c>
      <c r="U11" s="37">
        <v>3</v>
      </c>
      <c r="X11" s="52">
        <v>16</v>
      </c>
      <c r="Y11" s="53">
        <v>0</v>
      </c>
      <c r="Z11" s="54">
        <v>0</v>
      </c>
      <c r="AA11" s="54">
        <v>1</v>
      </c>
      <c r="AB11" s="54">
        <v>1</v>
      </c>
      <c r="AC11" s="54">
        <v>0</v>
      </c>
      <c r="AD11" s="54">
        <v>0</v>
      </c>
      <c r="AE11" s="54">
        <v>1</v>
      </c>
      <c r="AF11" s="54">
        <v>1</v>
      </c>
      <c r="AG11" s="54">
        <v>1</v>
      </c>
      <c r="AH11" s="54">
        <v>1</v>
      </c>
      <c r="AI11" s="54">
        <v>0</v>
      </c>
      <c r="AJ11" s="54">
        <v>0</v>
      </c>
      <c r="AK11" s="54">
        <v>1</v>
      </c>
      <c r="AL11" s="54">
        <v>1</v>
      </c>
      <c r="AM11" s="54">
        <v>0</v>
      </c>
      <c r="AN11" s="54">
        <v>0</v>
      </c>
      <c r="AO11" s="54">
        <v>1</v>
      </c>
      <c r="AP11" s="54">
        <v>1</v>
      </c>
      <c r="AQ11" s="54">
        <v>0</v>
      </c>
      <c r="AR11" s="54">
        <v>0</v>
      </c>
      <c r="AS11" s="54">
        <v>1</v>
      </c>
      <c r="AT11" s="54">
        <v>1</v>
      </c>
      <c r="AU11" s="54">
        <v>0</v>
      </c>
      <c r="AV11" s="54">
        <v>0</v>
      </c>
      <c r="AW11" s="54">
        <v>1</v>
      </c>
      <c r="AX11" s="54">
        <v>1</v>
      </c>
      <c r="AY11" s="54">
        <v>1</v>
      </c>
      <c r="AZ11" s="54">
        <v>1</v>
      </c>
      <c r="BA11" s="54">
        <v>0</v>
      </c>
      <c r="BB11" s="54">
        <v>0</v>
      </c>
      <c r="BC11" s="54">
        <v>1</v>
      </c>
      <c r="BD11" s="54">
        <v>1</v>
      </c>
      <c r="BE11" s="54">
        <v>1</v>
      </c>
      <c r="BF11" s="55">
        <v>1</v>
      </c>
      <c r="BG11" s="52">
        <v>20</v>
      </c>
      <c r="BH11" s="52">
        <v>14</v>
      </c>
      <c r="BJ11" s="35">
        <v>2</v>
      </c>
      <c r="BK11" s="36">
        <v>2</v>
      </c>
      <c r="BL11" s="36">
        <v>1</v>
      </c>
      <c r="BM11" s="37">
        <v>3</v>
      </c>
      <c r="BN11" s="39">
        <v>6</v>
      </c>
      <c r="DI11" s="7" t="s">
        <v>30</v>
      </c>
    </row>
    <row r="12" spans="1:113" s="3" customFormat="1" ht="18.5" customHeight="1" x14ac:dyDescent="0.2">
      <c r="A12" s="35">
        <v>1</v>
      </c>
      <c r="B12" s="36">
        <v>4</v>
      </c>
      <c r="C12" s="36">
        <v>3</v>
      </c>
      <c r="D12" s="37">
        <v>2</v>
      </c>
      <c r="F12" s="38"/>
      <c r="G12" s="56">
        <v>10</v>
      </c>
      <c r="H12" s="57">
        <v>45</v>
      </c>
      <c r="J12" s="47"/>
      <c r="K12" s="42"/>
      <c r="L12" s="42"/>
      <c r="R12" s="35">
        <v>2</v>
      </c>
      <c r="S12" s="36">
        <v>1</v>
      </c>
      <c r="T12" s="36">
        <v>4</v>
      </c>
      <c r="U12" s="37">
        <v>3</v>
      </c>
      <c r="X12" s="52">
        <v>17</v>
      </c>
      <c r="Y12" s="53">
        <v>0</v>
      </c>
      <c r="Z12" s="54">
        <v>0</v>
      </c>
      <c r="AA12" s="54">
        <v>1</v>
      </c>
      <c r="AB12" s="54">
        <v>1</v>
      </c>
      <c r="AC12" s="54">
        <v>0</v>
      </c>
      <c r="AD12" s="54">
        <v>0</v>
      </c>
      <c r="AE12" s="54">
        <v>1</v>
      </c>
      <c r="AF12" s="54">
        <v>1</v>
      </c>
      <c r="AG12" s="54">
        <v>1</v>
      </c>
      <c r="AH12" s="54">
        <v>1</v>
      </c>
      <c r="AI12" s="54">
        <v>0</v>
      </c>
      <c r="AJ12" s="54">
        <v>0</v>
      </c>
      <c r="AK12" s="54">
        <v>1</v>
      </c>
      <c r="AL12" s="54">
        <v>1</v>
      </c>
      <c r="AM12" s="54">
        <v>0</v>
      </c>
      <c r="AN12" s="54">
        <v>0</v>
      </c>
      <c r="AO12" s="54">
        <v>1</v>
      </c>
      <c r="AP12" s="54">
        <v>1</v>
      </c>
      <c r="AQ12" s="54">
        <v>0</v>
      </c>
      <c r="AR12" s="54">
        <v>0</v>
      </c>
      <c r="AS12" s="54">
        <v>1</v>
      </c>
      <c r="AT12" s="54">
        <v>1</v>
      </c>
      <c r="AU12" s="54">
        <v>0</v>
      </c>
      <c r="AV12" s="54">
        <v>0</v>
      </c>
      <c r="AW12" s="54">
        <v>1</v>
      </c>
      <c r="AX12" s="54">
        <v>1</v>
      </c>
      <c r="AY12" s="54">
        <v>1</v>
      </c>
      <c r="AZ12" s="54">
        <v>1</v>
      </c>
      <c r="BA12" s="54">
        <v>0</v>
      </c>
      <c r="BB12" s="54">
        <v>0</v>
      </c>
      <c r="BC12" s="54">
        <v>1</v>
      </c>
      <c r="BD12" s="54">
        <v>1</v>
      </c>
      <c r="BE12" s="54">
        <v>1</v>
      </c>
      <c r="BF12" s="55">
        <v>1</v>
      </c>
      <c r="BG12" s="52">
        <v>20</v>
      </c>
      <c r="BH12" s="52">
        <v>14</v>
      </c>
      <c r="BJ12" s="35">
        <v>2</v>
      </c>
      <c r="BK12" s="36">
        <v>2</v>
      </c>
      <c r="BL12" s="36">
        <v>2</v>
      </c>
      <c r="BM12" s="37">
        <v>3</v>
      </c>
      <c r="BN12" s="39">
        <v>6</v>
      </c>
      <c r="DI12" s="7" t="s">
        <v>37</v>
      </c>
    </row>
    <row r="13" spans="1:113" s="3" customFormat="1" ht="19" customHeight="1" x14ac:dyDescent="0.2">
      <c r="A13" s="35">
        <v>1</v>
      </c>
      <c r="B13" s="36">
        <v>4</v>
      </c>
      <c r="C13" s="36">
        <v>3</v>
      </c>
      <c r="D13" s="37">
        <v>3</v>
      </c>
      <c r="J13" s="47"/>
      <c r="K13" s="42"/>
      <c r="L13" s="42"/>
      <c r="R13" s="35">
        <v>2</v>
      </c>
      <c r="S13" s="36">
        <v>2</v>
      </c>
      <c r="T13" s="36">
        <v>1</v>
      </c>
      <c r="U13" s="37">
        <v>3</v>
      </c>
      <c r="X13" s="52">
        <v>18</v>
      </c>
      <c r="Y13" s="53">
        <v>0</v>
      </c>
      <c r="Z13" s="54">
        <v>0</v>
      </c>
      <c r="AA13" s="54">
        <v>1</v>
      </c>
      <c r="AB13" s="54">
        <v>1</v>
      </c>
      <c r="AC13" s="54">
        <v>0</v>
      </c>
      <c r="AD13" s="54">
        <v>0</v>
      </c>
      <c r="AE13" s="54">
        <v>1</v>
      </c>
      <c r="AF13" s="54">
        <v>1</v>
      </c>
      <c r="AG13" s="54">
        <v>1</v>
      </c>
      <c r="AH13" s="54">
        <v>1</v>
      </c>
      <c r="AI13" s="54">
        <v>0</v>
      </c>
      <c r="AJ13" s="54">
        <v>0</v>
      </c>
      <c r="AK13" s="54">
        <v>1</v>
      </c>
      <c r="AL13" s="54">
        <v>1</v>
      </c>
      <c r="AM13" s="54">
        <v>0</v>
      </c>
      <c r="AN13" s="54">
        <v>0</v>
      </c>
      <c r="AO13" s="54">
        <v>1</v>
      </c>
      <c r="AP13" s="54">
        <v>1</v>
      </c>
      <c r="AQ13" s="54">
        <v>0</v>
      </c>
      <c r="AR13" s="54">
        <v>0</v>
      </c>
      <c r="AS13" s="54">
        <v>1</v>
      </c>
      <c r="AT13" s="54">
        <v>1</v>
      </c>
      <c r="AU13" s="54">
        <v>0</v>
      </c>
      <c r="AV13" s="54">
        <v>0</v>
      </c>
      <c r="AW13" s="54">
        <v>1</v>
      </c>
      <c r="AX13" s="54">
        <v>1</v>
      </c>
      <c r="AY13" s="54">
        <v>1</v>
      </c>
      <c r="AZ13" s="54">
        <v>1</v>
      </c>
      <c r="BA13" s="54">
        <v>0</v>
      </c>
      <c r="BB13" s="54">
        <v>0</v>
      </c>
      <c r="BC13" s="54">
        <v>1</v>
      </c>
      <c r="BD13" s="54">
        <v>1</v>
      </c>
      <c r="BE13" s="54">
        <v>1</v>
      </c>
      <c r="BF13" s="55">
        <v>1</v>
      </c>
      <c r="BG13" s="52">
        <v>20</v>
      </c>
      <c r="BH13" s="52">
        <v>14</v>
      </c>
      <c r="BJ13" s="35">
        <v>2</v>
      </c>
      <c r="BK13" s="36">
        <v>2</v>
      </c>
      <c r="BL13" s="36">
        <v>3</v>
      </c>
      <c r="BM13" s="37">
        <v>3</v>
      </c>
      <c r="BN13" s="39">
        <v>6</v>
      </c>
      <c r="DI13" s="7" t="s">
        <v>38</v>
      </c>
    </row>
    <row r="14" spans="1:113" s="3" customFormat="1" ht="19" customHeight="1" x14ac:dyDescent="0.2">
      <c r="A14" s="35">
        <v>1</v>
      </c>
      <c r="B14" s="36">
        <v>4</v>
      </c>
      <c r="C14" s="36">
        <v>3</v>
      </c>
      <c r="D14" s="37">
        <v>4</v>
      </c>
      <c r="F14" s="8" t="s">
        <v>39</v>
      </c>
      <c r="G14" s="17" t="s">
        <v>40</v>
      </c>
      <c r="H14" s="19" t="s">
        <v>41</v>
      </c>
      <c r="J14" s="47"/>
      <c r="K14" s="42"/>
      <c r="L14" s="42"/>
      <c r="R14" s="35">
        <v>2</v>
      </c>
      <c r="S14" s="36">
        <v>2</v>
      </c>
      <c r="T14" s="36">
        <v>2</v>
      </c>
      <c r="U14" s="37">
        <v>3</v>
      </c>
      <c r="X14" s="52">
        <v>19</v>
      </c>
      <c r="Y14" s="53">
        <v>0</v>
      </c>
      <c r="Z14" s="54">
        <v>0</v>
      </c>
      <c r="AA14" s="54">
        <v>1</v>
      </c>
      <c r="AB14" s="54">
        <v>1</v>
      </c>
      <c r="AC14" s="54">
        <v>0</v>
      </c>
      <c r="AD14" s="54">
        <v>0</v>
      </c>
      <c r="AE14" s="54">
        <v>1</v>
      </c>
      <c r="AF14" s="54">
        <v>1</v>
      </c>
      <c r="AG14" s="54">
        <v>1</v>
      </c>
      <c r="AH14" s="54">
        <v>1</v>
      </c>
      <c r="AI14" s="54">
        <v>0</v>
      </c>
      <c r="AJ14" s="54">
        <v>0</v>
      </c>
      <c r="AK14" s="54">
        <v>1</v>
      </c>
      <c r="AL14" s="54">
        <v>1</v>
      </c>
      <c r="AM14" s="54">
        <v>0</v>
      </c>
      <c r="AN14" s="54">
        <v>0</v>
      </c>
      <c r="AO14" s="54">
        <v>1</v>
      </c>
      <c r="AP14" s="54">
        <v>1</v>
      </c>
      <c r="AQ14" s="54">
        <v>0</v>
      </c>
      <c r="AR14" s="54">
        <v>0</v>
      </c>
      <c r="AS14" s="54">
        <v>1</v>
      </c>
      <c r="AT14" s="54">
        <v>1</v>
      </c>
      <c r="AU14" s="54">
        <v>0</v>
      </c>
      <c r="AV14" s="54">
        <v>0</v>
      </c>
      <c r="AW14" s="54">
        <v>1</v>
      </c>
      <c r="AX14" s="54">
        <v>1</v>
      </c>
      <c r="AY14" s="54">
        <v>1</v>
      </c>
      <c r="AZ14" s="54">
        <v>1</v>
      </c>
      <c r="BA14" s="54">
        <v>0</v>
      </c>
      <c r="BB14" s="54">
        <v>0</v>
      </c>
      <c r="BC14" s="54">
        <v>1</v>
      </c>
      <c r="BD14" s="54">
        <v>1</v>
      </c>
      <c r="BE14" s="54">
        <v>1</v>
      </c>
      <c r="BF14" s="55">
        <v>1</v>
      </c>
      <c r="BG14" s="52">
        <v>20</v>
      </c>
      <c r="BH14" s="52">
        <v>14</v>
      </c>
      <c r="BJ14" s="35">
        <v>2</v>
      </c>
      <c r="BK14" s="36">
        <v>2</v>
      </c>
      <c r="BL14" s="36">
        <v>4</v>
      </c>
      <c r="BM14" s="37">
        <v>3</v>
      </c>
      <c r="BN14" s="39">
        <v>6</v>
      </c>
      <c r="DI14" s="7" t="s">
        <v>42</v>
      </c>
    </row>
    <row r="15" spans="1:113" s="3" customFormat="1" ht="18.5" customHeight="1" x14ac:dyDescent="0.2">
      <c r="A15" s="35">
        <v>2</v>
      </c>
      <c r="B15" s="36">
        <v>1</v>
      </c>
      <c r="C15" s="36">
        <v>1</v>
      </c>
      <c r="D15" s="37">
        <v>1</v>
      </c>
      <c r="F15" s="27" t="s">
        <v>43</v>
      </c>
      <c r="G15" s="23">
        <v>1</v>
      </c>
      <c r="H15" s="25">
        <v>15</v>
      </c>
      <c r="J15" s="47"/>
      <c r="K15" s="42"/>
      <c r="L15" s="42"/>
      <c r="R15" s="35">
        <v>2</v>
      </c>
      <c r="S15" s="36">
        <v>2</v>
      </c>
      <c r="T15" s="36">
        <v>3</v>
      </c>
      <c r="U15" s="37">
        <v>3</v>
      </c>
      <c r="X15" s="52">
        <v>21</v>
      </c>
      <c r="Y15" s="53">
        <v>0</v>
      </c>
      <c r="Z15" s="54">
        <v>0</v>
      </c>
      <c r="AA15" s="54">
        <v>1</v>
      </c>
      <c r="AB15" s="54">
        <v>1</v>
      </c>
      <c r="AC15" s="54">
        <v>0</v>
      </c>
      <c r="AD15" s="54">
        <v>0</v>
      </c>
      <c r="AE15" s="54">
        <v>1</v>
      </c>
      <c r="AF15" s="54">
        <v>1</v>
      </c>
      <c r="AG15" s="54">
        <v>1</v>
      </c>
      <c r="AH15" s="54">
        <v>1</v>
      </c>
      <c r="AI15" s="54">
        <v>0</v>
      </c>
      <c r="AJ15" s="54">
        <v>0</v>
      </c>
      <c r="AK15" s="54">
        <v>1</v>
      </c>
      <c r="AL15" s="54">
        <v>1</v>
      </c>
      <c r="AM15" s="54">
        <v>0</v>
      </c>
      <c r="AN15" s="54">
        <v>0</v>
      </c>
      <c r="AO15" s="54">
        <v>1</v>
      </c>
      <c r="AP15" s="54">
        <v>1</v>
      </c>
      <c r="AQ15" s="54">
        <v>0</v>
      </c>
      <c r="AR15" s="54">
        <v>0</v>
      </c>
      <c r="AS15" s="54">
        <v>1</v>
      </c>
      <c r="AT15" s="54">
        <v>1</v>
      </c>
      <c r="AU15" s="54">
        <v>0</v>
      </c>
      <c r="AV15" s="54">
        <v>0</v>
      </c>
      <c r="AW15" s="54">
        <v>1</v>
      </c>
      <c r="AX15" s="54">
        <v>1</v>
      </c>
      <c r="AY15" s="54">
        <v>1</v>
      </c>
      <c r="AZ15" s="54">
        <v>1</v>
      </c>
      <c r="BA15" s="54">
        <v>0</v>
      </c>
      <c r="BB15" s="54">
        <v>0</v>
      </c>
      <c r="BC15" s="54">
        <v>1</v>
      </c>
      <c r="BD15" s="54">
        <v>1</v>
      </c>
      <c r="BE15" s="54">
        <v>1</v>
      </c>
      <c r="BF15" s="55">
        <v>1</v>
      </c>
      <c r="BG15" s="52">
        <v>20</v>
      </c>
      <c r="BH15" s="52">
        <v>14</v>
      </c>
      <c r="BJ15" s="35">
        <v>2</v>
      </c>
      <c r="BK15" s="36">
        <v>4</v>
      </c>
      <c r="BL15" s="36">
        <v>1</v>
      </c>
      <c r="BM15" s="37">
        <v>3</v>
      </c>
      <c r="BN15" s="39">
        <v>6</v>
      </c>
      <c r="DI15" s="7" t="s">
        <v>44</v>
      </c>
    </row>
    <row r="16" spans="1:113" s="3" customFormat="1" ht="18.5" customHeight="1" x14ac:dyDescent="0.2">
      <c r="A16" s="35">
        <v>2</v>
      </c>
      <c r="B16" s="36">
        <v>1</v>
      </c>
      <c r="C16" s="36">
        <v>1</v>
      </c>
      <c r="D16" s="37">
        <v>2</v>
      </c>
      <c r="F16" s="58"/>
      <c r="G16" s="35">
        <v>2</v>
      </c>
      <c r="H16" s="37">
        <v>10</v>
      </c>
      <c r="R16" s="35">
        <v>2</v>
      </c>
      <c r="S16" s="36">
        <v>2</v>
      </c>
      <c r="T16" s="36">
        <v>4</v>
      </c>
      <c r="U16" s="37">
        <v>3</v>
      </c>
      <c r="X16" s="52">
        <v>22</v>
      </c>
      <c r="Y16" s="53">
        <v>0</v>
      </c>
      <c r="Z16" s="54">
        <v>0</v>
      </c>
      <c r="AA16" s="54">
        <v>1</v>
      </c>
      <c r="AB16" s="54">
        <v>1</v>
      </c>
      <c r="AC16" s="54">
        <v>0</v>
      </c>
      <c r="AD16" s="54">
        <v>0</v>
      </c>
      <c r="AE16" s="54">
        <v>1</v>
      </c>
      <c r="AF16" s="54">
        <v>1</v>
      </c>
      <c r="AG16" s="54">
        <v>1</v>
      </c>
      <c r="AH16" s="54">
        <v>1</v>
      </c>
      <c r="AI16" s="54">
        <v>0</v>
      </c>
      <c r="AJ16" s="54">
        <v>0</v>
      </c>
      <c r="AK16" s="54">
        <v>1</v>
      </c>
      <c r="AL16" s="54">
        <v>1</v>
      </c>
      <c r="AM16" s="54">
        <v>0</v>
      </c>
      <c r="AN16" s="54">
        <v>0</v>
      </c>
      <c r="AO16" s="54">
        <v>1</v>
      </c>
      <c r="AP16" s="54">
        <v>1</v>
      </c>
      <c r="AQ16" s="54">
        <v>0</v>
      </c>
      <c r="AR16" s="54">
        <v>0</v>
      </c>
      <c r="AS16" s="54">
        <v>1</v>
      </c>
      <c r="AT16" s="54">
        <v>1</v>
      </c>
      <c r="AU16" s="54">
        <v>0</v>
      </c>
      <c r="AV16" s="54">
        <v>0</v>
      </c>
      <c r="AW16" s="54">
        <v>1</v>
      </c>
      <c r="AX16" s="54">
        <v>1</v>
      </c>
      <c r="AY16" s="54">
        <v>1</v>
      </c>
      <c r="AZ16" s="54">
        <v>1</v>
      </c>
      <c r="BA16" s="54">
        <v>0</v>
      </c>
      <c r="BB16" s="54">
        <v>0</v>
      </c>
      <c r="BC16" s="54">
        <v>1</v>
      </c>
      <c r="BD16" s="54">
        <v>1</v>
      </c>
      <c r="BE16" s="54">
        <v>1</v>
      </c>
      <c r="BF16" s="55">
        <v>1</v>
      </c>
      <c r="BG16" s="52">
        <v>20</v>
      </c>
      <c r="BH16" s="52">
        <v>14</v>
      </c>
      <c r="BJ16" s="35">
        <v>2</v>
      </c>
      <c r="BK16" s="36">
        <v>4</v>
      </c>
      <c r="BL16" s="36">
        <v>2</v>
      </c>
      <c r="BM16" s="37">
        <v>3</v>
      </c>
      <c r="BN16" s="39">
        <v>6</v>
      </c>
      <c r="DI16" s="7" t="s">
        <v>45</v>
      </c>
    </row>
    <row r="17" spans="1:113" s="3" customFormat="1" ht="19" customHeight="1" x14ac:dyDescent="0.2">
      <c r="A17" s="35">
        <v>2</v>
      </c>
      <c r="B17" s="36">
        <v>1</v>
      </c>
      <c r="C17" s="36">
        <v>1</v>
      </c>
      <c r="D17" s="37">
        <v>3</v>
      </c>
      <c r="F17" s="6" t="s">
        <v>46</v>
      </c>
      <c r="G17" s="35">
        <v>3</v>
      </c>
      <c r="H17" s="37">
        <v>5</v>
      </c>
      <c r="R17" s="35">
        <v>2</v>
      </c>
      <c r="S17" s="36">
        <v>4</v>
      </c>
      <c r="T17" s="36">
        <v>1</v>
      </c>
      <c r="U17" s="37">
        <v>3</v>
      </c>
      <c r="X17" s="52">
        <v>24</v>
      </c>
      <c r="Y17" s="53">
        <v>0</v>
      </c>
      <c r="Z17" s="54">
        <v>0</v>
      </c>
      <c r="AA17" s="54">
        <v>1</v>
      </c>
      <c r="AB17" s="54">
        <v>1</v>
      </c>
      <c r="AC17" s="54">
        <v>0</v>
      </c>
      <c r="AD17" s="54">
        <v>0</v>
      </c>
      <c r="AE17" s="54">
        <v>1</v>
      </c>
      <c r="AF17" s="54">
        <v>1</v>
      </c>
      <c r="AG17" s="54">
        <v>1</v>
      </c>
      <c r="AH17" s="54">
        <v>1</v>
      </c>
      <c r="AI17" s="54">
        <v>0</v>
      </c>
      <c r="AJ17" s="54">
        <v>0</v>
      </c>
      <c r="AK17" s="54">
        <v>1</v>
      </c>
      <c r="AL17" s="54">
        <v>1</v>
      </c>
      <c r="AM17" s="54">
        <v>0</v>
      </c>
      <c r="AN17" s="54">
        <v>0</v>
      </c>
      <c r="AO17" s="54">
        <v>1</v>
      </c>
      <c r="AP17" s="54">
        <v>1</v>
      </c>
      <c r="AQ17" s="54">
        <v>0</v>
      </c>
      <c r="AR17" s="54">
        <v>0</v>
      </c>
      <c r="AS17" s="54">
        <v>1</v>
      </c>
      <c r="AT17" s="54">
        <v>1</v>
      </c>
      <c r="AU17" s="54">
        <v>0</v>
      </c>
      <c r="AV17" s="54">
        <v>0</v>
      </c>
      <c r="AW17" s="54">
        <v>1</v>
      </c>
      <c r="AX17" s="54">
        <v>1</v>
      </c>
      <c r="AY17" s="54">
        <v>1</v>
      </c>
      <c r="AZ17" s="54">
        <v>1</v>
      </c>
      <c r="BA17" s="54">
        <v>0</v>
      </c>
      <c r="BB17" s="54">
        <v>0</v>
      </c>
      <c r="BC17" s="54">
        <v>1</v>
      </c>
      <c r="BD17" s="54">
        <v>1</v>
      </c>
      <c r="BE17" s="54">
        <v>1</v>
      </c>
      <c r="BF17" s="55">
        <v>1</v>
      </c>
      <c r="BG17" s="52">
        <v>20</v>
      </c>
      <c r="BH17" s="52">
        <v>14</v>
      </c>
      <c r="BJ17" s="35">
        <v>2</v>
      </c>
      <c r="BK17" s="36">
        <v>4</v>
      </c>
      <c r="BL17" s="36">
        <v>3</v>
      </c>
      <c r="BM17" s="37">
        <v>3</v>
      </c>
      <c r="BN17" s="39">
        <v>6</v>
      </c>
      <c r="DI17" s="7" t="s">
        <v>47</v>
      </c>
    </row>
    <row r="18" spans="1:113" s="3" customFormat="1" ht="19" customHeight="1" x14ac:dyDescent="0.2">
      <c r="A18" s="35">
        <v>2</v>
      </c>
      <c r="B18" s="36">
        <v>1</v>
      </c>
      <c r="C18" s="36">
        <v>1</v>
      </c>
      <c r="D18" s="37">
        <v>4</v>
      </c>
      <c r="F18" s="59"/>
      <c r="G18" s="32">
        <v>4</v>
      </c>
      <c r="H18" s="34">
        <v>3</v>
      </c>
      <c r="R18" s="35">
        <v>2</v>
      </c>
      <c r="S18" s="36">
        <v>4</v>
      </c>
      <c r="T18" s="36">
        <v>2</v>
      </c>
      <c r="U18" s="37">
        <v>3</v>
      </c>
      <c r="X18" s="52">
        <v>25</v>
      </c>
      <c r="Y18" s="53">
        <v>0</v>
      </c>
      <c r="Z18" s="54">
        <v>0</v>
      </c>
      <c r="AA18" s="54">
        <v>1</v>
      </c>
      <c r="AB18" s="54">
        <v>1</v>
      </c>
      <c r="AC18" s="54">
        <v>0</v>
      </c>
      <c r="AD18" s="54">
        <v>0</v>
      </c>
      <c r="AE18" s="54">
        <v>1</v>
      </c>
      <c r="AF18" s="54">
        <v>1</v>
      </c>
      <c r="AG18" s="54">
        <v>1</v>
      </c>
      <c r="AH18" s="54">
        <v>1</v>
      </c>
      <c r="AI18" s="54">
        <v>0</v>
      </c>
      <c r="AJ18" s="54">
        <v>0</v>
      </c>
      <c r="AK18" s="54">
        <v>1</v>
      </c>
      <c r="AL18" s="54">
        <v>1</v>
      </c>
      <c r="AM18" s="54">
        <v>0</v>
      </c>
      <c r="AN18" s="54">
        <v>0</v>
      </c>
      <c r="AO18" s="54">
        <v>1</v>
      </c>
      <c r="AP18" s="54">
        <v>1</v>
      </c>
      <c r="AQ18" s="54">
        <v>0</v>
      </c>
      <c r="AR18" s="54">
        <v>0</v>
      </c>
      <c r="AS18" s="54">
        <v>1</v>
      </c>
      <c r="AT18" s="54">
        <v>1</v>
      </c>
      <c r="AU18" s="54">
        <v>0</v>
      </c>
      <c r="AV18" s="54">
        <v>0</v>
      </c>
      <c r="AW18" s="54">
        <v>1</v>
      </c>
      <c r="AX18" s="54">
        <v>1</v>
      </c>
      <c r="AY18" s="54">
        <v>1</v>
      </c>
      <c r="AZ18" s="54">
        <v>1</v>
      </c>
      <c r="BA18" s="54">
        <v>0</v>
      </c>
      <c r="BB18" s="54">
        <v>0</v>
      </c>
      <c r="BC18" s="54">
        <v>1</v>
      </c>
      <c r="BD18" s="54">
        <v>1</v>
      </c>
      <c r="BE18" s="54">
        <v>1</v>
      </c>
      <c r="BF18" s="55">
        <v>1</v>
      </c>
      <c r="BG18" s="52">
        <v>20</v>
      </c>
      <c r="BH18" s="52">
        <v>14</v>
      </c>
      <c r="BJ18" s="35">
        <v>2</v>
      </c>
      <c r="BK18" s="36">
        <v>4</v>
      </c>
      <c r="BL18" s="36">
        <v>4</v>
      </c>
      <c r="BM18" s="37">
        <v>3</v>
      </c>
      <c r="BN18" s="39">
        <v>6</v>
      </c>
      <c r="DI18" s="7" t="s">
        <v>48</v>
      </c>
    </row>
    <row r="19" spans="1:113" s="3" customFormat="1" ht="18.5" customHeight="1" x14ac:dyDescent="0.2">
      <c r="A19" s="35">
        <v>2</v>
      </c>
      <c r="B19" s="36">
        <v>1</v>
      </c>
      <c r="C19" s="36">
        <v>2</v>
      </c>
      <c r="D19" s="37">
        <v>1</v>
      </c>
      <c r="R19" s="35">
        <v>2</v>
      </c>
      <c r="S19" s="36">
        <v>4</v>
      </c>
      <c r="T19" s="36">
        <v>3</v>
      </c>
      <c r="U19" s="37">
        <v>3</v>
      </c>
      <c r="X19" s="52">
        <v>31</v>
      </c>
      <c r="Y19" s="53">
        <v>0</v>
      </c>
      <c r="Z19" s="54">
        <v>0</v>
      </c>
      <c r="AA19" s="54">
        <v>1</v>
      </c>
      <c r="AB19" s="54">
        <v>1</v>
      </c>
      <c r="AC19" s="54">
        <v>0</v>
      </c>
      <c r="AD19" s="54">
        <v>0</v>
      </c>
      <c r="AE19" s="54">
        <v>1</v>
      </c>
      <c r="AF19" s="54">
        <v>1</v>
      </c>
      <c r="AG19" s="54">
        <v>1</v>
      </c>
      <c r="AH19" s="54">
        <v>1</v>
      </c>
      <c r="AI19" s="54">
        <v>0</v>
      </c>
      <c r="AJ19" s="54">
        <v>0</v>
      </c>
      <c r="AK19" s="54">
        <v>1</v>
      </c>
      <c r="AL19" s="54">
        <v>1</v>
      </c>
      <c r="AM19" s="54">
        <v>0</v>
      </c>
      <c r="AN19" s="54">
        <v>0</v>
      </c>
      <c r="AO19" s="54">
        <v>1</v>
      </c>
      <c r="AP19" s="54">
        <v>1</v>
      </c>
      <c r="AQ19" s="54">
        <v>0</v>
      </c>
      <c r="AR19" s="54">
        <v>0</v>
      </c>
      <c r="AS19" s="54">
        <v>1</v>
      </c>
      <c r="AT19" s="54">
        <v>1</v>
      </c>
      <c r="AU19" s="54">
        <v>0</v>
      </c>
      <c r="AV19" s="54">
        <v>0</v>
      </c>
      <c r="AW19" s="54">
        <v>1</v>
      </c>
      <c r="AX19" s="54">
        <v>1</v>
      </c>
      <c r="AY19" s="54">
        <v>1</v>
      </c>
      <c r="AZ19" s="54">
        <v>1</v>
      </c>
      <c r="BA19" s="54">
        <v>0</v>
      </c>
      <c r="BB19" s="54">
        <v>0</v>
      </c>
      <c r="BC19" s="54">
        <v>1</v>
      </c>
      <c r="BD19" s="54">
        <v>1</v>
      </c>
      <c r="BE19" s="54">
        <v>1</v>
      </c>
      <c r="BF19" s="55">
        <v>1</v>
      </c>
      <c r="BG19" s="52">
        <v>20</v>
      </c>
      <c r="BH19" s="52">
        <v>14</v>
      </c>
      <c r="BJ19" s="35">
        <v>2</v>
      </c>
      <c r="BK19" s="36">
        <v>6</v>
      </c>
      <c r="BL19" s="36">
        <v>1</v>
      </c>
      <c r="BM19" s="37">
        <v>3</v>
      </c>
      <c r="BN19" s="39">
        <v>6</v>
      </c>
      <c r="DI19" s="7" t="s">
        <v>49</v>
      </c>
    </row>
    <row r="20" spans="1:113" s="3" customFormat="1" ht="18" customHeight="1" x14ac:dyDescent="0.2">
      <c r="A20" s="35">
        <v>2</v>
      </c>
      <c r="B20" s="36">
        <v>1</v>
      </c>
      <c r="C20" s="36">
        <v>2</v>
      </c>
      <c r="D20" s="37">
        <v>2</v>
      </c>
      <c r="R20" s="35">
        <v>2</v>
      </c>
      <c r="S20" s="36">
        <v>4</v>
      </c>
      <c r="T20" s="36">
        <v>4</v>
      </c>
      <c r="U20" s="37">
        <v>3</v>
      </c>
      <c r="X20" s="52">
        <v>32</v>
      </c>
      <c r="Y20" s="53">
        <v>0</v>
      </c>
      <c r="Z20" s="54">
        <v>0</v>
      </c>
      <c r="AA20" s="54">
        <v>1</v>
      </c>
      <c r="AB20" s="54">
        <v>1</v>
      </c>
      <c r="AC20" s="54">
        <v>0</v>
      </c>
      <c r="AD20" s="54">
        <v>0</v>
      </c>
      <c r="AE20" s="54">
        <v>1</v>
      </c>
      <c r="AF20" s="54">
        <v>1</v>
      </c>
      <c r="AG20" s="54">
        <v>1</v>
      </c>
      <c r="AH20" s="54">
        <v>1</v>
      </c>
      <c r="AI20" s="54">
        <v>0</v>
      </c>
      <c r="AJ20" s="54">
        <v>0</v>
      </c>
      <c r="AK20" s="54">
        <v>1</v>
      </c>
      <c r="AL20" s="54">
        <v>1</v>
      </c>
      <c r="AM20" s="54">
        <v>0</v>
      </c>
      <c r="AN20" s="54">
        <v>0</v>
      </c>
      <c r="AO20" s="54">
        <v>1</v>
      </c>
      <c r="AP20" s="54">
        <v>1</v>
      </c>
      <c r="AQ20" s="54">
        <v>0</v>
      </c>
      <c r="AR20" s="54">
        <v>0</v>
      </c>
      <c r="AS20" s="54">
        <v>1</v>
      </c>
      <c r="AT20" s="54">
        <v>1</v>
      </c>
      <c r="AU20" s="54">
        <v>0</v>
      </c>
      <c r="AV20" s="54">
        <v>0</v>
      </c>
      <c r="AW20" s="54">
        <v>1</v>
      </c>
      <c r="AX20" s="54">
        <v>1</v>
      </c>
      <c r="AY20" s="54">
        <v>1</v>
      </c>
      <c r="AZ20" s="54">
        <v>1</v>
      </c>
      <c r="BA20" s="54">
        <v>0</v>
      </c>
      <c r="BB20" s="54">
        <v>0</v>
      </c>
      <c r="BC20" s="54">
        <v>1</v>
      </c>
      <c r="BD20" s="54">
        <v>1</v>
      </c>
      <c r="BE20" s="54">
        <v>1</v>
      </c>
      <c r="BF20" s="55">
        <v>1</v>
      </c>
      <c r="BG20" s="52">
        <v>20</v>
      </c>
      <c r="BH20" s="52">
        <v>14</v>
      </c>
      <c r="BJ20" s="35">
        <v>2</v>
      </c>
      <c r="BK20" s="36">
        <v>6</v>
      </c>
      <c r="BL20" s="36">
        <v>2</v>
      </c>
      <c r="BM20" s="37">
        <v>3</v>
      </c>
      <c r="BN20" s="39">
        <v>6</v>
      </c>
      <c r="DI20" s="7" t="s">
        <v>50</v>
      </c>
    </row>
    <row r="21" spans="1:113" s="3" customFormat="1" ht="18" customHeight="1" x14ac:dyDescent="0.2">
      <c r="A21" s="35">
        <v>2</v>
      </c>
      <c r="B21" s="36">
        <v>1</v>
      </c>
      <c r="C21" s="36">
        <v>2</v>
      </c>
      <c r="D21" s="37">
        <v>3</v>
      </c>
      <c r="F21" s="60" t="s">
        <v>51</v>
      </c>
      <c r="G21" s="61"/>
      <c r="H21" s="61"/>
      <c r="R21" s="35">
        <v>2</v>
      </c>
      <c r="S21" s="36">
        <v>6</v>
      </c>
      <c r="T21" s="36">
        <v>1</v>
      </c>
      <c r="U21" s="37">
        <v>3</v>
      </c>
      <c r="X21" s="52">
        <v>33</v>
      </c>
      <c r="Y21" s="53">
        <v>0</v>
      </c>
      <c r="Z21" s="54">
        <v>0</v>
      </c>
      <c r="AA21" s="54">
        <v>1</v>
      </c>
      <c r="AB21" s="54">
        <v>1</v>
      </c>
      <c r="AC21" s="54">
        <v>0</v>
      </c>
      <c r="AD21" s="54">
        <v>0</v>
      </c>
      <c r="AE21" s="54">
        <v>1</v>
      </c>
      <c r="AF21" s="54">
        <v>1</v>
      </c>
      <c r="AG21" s="54">
        <v>1</v>
      </c>
      <c r="AH21" s="54">
        <v>1</v>
      </c>
      <c r="AI21" s="54">
        <v>0</v>
      </c>
      <c r="AJ21" s="54">
        <v>0</v>
      </c>
      <c r="AK21" s="54">
        <v>1</v>
      </c>
      <c r="AL21" s="54">
        <v>1</v>
      </c>
      <c r="AM21" s="54">
        <v>0</v>
      </c>
      <c r="AN21" s="54">
        <v>0</v>
      </c>
      <c r="AO21" s="54">
        <v>1</v>
      </c>
      <c r="AP21" s="54">
        <v>1</v>
      </c>
      <c r="AQ21" s="54">
        <v>0</v>
      </c>
      <c r="AR21" s="54">
        <v>0</v>
      </c>
      <c r="AS21" s="54">
        <v>1</v>
      </c>
      <c r="AT21" s="54">
        <v>1</v>
      </c>
      <c r="AU21" s="54">
        <v>0</v>
      </c>
      <c r="AV21" s="54">
        <v>0</v>
      </c>
      <c r="AW21" s="54">
        <v>1</v>
      </c>
      <c r="AX21" s="54">
        <v>1</v>
      </c>
      <c r="AY21" s="54">
        <v>1</v>
      </c>
      <c r="AZ21" s="54">
        <v>1</v>
      </c>
      <c r="BA21" s="54">
        <v>0</v>
      </c>
      <c r="BB21" s="54">
        <v>0</v>
      </c>
      <c r="BC21" s="54">
        <v>1</v>
      </c>
      <c r="BD21" s="54">
        <v>1</v>
      </c>
      <c r="BE21" s="54">
        <v>1</v>
      </c>
      <c r="BF21" s="55">
        <v>1</v>
      </c>
      <c r="BG21" s="52">
        <v>20</v>
      </c>
      <c r="BH21" s="52">
        <v>14</v>
      </c>
      <c r="BJ21" s="35">
        <v>2</v>
      </c>
      <c r="BK21" s="36">
        <v>6</v>
      </c>
      <c r="BL21" s="36">
        <v>3</v>
      </c>
      <c r="BM21" s="37">
        <v>3</v>
      </c>
      <c r="BN21" s="39">
        <v>6</v>
      </c>
      <c r="DI21" s="7" t="s">
        <v>52</v>
      </c>
    </row>
    <row r="22" spans="1:113" s="3" customFormat="1" ht="18" customHeight="1" x14ac:dyDescent="0.2">
      <c r="A22" s="35">
        <v>2</v>
      </c>
      <c r="B22" s="36">
        <v>1</v>
      </c>
      <c r="C22" s="36">
        <v>2</v>
      </c>
      <c r="D22" s="37">
        <v>4</v>
      </c>
      <c r="F22" s="60" t="s">
        <v>53</v>
      </c>
      <c r="G22" s="61"/>
      <c r="H22" s="61"/>
      <c r="R22" s="35">
        <v>2</v>
      </c>
      <c r="S22" s="36">
        <v>6</v>
      </c>
      <c r="T22" s="36">
        <v>2</v>
      </c>
      <c r="U22" s="37">
        <v>3</v>
      </c>
      <c r="X22" s="62">
        <v>6</v>
      </c>
      <c r="Y22" s="63">
        <v>0</v>
      </c>
      <c r="Z22" s="64">
        <v>1</v>
      </c>
      <c r="AA22" s="64">
        <v>1</v>
      </c>
      <c r="AB22" s="64">
        <v>1</v>
      </c>
      <c r="AC22" s="64">
        <v>0</v>
      </c>
      <c r="AD22" s="64">
        <v>1</v>
      </c>
      <c r="AE22" s="64">
        <v>1</v>
      </c>
      <c r="AF22" s="64">
        <v>1</v>
      </c>
      <c r="AG22" s="64">
        <v>0</v>
      </c>
      <c r="AH22" s="64">
        <v>0</v>
      </c>
      <c r="AI22" s="64">
        <v>0</v>
      </c>
      <c r="AJ22" s="64">
        <v>1</v>
      </c>
      <c r="AK22" s="64">
        <v>1</v>
      </c>
      <c r="AL22" s="64">
        <v>1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1</v>
      </c>
      <c r="AS22" s="64">
        <v>1</v>
      </c>
      <c r="AT22" s="64">
        <v>1</v>
      </c>
      <c r="AU22" s="64">
        <v>0</v>
      </c>
      <c r="AV22" s="64">
        <v>1</v>
      </c>
      <c r="AW22" s="64">
        <v>1</v>
      </c>
      <c r="AX22" s="64">
        <v>1</v>
      </c>
      <c r="AY22" s="64">
        <v>0</v>
      </c>
      <c r="AZ22" s="64">
        <v>0</v>
      </c>
      <c r="BA22" s="64">
        <v>0</v>
      </c>
      <c r="BB22" s="64">
        <v>1</v>
      </c>
      <c r="BC22" s="64">
        <v>1</v>
      </c>
      <c r="BD22" s="64">
        <v>1</v>
      </c>
      <c r="BE22" s="64">
        <v>0</v>
      </c>
      <c r="BF22" s="65">
        <v>0</v>
      </c>
      <c r="BG22" s="62">
        <v>18</v>
      </c>
      <c r="BH22" s="62">
        <v>16</v>
      </c>
      <c r="BJ22" s="35">
        <v>2</v>
      </c>
      <c r="BK22" s="36">
        <v>6</v>
      </c>
      <c r="BL22" s="36">
        <v>4</v>
      </c>
      <c r="BM22" s="37">
        <v>3</v>
      </c>
      <c r="BN22" s="39">
        <v>6</v>
      </c>
      <c r="DI22" s="7" t="s">
        <v>54</v>
      </c>
    </row>
    <row r="23" spans="1:113" s="3" customFormat="1" ht="18" customHeight="1" x14ac:dyDescent="0.2">
      <c r="A23" s="35">
        <v>2</v>
      </c>
      <c r="B23" s="36">
        <v>1</v>
      </c>
      <c r="C23" s="36">
        <v>3</v>
      </c>
      <c r="D23" s="37">
        <v>1</v>
      </c>
      <c r="F23" s="60" t="s">
        <v>55</v>
      </c>
      <c r="G23" s="61"/>
      <c r="H23" s="61"/>
      <c r="R23" s="35">
        <v>2</v>
      </c>
      <c r="S23" s="36">
        <v>6</v>
      </c>
      <c r="T23" s="36">
        <v>3</v>
      </c>
      <c r="U23" s="37">
        <v>3</v>
      </c>
      <c r="X23" s="62">
        <v>7</v>
      </c>
      <c r="Y23" s="63">
        <v>0</v>
      </c>
      <c r="Z23" s="64">
        <v>1</v>
      </c>
      <c r="AA23" s="64">
        <v>1</v>
      </c>
      <c r="AB23" s="64">
        <v>1</v>
      </c>
      <c r="AC23" s="64">
        <v>0</v>
      </c>
      <c r="AD23" s="64">
        <v>1</v>
      </c>
      <c r="AE23" s="64">
        <v>1</v>
      </c>
      <c r="AF23" s="64">
        <v>1</v>
      </c>
      <c r="AG23" s="64">
        <v>0</v>
      </c>
      <c r="AH23" s="64">
        <v>0</v>
      </c>
      <c r="AI23" s="64">
        <v>0</v>
      </c>
      <c r="AJ23" s="64">
        <v>1</v>
      </c>
      <c r="AK23" s="64">
        <v>1</v>
      </c>
      <c r="AL23" s="64">
        <v>1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1</v>
      </c>
      <c r="AS23" s="64">
        <v>1</v>
      </c>
      <c r="AT23" s="64">
        <v>1</v>
      </c>
      <c r="AU23" s="64">
        <v>0</v>
      </c>
      <c r="AV23" s="64">
        <v>1</v>
      </c>
      <c r="AW23" s="64">
        <v>1</v>
      </c>
      <c r="AX23" s="64">
        <v>1</v>
      </c>
      <c r="AY23" s="64">
        <v>0</v>
      </c>
      <c r="AZ23" s="64">
        <v>0</v>
      </c>
      <c r="BA23" s="64">
        <v>0</v>
      </c>
      <c r="BB23" s="64">
        <v>1</v>
      </c>
      <c r="BC23" s="64">
        <v>1</v>
      </c>
      <c r="BD23" s="64">
        <v>1</v>
      </c>
      <c r="BE23" s="64">
        <v>0</v>
      </c>
      <c r="BF23" s="65">
        <v>0</v>
      </c>
      <c r="BG23" s="62">
        <v>18</v>
      </c>
      <c r="BH23" s="62">
        <v>16</v>
      </c>
      <c r="BJ23" s="35">
        <v>2</v>
      </c>
      <c r="BK23" s="36">
        <v>7</v>
      </c>
      <c r="BL23" s="36">
        <v>1</v>
      </c>
      <c r="BM23" s="37">
        <v>3</v>
      </c>
      <c r="BN23" s="39">
        <v>6</v>
      </c>
      <c r="DI23" s="7" t="s">
        <v>56</v>
      </c>
    </row>
    <row r="24" spans="1:113" s="3" customFormat="1" ht="18" customHeight="1" x14ac:dyDescent="0.2">
      <c r="A24" s="35">
        <v>2</v>
      </c>
      <c r="B24" s="36">
        <v>1</v>
      </c>
      <c r="C24" s="36">
        <v>3</v>
      </c>
      <c r="D24" s="37">
        <v>2</v>
      </c>
      <c r="F24" s="60" t="s">
        <v>57</v>
      </c>
      <c r="G24" s="61"/>
      <c r="H24" s="61"/>
      <c r="R24" s="35">
        <v>2</v>
      </c>
      <c r="S24" s="36">
        <v>6</v>
      </c>
      <c r="T24" s="36">
        <v>4</v>
      </c>
      <c r="U24" s="37">
        <v>3</v>
      </c>
      <c r="X24" s="62">
        <v>8</v>
      </c>
      <c r="Y24" s="63">
        <v>0</v>
      </c>
      <c r="Z24" s="64">
        <v>1</v>
      </c>
      <c r="AA24" s="64">
        <v>1</v>
      </c>
      <c r="AB24" s="64">
        <v>1</v>
      </c>
      <c r="AC24" s="64">
        <v>0</v>
      </c>
      <c r="AD24" s="64">
        <v>1</v>
      </c>
      <c r="AE24" s="64">
        <v>1</v>
      </c>
      <c r="AF24" s="64">
        <v>1</v>
      </c>
      <c r="AG24" s="64">
        <v>0</v>
      </c>
      <c r="AH24" s="64">
        <v>0</v>
      </c>
      <c r="AI24" s="64">
        <v>0</v>
      </c>
      <c r="AJ24" s="64">
        <v>1</v>
      </c>
      <c r="AK24" s="64">
        <v>1</v>
      </c>
      <c r="AL24" s="64">
        <v>1</v>
      </c>
      <c r="AM24" s="64">
        <v>0</v>
      </c>
      <c r="AN24" s="64">
        <v>0</v>
      </c>
      <c r="AO24" s="64">
        <v>0</v>
      </c>
      <c r="AP24" s="64">
        <v>0</v>
      </c>
      <c r="AQ24" s="64">
        <v>0</v>
      </c>
      <c r="AR24" s="64">
        <v>1</v>
      </c>
      <c r="AS24" s="64">
        <v>1</v>
      </c>
      <c r="AT24" s="64">
        <v>1</v>
      </c>
      <c r="AU24" s="64">
        <v>0</v>
      </c>
      <c r="AV24" s="64">
        <v>1</v>
      </c>
      <c r="AW24" s="64">
        <v>1</v>
      </c>
      <c r="AX24" s="64">
        <v>1</v>
      </c>
      <c r="AY24" s="64">
        <v>0</v>
      </c>
      <c r="AZ24" s="64">
        <v>0</v>
      </c>
      <c r="BA24" s="64">
        <v>0</v>
      </c>
      <c r="BB24" s="64">
        <v>1</v>
      </c>
      <c r="BC24" s="64">
        <v>1</v>
      </c>
      <c r="BD24" s="64">
        <v>1</v>
      </c>
      <c r="BE24" s="64">
        <v>0</v>
      </c>
      <c r="BF24" s="65">
        <v>0</v>
      </c>
      <c r="BG24" s="62">
        <v>18</v>
      </c>
      <c r="BH24" s="62">
        <v>16</v>
      </c>
      <c r="BJ24" s="35">
        <v>2</v>
      </c>
      <c r="BK24" s="36">
        <v>7</v>
      </c>
      <c r="BL24" s="36">
        <v>2</v>
      </c>
      <c r="BM24" s="37">
        <v>3</v>
      </c>
      <c r="BN24" s="39">
        <v>6</v>
      </c>
      <c r="DI24" s="7" t="s">
        <v>58</v>
      </c>
    </row>
    <row r="25" spans="1:113" s="3" customFormat="1" ht="18" customHeight="1" x14ac:dyDescent="0.2">
      <c r="A25" s="35">
        <v>2</v>
      </c>
      <c r="B25" s="36">
        <v>1</v>
      </c>
      <c r="C25" s="36">
        <v>3</v>
      </c>
      <c r="D25" s="37">
        <v>3</v>
      </c>
      <c r="F25" s="60" t="s">
        <v>59</v>
      </c>
      <c r="G25" s="61"/>
      <c r="H25" s="61"/>
      <c r="R25" s="35">
        <v>2</v>
      </c>
      <c r="S25" s="36">
        <v>7</v>
      </c>
      <c r="T25" s="36">
        <v>1</v>
      </c>
      <c r="U25" s="37">
        <v>3</v>
      </c>
      <c r="X25" s="66">
        <v>15</v>
      </c>
      <c r="Y25" s="67">
        <v>0</v>
      </c>
      <c r="Z25" s="68">
        <v>0</v>
      </c>
      <c r="AA25" s="68">
        <v>1</v>
      </c>
      <c r="AB25" s="68">
        <v>1</v>
      </c>
      <c r="AC25" s="68">
        <v>0</v>
      </c>
      <c r="AD25" s="68">
        <v>0</v>
      </c>
      <c r="AE25" s="68">
        <v>1</v>
      </c>
      <c r="AF25" s="68">
        <v>1</v>
      </c>
      <c r="AG25" s="68">
        <v>0</v>
      </c>
      <c r="AH25" s="68">
        <v>0</v>
      </c>
      <c r="AI25" s="68">
        <v>0</v>
      </c>
      <c r="AJ25" s="68">
        <v>0</v>
      </c>
      <c r="AK25" s="68">
        <v>1</v>
      </c>
      <c r="AL25" s="68">
        <v>1</v>
      </c>
      <c r="AM25" s="68">
        <v>0</v>
      </c>
      <c r="AN25" s="68">
        <v>0</v>
      </c>
      <c r="AO25" s="68">
        <v>0</v>
      </c>
      <c r="AP25" s="68">
        <v>0</v>
      </c>
      <c r="AQ25" s="68">
        <v>0</v>
      </c>
      <c r="AR25" s="68">
        <v>0</v>
      </c>
      <c r="AS25" s="68">
        <v>1</v>
      </c>
      <c r="AT25" s="68">
        <v>1</v>
      </c>
      <c r="AU25" s="68">
        <v>0</v>
      </c>
      <c r="AV25" s="68">
        <v>0</v>
      </c>
      <c r="AW25" s="68">
        <v>1</v>
      </c>
      <c r="AX25" s="68">
        <v>1</v>
      </c>
      <c r="AY25" s="68">
        <v>0</v>
      </c>
      <c r="AZ25" s="68">
        <v>0</v>
      </c>
      <c r="BA25" s="68">
        <v>0</v>
      </c>
      <c r="BB25" s="68">
        <v>0</v>
      </c>
      <c r="BC25" s="68">
        <v>1</v>
      </c>
      <c r="BD25" s="68">
        <v>1</v>
      </c>
      <c r="BE25" s="68">
        <v>0</v>
      </c>
      <c r="BF25" s="69">
        <v>0</v>
      </c>
      <c r="BG25" s="66">
        <v>12</v>
      </c>
      <c r="BH25" s="66">
        <v>22</v>
      </c>
      <c r="BJ25" s="35">
        <v>2</v>
      </c>
      <c r="BK25" s="36">
        <v>7</v>
      </c>
      <c r="BL25" s="36">
        <v>3</v>
      </c>
      <c r="BM25" s="37">
        <v>3</v>
      </c>
      <c r="BN25" s="39">
        <v>6</v>
      </c>
      <c r="DI25" s="7" t="s">
        <v>60</v>
      </c>
    </row>
    <row r="26" spans="1:113" s="3" customFormat="1" ht="18" customHeight="1" x14ac:dyDescent="0.2">
      <c r="A26" s="35">
        <v>2</v>
      </c>
      <c r="B26" s="36">
        <v>1</v>
      </c>
      <c r="C26" s="36">
        <v>3</v>
      </c>
      <c r="D26" s="37">
        <v>4</v>
      </c>
      <c r="F26" s="60" t="s">
        <v>61</v>
      </c>
      <c r="G26" s="61"/>
      <c r="H26" s="61"/>
      <c r="R26" s="35">
        <v>2</v>
      </c>
      <c r="S26" s="36">
        <v>7</v>
      </c>
      <c r="T26" s="36">
        <v>2</v>
      </c>
      <c r="U26" s="37">
        <v>3</v>
      </c>
      <c r="X26" s="66">
        <v>20</v>
      </c>
      <c r="Y26" s="67">
        <v>0</v>
      </c>
      <c r="Z26" s="68">
        <v>0</v>
      </c>
      <c r="AA26" s="68">
        <v>1</v>
      </c>
      <c r="AB26" s="68">
        <v>1</v>
      </c>
      <c r="AC26" s="68">
        <v>0</v>
      </c>
      <c r="AD26" s="68">
        <v>0</v>
      </c>
      <c r="AE26" s="68">
        <v>1</v>
      </c>
      <c r="AF26" s="68">
        <v>1</v>
      </c>
      <c r="AG26" s="68">
        <v>0</v>
      </c>
      <c r="AH26" s="68">
        <v>0</v>
      </c>
      <c r="AI26" s="68">
        <v>0</v>
      </c>
      <c r="AJ26" s="68">
        <v>0</v>
      </c>
      <c r="AK26" s="68">
        <v>1</v>
      </c>
      <c r="AL26" s="68">
        <v>1</v>
      </c>
      <c r="AM26" s="68">
        <v>0</v>
      </c>
      <c r="AN26" s="68">
        <v>0</v>
      </c>
      <c r="AO26" s="68">
        <v>0</v>
      </c>
      <c r="AP26" s="68">
        <v>0</v>
      </c>
      <c r="AQ26" s="68">
        <v>0</v>
      </c>
      <c r="AR26" s="68">
        <v>0</v>
      </c>
      <c r="AS26" s="68">
        <v>1</v>
      </c>
      <c r="AT26" s="68">
        <v>1</v>
      </c>
      <c r="AU26" s="68">
        <v>0</v>
      </c>
      <c r="AV26" s="68">
        <v>0</v>
      </c>
      <c r="AW26" s="68">
        <v>1</v>
      </c>
      <c r="AX26" s="68">
        <v>1</v>
      </c>
      <c r="AY26" s="68">
        <v>0</v>
      </c>
      <c r="AZ26" s="68">
        <v>0</v>
      </c>
      <c r="BA26" s="68">
        <v>0</v>
      </c>
      <c r="BB26" s="68">
        <v>0</v>
      </c>
      <c r="BC26" s="68">
        <v>1</v>
      </c>
      <c r="BD26" s="68">
        <v>1</v>
      </c>
      <c r="BE26" s="68">
        <v>0</v>
      </c>
      <c r="BF26" s="69">
        <v>0</v>
      </c>
      <c r="BG26" s="66">
        <v>12</v>
      </c>
      <c r="BH26" s="66">
        <v>22</v>
      </c>
      <c r="BJ26" s="35">
        <v>2</v>
      </c>
      <c r="BK26" s="36">
        <v>7</v>
      </c>
      <c r="BL26" s="36">
        <v>4</v>
      </c>
      <c r="BM26" s="37">
        <v>3</v>
      </c>
      <c r="BN26" s="39">
        <v>6</v>
      </c>
      <c r="DI26" s="7" t="s">
        <v>62</v>
      </c>
    </row>
    <row r="27" spans="1:113" s="3" customFormat="1" ht="18" customHeight="1" x14ac:dyDescent="0.2">
      <c r="A27" s="35">
        <v>2</v>
      </c>
      <c r="B27" s="36">
        <v>2</v>
      </c>
      <c r="C27" s="36">
        <v>1</v>
      </c>
      <c r="D27" s="37">
        <v>1</v>
      </c>
      <c r="F27" s="60" t="s">
        <v>63</v>
      </c>
      <c r="G27" s="61"/>
      <c r="H27" s="61"/>
      <c r="R27" s="35">
        <v>2</v>
      </c>
      <c r="S27" s="36">
        <v>7</v>
      </c>
      <c r="T27" s="36">
        <v>3</v>
      </c>
      <c r="U27" s="37">
        <v>3</v>
      </c>
      <c r="X27" s="66">
        <v>23</v>
      </c>
      <c r="Y27" s="67">
        <v>0</v>
      </c>
      <c r="Z27" s="68">
        <v>0</v>
      </c>
      <c r="AA27" s="68">
        <v>1</v>
      </c>
      <c r="AB27" s="68">
        <v>1</v>
      </c>
      <c r="AC27" s="68">
        <v>0</v>
      </c>
      <c r="AD27" s="68">
        <v>0</v>
      </c>
      <c r="AE27" s="68">
        <v>1</v>
      </c>
      <c r="AF27" s="68">
        <v>1</v>
      </c>
      <c r="AG27" s="68">
        <v>0</v>
      </c>
      <c r="AH27" s="68">
        <v>0</v>
      </c>
      <c r="AI27" s="68">
        <v>0</v>
      </c>
      <c r="AJ27" s="68">
        <v>0</v>
      </c>
      <c r="AK27" s="68">
        <v>1</v>
      </c>
      <c r="AL27" s="68">
        <v>1</v>
      </c>
      <c r="AM27" s="68">
        <v>0</v>
      </c>
      <c r="AN27" s="68">
        <v>0</v>
      </c>
      <c r="AO27" s="68">
        <v>0</v>
      </c>
      <c r="AP27" s="68">
        <v>0</v>
      </c>
      <c r="AQ27" s="68">
        <v>0</v>
      </c>
      <c r="AR27" s="68">
        <v>0</v>
      </c>
      <c r="AS27" s="68">
        <v>1</v>
      </c>
      <c r="AT27" s="68">
        <v>1</v>
      </c>
      <c r="AU27" s="68">
        <v>0</v>
      </c>
      <c r="AV27" s="68">
        <v>0</v>
      </c>
      <c r="AW27" s="68">
        <v>1</v>
      </c>
      <c r="AX27" s="68">
        <v>1</v>
      </c>
      <c r="AY27" s="68">
        <v>0</v>
      </c>
      <c r="AZ27" s="68">
        <v>0</v>
      </c>
      <c r="BA27" s="68">
        <v>0</v>
      </c>
      <c r="BB27" s="68">
        <v>0</v>
      </c>
      <c r="BC27" s="68">
        <v>1</v>
      </c>
      <c r="BD27" s="68">
        <v>1</v>
      </c>
      <c r="BE27" s="68">
        <v>0</v>
      </c>
      <c r="BF27" s="69">
        <v>0</v>
      </c>
      <c r="BG27" s="66">
        <v>12</v>
      </c>
      <c r="BH27" s="66">
        <v>22</v>
      </c>
      <c r="BJ27" s="35">
        <v>2</v>
      </c>
      <c r="BK27" s="36">
        <v>9</v>
      </c>
      <c r="BL27" s="36">
        <v>1</v>
      </c>
      <c r="BM27" s="37">
        <v>3</v>
      </c>
      <c r="BN27" s="39">
        <v>6</v>
      </c>
      <c r="DI27" s="7" t="s">
        <v>64</v>
      </c>
    </row>
    <row r="28" spans="1:113" s="3" customFormat="1" ht="18" customHeight="1" x14ac:dyDescent="0.2">
      <c r="A28" s="35">
        <v>2</v>
      </c>
      <c r="B28" s="36">
        <v>2</v>
      </c>
      <c r="C28" s="36">
        <v>1</v>
      </c>
      <c r="D28" s="37">
        <v>2</v>
      </c>
      <c r="F28" s="60" t="s">
        <v>65</v>
      </c>
      <c r="G28" s="61"/>
      <c r="H28" s="61"/>
      <c r="R28" s="35">
        <v>2</v>
      </c>
      <c r="S28" s="36">
        <v>7</v>
      </c>
      <c r="T28" s="36">
        <v>4</v>
      </c>
      <c r="U28" s="37">
        <v>3</v>
      </c>
      <c r="X28" s="66">
        <v>27</v>
      </c>
      <c r="Y28" s="67">
        <v>0</v>
      </c>
      <c r="Z28" s="68">
        <v>0</v>
      </c>
      <c r="AA28" s="68">
        <v>1</v>
      </c>
      <c r="AB28" s="68">
        <v>1</v>
      </c>
      <c r="AC28" s="68">
        <v>0</v>
      </c>
      <c r="AD28" s="68">
        <v>0</v>
      </c>
      <c r="AE28" s="68">
        <v>1</v>
      </c>
      <c r="AF28" s="68">
        <v>1</v>
      </c>
      <c r="AG28" s="68">
        <v>0</v>
      </c>
      <c r="AH28" s="68">
        <v>0</v>
      </c>
      <c r="AI28" s="68">
        <v>0</v>
      </c>
      <c r="AJ28" s="68">
        <v>0</v>
      </c>
      <c r="AK28" s="68">
        <v>1</v>
      </c>
      <c r="AL28" s="68">
        <v>1</v>
      </c>
      <c r="AM28" s="68">
        <v>0</v>
      </c>
      <c r="AN28" s="68">
        <v>0</v>
      </c>
      <c r="AO28" s="68">
        <v>0</v>
      </c>
      <c r="AP28" s="68">
        <v>0</v>
      </c>
      <c r="AQ28" s="68">
        <v>0</v>
      </c>
      <c r="AR28" s="68">
        <v>0</v>
      </c>
      <c r="AS28" s="68">
        <v>1</v>
      </c>
      <c r="AT28" s="68">
        <v>1</v>
      </c>
      <c r="AU28" s="68">
        <v>0</v>
      </c>
      <c r="AV28" s="68">
        <v>0</v>
      </c>
      <c r="AW28" s="68">
        <v>1</v>
      </c>
      <c r="AX28" s="68">
        <v>1</v>
      </c>
      <c r="AY28" s="68">
        <v>0</v>
      </c>
      <c r="AZ28" s="68">
        <v>0</v>
      </c>
      <c r="BA28" s="68">
        <v>0</v>
      </c>
      <c r="BB28" s="68">
        <v>0</v>
      </c>
      <c r="BC28" s="68">
        <v>1</v>
      </c>
      <c r="BD28" s="68">
        <v>1</v>
      </c>
      <c r="BE28" s="68">
        <v>0</v>
      </c>
      <c r="BF28" s="69">
        <v>0</v>
      </c>
      <c r="BG28" s="66">
        <v>12</v>
      </c>
      <c r="BH28" s="66">
        <v>22</v>
      </c>
      <c r="BJ28" s="35">
        <v>2</v>
      </c>
      <c r="BK28" s="36">
        <v>9</v>
      </c>
      <c r="BL28" s="36">
        <v>2</v>
      </c>
      <c r="BM28" s="37">
        <v>3</v>
      </c>
      <c r="BN28" s="39">
        <v>6</v>
      </c>
      <c r="DI28" s="7" t="s">
        <v>66</v>
      </c>
    </row>
    <row r="29" spans="1:113" s="3" customFormat="1" ht="18" customHeight="1" x14ac:dyDescent="0.2">
      <c r="A29" s="35">
        <v>2</v>
      </c>
      <c r="B29" s="36">
        <v>2</v>
      </c>
      <c r="C29" s="36">
        <v>1</v>
      </c>
      <c r="D29" s="37">
        <v>3</v>
      </c>
      <c r="F29" s="60" t="s">
        <v>67</v>
      </c>
      <c r="R29" s="35">
        <v>2</v>
      </c>
      <c r="S29" s="36">
        <v>9</v>
      </c>
      <c r="T29" s="36">
        <v>1</v>
      </c>
      <c r="U29" s="37">
        <v>3</v>
      </c>
      <c r="X29" s="66">
        <v>29</v>
      </c>
      <c r="Y29" s="67">
        <v>0</v>
      </c>
      <c r="Z29" s="68">
        <v>0</v>
      </c>
      <c r="AA29" s="68">
        <v>1</v>
      </c>
      <c r="AB29" s="68">
        <v>1</v>
      </c>
      <c r="AC29" s="68">
        <v>0</v>
      </c>
      <c r="AD29" s="68">
        <v>0</v>
      </c>
      <c r="AE29" s="68">
        <v>1</v>
      </c>
      <c r="AF29" s="68">
        <v>1</v>
      </c>
      <c r="AG29" s="68">
        <v>0</v>
      </c>
      <c r="AH29" s="68">
        <v>0</v>
      </c>
      <c r="AI29" s="68">
        <v>0</v>
      </c>
      <c r="AJ29" s="68">
        <v>0</v>
      </c>
      <c r="AK29" s="68">
        <v>1</v>
      </c>
      <c r="AL29" s="68">
        <v>1</v>
      </c>
      <c r="AM29" s="68">
        <v>0</v>
      </c>
      <c r="AN29" s="68">
        <v>0</v>
      </c>
      <c r="AO29" s="68">
        <v>0</v>
      </c>
      <c r="AP29" s="68">
        <v>0</v>
      </c>
      <c r="AQ29" s="68">
        <v>0</v>
      </c>
      <c r="AR29" s="68">
        <v>0</v>
      </c>
      <c r="AS29" s="68">
        <v>1</v>
      </c>
      <c r="AT29" s="68">
        <v>1</v>
      </c>
      <c r="AU29" s="68">
        <v>0</v>
      </c>
      <c r="AV29" s="68">
        <v>0</v>
      </c>
      <c r="AW29" s="68">
        <v>1</v>
      </c>
      <c r="AX29" s="68">
        <v>1</v>
      </c>
      <c r="AY29" s="68">
        <v>0</v>
      </c>
      <c r="AZ29" s="68">
        <v>0</v>
      </c>
      <c r="BA29" s="68">
        <v>0</v>
      </c>
      <c r="BB29" s="68">
        <v>0</v>
      </c>
      <c r="BC29" s="68">
        <v>1</v>
      </c>
      <c r="BD29" s="68">
        <v>1</v>
      </c>
      <c r="BE29" s="68">
        <v>0</v>
      </c>
      <c r="BF29" s="69">
        <v>0</v>
      </c>
      <c r="BG29" s="66">
        <v>12</v>
      </c>
      <c r="BH29" s="66">
        <v>22</v>
      </c>
      <c r="BJ29" s="35">
        <v>2</v>
      </c>
      <c r="BK29" s="36">
        <v>9</v>
      </c>
      <c r="BL29" s="36">
        <v>3</v>
      </c>
      <c r="BM29" s="37">
        <v>3</v>
      </c>
      <c r="BN29" s="39">
        <v>6</v>
      </c>
      <c r="DI29" s="7" t="s">
        <v>68</v>
      </c>
    </row>
    <row r="30" spans="1:113" s="3" customFormat="1" ht="18" customHeight="1" x14ac:dyDescent="0.2">
      <c r="A30" s="35">
        <v>2</v>
      </c>
      <c r="B30" s="36">
        <v>2</v>
      </c>
      <c r="C30" s="36">
        <v>1</v>
      </c>
      <c r="D30" s="37">
        <v>4</v>
      </c>
      <c r="R30" s="35">
        <v>2</v>
      </c>
      <c r="S30" s="36">
        <v>9</v>
      </c>
      <c r="T30" s="36">
        <v>2</v>
      </c>
      <c r="U30" s="37">
        <v>3</v>
      </c>
      <c r="X30" s="70">
        <v>30</v>
      </c>
      <c r="Y30" s="71">
        <v>0</v>
      </c>
      <c r="Z30" s="72">
        <v>0</v>
      </c>
      <c r="AA30" s="72">
        <v>1</v>
      </c>
      <c r="AB30" s="72">
        <v>1</v>
      </c>
      <c r="AC30" s="72">
        <v>0</v>
      </c>
      <c r="AD30" s="72">
        <v>0</v>
      </c>
      <c r="AE30" s="72">
        <v>1</v>
      </c>
      <c r="AF30" s="72">
        <v>1</v>
      </c>
      <c r="AG30" s="72">
        <v>0</v>
      </c>
      <c r="AH30" s="72">
        <v>0</v>
      </c>
      <c r="AI30" s="72">
        <v>0</v>
      </c>
      <c r="AJ30" s="72">
        <v>0</v>
      </c>
      <c r="AK30" s="72">
        <v>1</v>
      </c>
      <c r="AL30" s="72">
        <v>1</v>
      </c>
      <c r="AM30" s="72">
        <v>0</v>
      </c>
      <c r="AN30" s="72">
        <v>0</v>
      </c>
      <c r="AO30" s="72">
        <v>0</v>
      </c>
      <c r="AP30" s="72">
        <v>0</v>
      </c>
      <c r="AQ30" s="72">
        <v>0</v>
      </c>
      <c r="AR30" s="72">
        <v>0</v>
      </c>
      <c r="AS30" s="72">
        <v>0</v>
      </c>
      <c r="AT30" s="72">
        <v>0</v>
      </c>
      <c r="AU30" s="72">
        <v>0</v>
      </c>
      <c r="AV30" s="72">
        <v>0</v>
      </c>
      <c r="AW30" s="72">
        <v>1</v>
      </c>
      <c r="AX30" s="72">
        <v>1</v>
      </c>
      <c r="AY30" s="72">
        <v>0</v>
      </c>
      <c r="AZ30" s="72">
        <v>0</v>
      </c>
      <c r="BA30" s="72">
        <v>0</v>
      </c>
      <c r="BB30" s="72">
        <v>0</v>
      </c>
      <c r="BC30" s="72">
        <v>1</v>
      </c>
      <c r="BD30" s="72">
        <v>1</v>
      </c>
      <c r="BE30" s="72">
        <v>0</v>
      </c>
      <c r="BF30" s="73">
        <v>0</v>
      </c>
      <c r="BG30" s="70">
        <v>10</v>
      </c>
      <c r="BH30" s="70">
        <v>24</v>
      </c>
      <c r="BJ30" s="35">
        <v>2</v>
      </c>
      <c r="BK30" s="36">
        <v>9</v>
      </c>
      <c r="BL30" s="36">
        <v>4</v>
      </c>
      <c r="BM30" s="37">
        <v>3</v>
      </c>
      <c r="BN30" s="39">
        <v>6</v>
      </c>
      <c r="DI30" s="7" t="s">
        <v>69</v>
      </c>
    </row>
    <row r="31" spans="1:113" s="3" customFormat="1" ht="18" customHeight="1" x14ac:dyDescent="0.2">
      <c r="A31" s="35">
        <v>2</v>
      </c>
      <c r="B31" s="36">
        <v>2</v>
      </c>
      <c r="C31" s="36">
        <v>2</v>
      </c>
      <c r="D31" s="37">
        <v>1</v>
      </c>
      <c r="R31" s="35">
        <v>2</v>
      </c>
      <c r="S31" s="36">
        <v>9</v>
      </c>
      <c r="T31" s="36">
        <v>3</v>
      </c>
      <c r="U31" s="37">
        <v>3</v>
      </c>
      <c r="X31" s="74">
        <v>9</v>
      </c>
      <c r="Y31" s="75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6">
        <v>0</v>
      </c>
      <c r="AG31" s="76">
        <v>0</v>
      </c>
      <c r="AH31" s="76">
        <v>0</v>
      </c>
      <c r="AI31" s="76">
        <v>0</v>
      </c>
      <c r="AJ31" s="76">
        <v>1</v>
      </c>
      <c r="AK31" s="76">
        <v>1</v>
      </c>
      <c r="AL31" s="76">
        <v>1</v>
      </c>
      <c r="AM31" s="76">
        <v>0</v>
      </c>
      <c r="AN31" s="76">
        <v>0</v>
      </c>
      <c r="AO31" s="76">
        <v>0</v>
      </c>
      <c r="AP31" s="76">
        <v>0</v>
      </c>
      <c r="AQ31" s="76">
        <v>0</v>
      </c>
      <c r="AR31" s="76">
        <v>0</v>
      </c>
      <c r="AS31" s="76">
        <v>0</v>
      </c>
      <c r="AT31" s="76">
        <v>0</v>
      </c>
      <c r="AU31" s="76">
        <v>0</v>
      </c>
      <c r="AV31" s="76">
        <v>1</v>
      </c>
      <c r="AW31" s="76">
        <v>1</v>
      </c>
      <c r="AX31" s="76">
        <v>1</v>
      </c>
      <c r="AY31" s="76">
        <v>0</v>
      </c>
      <c r="AZ31" s="76">
        <v>0</v>
      </c>
      <c r="BA31" s="76">
        <v>0</v>
      </c>
      <c r="BB31" s="76">
        <v>1</v>
      </c>
      <c r="BC31" s="76">
        <v>1</v>
      </c>
      <c r="BD31" s="76">
        <v>1</v>
      </c>
      <c r="BE31" s="76">
        <v>0</v>
      </c>
      <c r="BF31" s="77">
        <v>0</v>
      </c>
      <c r="BG31" s="74">
        <v>9</v>
      </c>
      <c r="BH31" s="74">
        <v>25</v>
      </c>
      <c r="BJ31" s="35">
        <v>3</v>
      </c>
      <c r="BK31" s="36">
        <v>1</v>
      </c>
      <c r="BL31" s="36">
        <v>1</v>
      </c>
      <c r="BM31" s="37">
        <v>3</v>
      </c>
      <c r="BN31" s="39">
        <v>4</v>
      </c>
      <c r="DI31" s="7" t="s">
        <v>30</v>
      </c>
    </row>
    <row r="32" spans="1:113" s="3" customFormat="1" ht="18" customHeight="1" x14ac:dyDescent="0.2">
      <c r="A32" s="35">
        <v>2</v>
      </c>
      <c r="B32" s="36">
        <v>2</v>
      </c>
      <c r="C32" s="36">
        <v>2</v>
      </c>
      <c r="D32" s="37">
        <v>2</v>
      </c>
      <c r="R32" s="35">
        <v>2</v>
      </c>
      <c r="S32" s="36">
        <v>9</v>
      </c>
      <c r="T32" s="36">
        <v>4</v>
      </c>
      <c r="U32" s="37">
        <v>3</v>
      </c>
      <c r="X32" s="78">
        <v>14</v>
      </c>
      <c r="Y32" s="79">
        <v>0</v>
      </c>
      <c r="Z32" s="80">
        <v>0</v>
      </c>
      <c r="AA32" s="80">
        <v>0</v>
      </c>
      <c r="AB32" s="80">
        <v>0</v>
      </c>
      <c r="AC32" s="80">
        <v>0</v>
      </c>
      <c r="AD32" s="80">
        <v>0</v>
      </c>
      <c r="AE32" s="80">
        <v>0</v>
      </c>
      <c r="AF32" s="80">
        <v>0</v>
      </c>
      <c r="AG32" s="80">
        <v>0</v>
      </c>
      <c r="AH32" s="80">
        <v>0</v>
      </c>
      <c r="AI32" s="80">
        <v>0</v>
      </c>
      <c r="AJ32" s="80">
        <v>0</v>
      </c>
      <c r="AK32" s="80">
        <v>1</v>
      </c>
      <c r="AL32" s="80">
        <v>1</v>
      </c>
      <c r="AM32" s="80">
        <v>0</v>
      </c>
      <c r="AN32" s="80">
        <v>0</v>
      </c>
      <c r="AO32" s="80">
        <v>0</v>
      </c>
      <c r="AP32" s="80">
        <v>0</v>
      </c>
      <c r="AQ32" s="80">
        <v>0</v>
      </c>
      <c r="AR32" s="80">
        <v>0</v>
      </c>
      <c r="AS32" s="80">
        <v>0</v>
      </c>
      <c r="AT32" s="80">
        <v>0</v>
      </c>
      <c r="AU32" s="80">
        <v>0</v>
      </c>
      <c r="AV32" s="80">
        <v>0</v>
      </c>
      <c r="AW32" s="80">
        <v>1</v>
      </c>
      <c r="AX32" s="80">
        <v>1</v>
      </c>
      <c r="AY32" s="80">
        <v>0</v>
      </c>
      <c r="AZ32" s="80">
        <v>0</v>
      </c>
      <c r="BA32" s="80">
        <v>0</v>
      </c>
      <c r="BB32" s="80">
        <v>0</v>
      </c>
      <c r="BC32" s="80">
        <v>1</v>
      </c>
      <c r="BD32" s="80">
        <v>1</v>
      </c>
      <c r="BE32" s="80">
        <v>0</v>
      </c>
      <c r="BF32" s="81">
        <v>0</v>
      </c>
      <c r="BG32" s="78">
        <v>6</v>
      </c>
      <c r="BH32" s="78">
        <v>28</v>
      </c>
      <c r="BJ32" s="35">
        <v>3</v>
      </c>
      <c r="BK32" s="36">
        <v>1</v>
      </c>
      <c r="BL32" s="36">
        <v>2</v>
      </c>
      <c r="BM32" s="37">
        <v>3</v>
      </c>
      <c r="BN32" s="39">
        <v>4</v>
      </c>
      <c r="DI32" s="7" t="s">
        <v>70</v>
      </c>
    </row>
    <row r="33" spans="1:113" s="3" customFormat="1" ht="18" customHeight="1" x14ac:dyDescent="0.2">
      <c r="A33" s="35">
        <v>2</v>
      </c>
      <c r="B33" s="36">
        <v>2</v>
      </c>
      <c r="C33" s="36">
        <v>2</v>
      </c>
      <c r="D33" s="37">
        <v>3</v>
      </c>
      <c r="R33" s="35">
        <v>3</v>
      </c>
      <c r="S33" s="36">
        <v>1</v>
      </c>
      <c r="T33" s="36">
        <v>1</v>
      </c>
      <c r="U33" s="37">
        <v>3</v>
      </c>
      <c r="X33" s="78">
        <v>28</v>
      </c>
      <c r="Y33" s="79">
        <v>0</v>
      </c>
      <c r="Z33" s="80">
        <v>0</v>
      </c>
      <c r="AA33" s="80">
        <v>0</v>
      </c>
      <c r="AB33" s="80">
        <v>0</v>
      </c>
      <c r="AC33" s="80">
        <v>0</v>
      </c>
      <c r="AD33" s="80">
        <v>0</v>
      </c>
      <c r="AE33" s="80">
        <v>0</v>
      </c>
      <c r="AF33" s="80">
        <v>0</v>
      </c>
      <c r="AG33" s="80">
        <v>0</v>
      </c>
      <c r="AH33" s="80">
        <v>0</v>
      </c>
      <c r="AI33" s="80">
        <v>0</v>
      </c>
      <c r="AJ33" s="80">
        <v>0</v>
      </c>
      <c r="AK33" s="80">
        <v>1</v>
      </c>
      <c r="AL33" s="80">
        <v>1</v>
      </c>
      <c r="AM33" s="80">
        <v>0</v>
      </c>
      <c r="AN33" s="80">
        <v>0</v>
      </c>
      <c r="AO33" s="80">
        <v>0</v>
      </c>
      <c r="AP33" s="80">
        <v>0</v>
      </c>
      <c r="AQ33" s="80">
        <v>0</v>
      </c>
      <c r="AR33" s="80">
        <v>0</v>
      </c>
      <c r="AS33" s="80">
        <v>0</v>
      </c>
      <c r="AT33" s="80">
        <v>0</v>
      </c>
      <c r="AU33" s="80">
        <v>0</v>
      </c>
      <c r="AV33" s="80">
        <v>0</v>
      </c>
      <c r="AW33" s="80">
        <v>1</v>
      </c>
      <c r="AX33" s="80">
        <v>1</v>
      </c>
      <c r="AY33" s="80">
        <v>0</v>
      </c>
      <c r="AZ33" s="80">
        <v>0</v>
      </c>
      <c r="BA33" s="80">
        <v>0</v>
      </c>
      <c r="BB33" s="80">
        <v>0</v>
      </c>
      <c r="BC33" s="80">
        <v>1</v>
      </c>
      <c r="BD33" s="80">
        <v>1</v>
      </c>
      <c r="BE33" s="80">
        <v>0</v>
      </c>
      <c r="BF33" s="81">
        <v>0</v>
      </c>
      <c r="BG33" s="78">
        <v>6</v>
      </c>
      <c r="BH33" s="78">
        <v>28</v>
      </c>
      <c r="BJ33" s="35">
        <v>3</v>
      </c>
      <c r="BK33" s="36">
        <v>1</v>
      </c>
      <c r="BL33" s="36">
        <v>3</v>
      </c>
      <c r="BM33" s="37">
        <v>3</v>
      </c>
      <c r="BN33" s="39">
        <v>4</v>
      </c>
      <c r="DI33" s="7" t="s">
        <v>71</v>
      </c>
    </row>
    <row r="34" spans="1:113" s="3" customFormat="1" ht="18" customHeight="1" x14ac:dyDescent="0.2">
      <c r="A34" s="35">
        <v>2</v>
      </c>
      <c r="B34" s="36">
        <v>2</v>
      </c>
      <c r="C34" s="36">
        <v>2</v>
      </c>
      <c r="D34" s="37">
        <v>4</v>
      </c>
      <c r="R34" s="35">
        <v>3</v>
      </c>
      <c r="S34" s="36">
        <v>1</v>
      </c>
      <c r="T34" s="36">
        <v>2</v>
      </c>
      <c r="U34" s="37">
        <v>3</v>
      </c>
      <c r="X34" s="82">
        <v>1</v>
      </c>
      <c r="Y34" s="83">
        <v>0</v>
      </c>
      <c r="Z34" s="84">
        <v>0</v>
      </c>
      <c r="AA34" s="84">
        <v>0</v>
      </c>
      <c r="AB34" s="84">
        <v>0</v>
      </c>
      <c r="AC34" s="84">
        <v>0</v>
      </c>
      <c r="AD34" s="84">
        <v>0</v>
      </c>
      <c r="AE34" s="84">
        <v>0</v>
      </c>
      <c r="AF34" s="84">
        <v>0</v>
      </c>
      <c r="AG34" s="84">
        <v>0</v>
      </c>
      <c r="AH34" s="84">
        <v>0</v>
      </c>
      <c r="AI34" s="84">
        <v>1</v>
      </c>
      <c r="AJ34" s="84">
        <v>1</v>
      </c>
      <c r="AK34" s="84">
        <v>1</v>
      </c>
      <c r="AL34" s="84">
        <v>1</v>
      </c>
      <c r="AM34" s="84">
        <v>0</v>
      </c>
      <c r="AN34" s="84">
        <v>0</v>
      </c>
      <c r="AO34" s="84">
        <v>0</v>
      </c>
      <c r="AP34" s="84">
        <v>0</v>
      </c>
      <c r="AQ34" s="84">
        <v>0</v>
      </c>
      <c r="AR34" s="84">
        <v>0</v>
      </c>
      <c r="AS34" s="84">
        <v>0</v>
      </c>
      <c r="AT34" s="84">
        <v>0</v>
      </c>
      <c r="AU34" s="84">
        <v>0</v>
      </c>
      <c r="AV34" s="84">
        <v>0</v>
      </c>
      <c r="AW34" s="84">
        <v>0</v>
      </c>
      <c r="AX34" s="84">
        <v>0</v>
      </c>
      <c r="AY34" s="84">
        <v>0</v>
      </c>
      <c r="AZ34" s="84">
        <v>0</v>
      </c>
      <c r="BA34" s="84">
        <v>0</v>
      </c>
      <c r="BB34" s="84">
        <v>0</v>
      </c>
      <c r="BC34" s="84">
        <v>0</v>
      </c>
      <c r="BD34" s="84">
        <v>0</v>
      </c>
      <c r="BE34" s="84">
        <v>0</v>
      </c>
      <c r="BF34" s="85">
        <v>0</v>
      </c>
      <c r="BG34" s="82">
        <v>4</v>
      </c>
      <c r="BH34" s="82">
        <v>30</v>
      </c>
      <c r="BJ34" s="35">
        <v>3</v>
      </c>
      <c r="BK34" s="36">
        <v>1</v>
      </c>
      <c r="BL34" s="36">
        <v>4</v>
      </c>
      <c r="BM34" s="37">
        <v>3</v>
      </c>
      <c r="BN34" s="39">
        <v>4</v>
      </c>
      <c r="DI34" s="7" t="s">
        <v>72</v>
      </c>
    </row>
    <row r="35" spans="1:113" s="3" customFormat="1" ht="18" customHeight="1" x14ac:dyDescent="0.2">
      <c r="A35" s="35">
        <v>2</v>
      </c>
      <c r="B35" s="36">
        <v>2</v>
      </c>
      <c r="C35" s="36">
        <v>3</v>
      </c>
      <c r="D35" s="37">
        <v>1</v>
      </c>
      <c r="R35" s="35">
        <v>3</v>
      </c>
      <c r="S35" s="36">
        <v>1</v>
      </c>
      <c r="T35" s="36">
        <v>3</v>
      </c>
      <c r="U35" s="37">
        <v>3</v>
      </c>
      <c r="X35" s="86">
        <v>10</v>
      </c>
      <c r="Y35" s="87">
        <v>0</v>
      </c>
      <c r="Z35" s="88">
        <v>0</v>
      </c>
      <c r="AA35" s="88">
        <v>0</v>
      </c>
      <c r="AB35" s="88">
        <v>0</v>
      </c>
      <c r="AC35" s="88">
        <v>0</v>
      </c>
      <c r="AD35" s="88">
        <v>0</v>
      </c>
      <c r="AE35" s="88">
        <v>0</v>
      </c>
      <c r="AF35" s="88">
        <v>0</v>
      </c>
      <c r="AG35" s="88">
        <v>0</v>
      </c>
      <c r="AH35" s="88">
        <v>0</v>
      </c>
      <c r="AI35" s="88">
        <v>0</v>
      </c>
      <c r="AJ35" s="88">
        <v>0</v>
      </c>
      <c r="AK35" s="88">
        <v>1</v>
      </c>
      <c r="AL35" s="88">
        <v>1</v>
      </c>
      <c r="AM35" s="88">
        <v>0</v>
      </c>
      <c r="AN35" s="88">
        <v>0</v>
      </c>
      <c r="AO35" s="88">
        <v>0</v>
      </c>
      <c r="AP35" s="88">
        <v>0</v>
      </c>
      <c r="AQ35" s="88">
        <v>0</v>
      </c>
      <c r="AR35" s="88">
        <v>0</v>
      </c>
      <c r="AS35" s="88">
        <v>0</v>
      </c>
      <c r="AT35" s="88">
        <v>0</v>
      </c>
      <c r="AU35" s="88">
        <v>0</v>
      </c>
      <c r="AV35" s="88">
        <v>0</v>
      </c>
      <c r="AW35" s="88">
        <v>0</v>
      </c>
      <c r="AX35" s="88">
        <v>0</v>
      </c>
      <c r="AY35" s="88">
        <v>0</v>
      </c>
      <c r="AZ35" s="88">
        <v>0</v>
      </c>
      <c r="BA35" s="88">
        <v>0</v>
      </c>
      <c r="BB35" s="88">
        <v>0</v>
      </c>
      <c r="BC35" s="88">
        <v>0</v>
      </c>
      <c r="BD35" s="88">
        <v>0</v>
      </c>
      <c r="BE35" s="88">
        <v>0</v>
      </c>
      <c r="BF35" s="89">
        <v>0</v>
      </c>
      <c r="BG35" s="86">
        <v>2</v>
      </c>
      <c r="BH35" s="86">
        <v>32</v>
      </c>
      <c r="BJ35" s="35">
        <v>3</v>
      </c>
      <c r="BK35" s="36">
        <v>2</v>
      </c>
      <c r="BL35" s="36">
        <v>1</v>
      </c>
      <c r="BM35" s="37">
        <v>3</v>
      </c>
      <c r="BN35" s="39">
        <v>4</v>
      </c>
      <c r="DI35" s="7" t="s">
        <v>73</v>
      </c>
    </row>
    <row r="36" spans="1:113" s="3" customFormat="1" ht="18" customHeight="1" x14ac:dyDescent="0.2">
      <c r="A36" s="35">
        <v>2</v>
      </c>
      <c r="B36" s="36">
        <v>2</v>
      </c>
      <c r="C36" s="36">
        <v>3</v>
      </c>
      <c r="D36" s="37">
        <v>2</v>
      </c>
      <c r="R36" s="35">
        <v>3</v>
      </c>
      <c r="S36" s="36">
        <v>1</v>
      </c>
      <c r="T36" s="36">
        <v>4</v>
      </c>
      <c r="U36" s="37">
        <v>3</v>
      </c>
      <c r="X36" s="86">
        <v>12</v>
      </c>
      <c r="Y36" s="87">
        <v>0</v>
      </c>
      <c r="Z36" s="88">
        <v>0</v>
      </c>
      <c r="AA36" s="88">
        <v>0</v>
      </c>
      <c r="AB36" s="88">
        <v>0</v>
      </c>
      <c r="AC36" s="88">
        <v>0</v>
      </c>
      <c r="AD36" s="88">
        <v>0</v>
      </c>
      <c r="AE36" s="88">
        <v>0</v>
      </c>
      <c r="AF36" s="88">
        <v>0</v>
      </c>
      <c r="AG36" s="88">
        <v>0</v>
      </c>
      <c r="AH36" s="88">
        <v>0</v>
      </c>
      <c r="AI36" s="88">
        <v>0</v>
      </c>
      <c r="AJ36" s="88">
        <v>0</v>
      </c>
      <c r="AK36" s="88">
        <v>1</v>
      </c>
      <c r="AL36" s="88">
        <v>1</v>
      </c>
      <c r="AM36" s="88">
        <v>0</v>
      </c>
      <c r="AN36" s="88">
        <v>0</v>
      </c>
      <c r="AO36" s="88">
        <v>0</v>
      </c>
      <c r="AP36" s="88">
        <v>0</v>
      </c>
      <c r="AQ36" s="88">
        <v>0</v>
      </c>
      <c r="AR36" s="88">
        <v>0</v>
      </c>
      <c r="AS36" s="88">
        <v>0</v>
      </c>
      <c r="AT36" s="88">
        <v>0</v>
      </c>
      <c r="AU36" s="88">
        <v>0</v>
      </c>
      <c r="AV36" s="88">
        <v>0</v>
      </c>
      <c r="AW36" s="88">
        <v>0</v>
      </c>
      <c r="AX36" s="88">
        <v>0</v>
      </c>
      <c r="AY36" s="88">
        <v>0</v>
      </c>
      <c r="AZ36" s="88">
        <v>0</v>
      </c>
      <c r="BA36" s="88">
        <v>0</v>
      </c>
      <c r="BB36" s="88">
        <v>0</v>
      </c>
      <c r="BC36" s="88">
        <v>0</v>
      </c>
      <c r="BD36" s="88">
        <v>0</v>
      </c>
      <c r="BE36" s="88">
        <v>0</v>
      </c>
      <c r="BF36" s="89">
        <v>0</v>
      </c>
      <c r="BG36" s="86">
        <v>2</v>
      </c>
      <c r="BH36" s="86">
        <v>32</v>
      </c>
      <c r="BJ36" s="35">
        <v>3</v>
      </c>
      <c r="BK36" s="36">
        <v>2</v>
      </c>
      <c r="BL36" s="36">
        <v>2</v>
      </c>
      <c r="BM36" s="37">
        <v>3</v>
      </c>
      <c r="BN36" s="39">
        <v>4</v>
      </c>
    </row>
    <row r="37" spans="1:113" s="3" customFormat="1" ht="18.5" customHeight="1" x14ac:dyDescent="0.2">
      <c r="A37" s="35">
        <v>2</v>
      </c>
      <c r="B37" s="36">
        <v>2</v>
      </c>
      <c r="C37" s="36">
        <v>3</v>
      </c>
      <c r="D37" s="37">
        <v>3</v>
      </c>
      <c r="R37" s="35">
        <v>3</v>
      </c>
      <c r="S37" s="36">
        <v>2</v>
      </c>
      <c r="T37" s="36">
        <v>1</v>
      </c>
      <c r="U37" s="37">
        <v>3</v>
      </c>
      <c r="X37" s="90">
        <v>26</v>
      </c>
      <c r="Y37" s="91">
        <v>0</v>
      </c>
      <c r="Z37" s="92">
        <v>0</v>
      </c>
      <c r="AA37" s="92">
        <v>0</v>
      </c>
      <c r="AB37" s="92">
        <v>0</v>
      </c>
      <c r="AC37" s="92">
        <v>0</v>
      </c>
      <c r="AD37" s="92">
        <v>0</v>
      </c>
      <c r="AE37" s="92">
        <v>0</v>
      </c>
      <c r="AF37" s="92">
        <v>0</v>
      </c>
      <c r="AG37" s="92">
        <v>0</v>
      </c>
      <c r="AH37" s="92">
        <v>0</v>
      </c>
      <c r="AI37" s="92">
        <v>0</v>
      </c>
      <c r="AJ37" s="92">
        <v>0</v>
      </c>
      <c r="AK37" s="92">
        <v>1</v>
      </c>
      <c r="AL37" s="92">
        <v>1</v>
      </c>
      <c r="AM37" s="92">
        <v>0</v>
      </c>
      <c r="AN37" s="92">
        <v>0</v>
      </c>
      <c r="AO37" s="92">
        <v>0</v>
      </c>
      <c r="AP37" s="92">
        <v>0</v>
      </c>
      <c r="AQ37" s="92">
        <v>0</v>
      </c>
      <c r="AR37" s="92">
        <v>0</v>
      </c>
      <c r="AS37" s="92">
        <v>0</v>
      </c>
      <c r="AT37" s="92">
        <v>0</v>
      </c>
      <c r="AU37" s="92">
        <v>0</v>
      </c>
      <c r="AV37" s="92">
        <v>0</v>
      </c>
      <c r="AW37" s="92">
        <v>0</v>
      </c>
      <c r="AX37" s="92">
        <v>0</v>
      </c>
      <c r="AY37" s="92">
        <v>0</v>
      </c>
      <c r="AZ37" s="92">
        <v>0</v>
      </c>
      <c r="BA37" s="92">
        <v>0</v>
      </c>
      <c r="BB37" s="92">
        <v>0</v>
      </c>
      <c r="BC37" s="92">
        <v>0</v>
      </c>
      <c r="BD37" s="92">
        <v>0</v>
      </c>
      <c r="BE37" s="92">
        <v>0</v>
      </c>
      <c r="BF37" s="93">
        <v>0</v>
      </c>
      <c r="BG37" s="90">
        <v>2</v>
      </c>
      <c r="BH37" s="90">
        <v>32</v>
      </c>
      <c r="BJ37" s="35">
        <v>3</v>
      </c>
      <c r="BK37" s="36">
        <v>2</v>
      </c>
      <c r="BL37" s="36">
        <v>3</v>
      </c>
      <c r="BM37" s="37">
        <v>3</v>
      </c>
      <c r="BN37" s="39">
        <v>4</v>
      </c>
    </row>
    <row r="38" spans="1:113" s="3" customFormat="1" ht="19" customHeight="1" x14ac:dyDescent="0.2">
      <c r="A38" s="35">
        <v>2</v>
      </c>
      <c r="B38" s="36">
        <v>2</v>
      </c>
      <c r="C38" s="36">
        <v>3</v>
      </c>
      <c r="D38" s="37">
        <v>4</v>
      </c>
      <c r="R38" s="35">
        <v>3</v>
      </c>
      <c r="S38" s="36">
        <v>2</v>
      </c>
      <c r="T38" s="36">
        <v>2</v>
      </c>
      <c r="U38" s="37">
        <v>3</v>
      </c>
      <c r="BG38" s="94">
        <f>SUM(BG5:BG37)</f>
        <v>515</v>
      </c>
      <c r="BH38" s="94">
        <f>SUM(BH5:BH37)</f>
        <v>607</v>
      </c>
      <c r="BJ38" s="35">
        <v>3</v>
      </c>
      <c r="BK38" s="36">
        <v>2</v>
      </c>
      <c r="BL38" s="36">
        <v>4</v>
      </c>
      <c r="BM38" s="37">
        <v>3</v>
      </c>
      <c r="BN38" s="39">
        <v>4</v>
      </c>
    </row>
    <row r="39" spans="1:113" s="3" customFormat="1" ht="19" customHeight="1" x14ac:dyDescent="0.2">
      <c r="A39" s="35">
        <v>2</v>
      </c>
      <c r="B39" s="36">
        <v>4</v>
      </c>
      <c r="C39" s="36">
        <v>1</v>
      </c>
      <c r="D39" s="37">
        <v>1</v>
      </c>
      <c r="R39" s="35">
        <v>3</v>
      </c>
      <c r="S39" s="36">
        <v>2</v>
      </c>
      <c r="T39" s="36">
        <v>3</v>
      </c>
      <c r="U39" s="37">
        <v>3</v>
      </c>
      <c r="BJ39" s="35">
        <v>3</v>
      </c>
      <c r="BK39" s="36">
        <v>4</v>
      </c>
      <c r="BL39" s="36">
        <v>1</v>
      </c>
      <c r="BM39" s="37">
        <v>3</v>
      </c>
      <c r="BN39" s="39">
        <v>4</v>
      </c>
    </row>
    <row r="40" spans="1:113" s="3" customFormat="1" ht="19" customHeight="1" x14ac:dyDescent="0.2">
      <c r="A40" s="35">
        <v>2</v>
      </c>
      <c r="B40" s="36">
        <v>4</v>
      </c>
      <c r="C40" s="36">
        <v>1</v>
      </c>
      <c r="D40" s="37">
        <v>2</v>
      </c>
      <c r="R40" s="35">
        <v>3</v>
      </c>
      <c r="S40" s="36">
        <v>2</v>
      </c>
      <c r="T40" s="36">
        <v>4</v>
      </c>
      <c r="U40" s="37">
        <v>3</v>
      </c>
      <c r="Y40" s="23">
        <v>1</v>
      </c>
      <c r="Z40" s="24">
        <v>1</v>
      </c>
      <c r="AA40" s="24">
        <v>1</v>
      </c>
      <c r="AB40" s="24">
        <v>1</v>
      </c>
      <c r="AC40" s="24">
        <v>2</v>
      </c>
      <c r="AD40" s="24">
        <v>2</v>
      </c>
      <c r="AE40" s="24">
        <v>2</v>
      </c>
      <c r="AF40" s="24">
        <v>2</v>
      </c>
      <c r="AG40" s="24">
        <v>3</v>
      </c>
      <c r="AH40" s="24">
        <v>3</v>
      </c>
      <c r="AI40" s="24">
        <v>4</v>
      </c>
      <c r="AJ40" s="24">
        <v>4</v>
      </c>
      <c r="AK40" s="24">
        <v>4</v>
      </c>
      <c r="AL40" s="24">
        <v>4</v>
      </c>
      <c r="AM40" s="24">
        <v>5</v>
      </c>
      <c r="AN40" s="24">
        <v>5</v>
      </c>
      <c r="AO40" s="24">
        <v>5</v>
      </c>
      <c r="AP40" s="24">
        <v>5</v>
      </c>
      <c r="AQ40" s="24">
        <v>6</v>
      </c>
      <c r="AR40" s="24">
        <v>6</v>
      </c>
      <c r="AS40" s="24">
        <v>6</v>
      </c>
      <c r="AT40" s="24">
        <v>6</v>
      </c>
      <c r="AU40" s="24">
        <v>7</v>
      </c>
      <c r="AV40" s="24">
        <v>7</v>
      </c>
      <c r="AW40" s="24">
        <v>7</v>
      </c>
      <c r="AX40" s="24">
        <v>7</v>
      </c>
      <c r="AY40" s="24">
        <v>8</v>
      </c>
      <c r="AZ40" s="24">
        <v>8</v>
      </c>
      <c r="BA40" s="24">
        <v>9</v>
      </c>
      <c r="BB40" s="24">
        <v>9</v>
      </c>
      <c r="BC40" s="24">
        <v>9</v>
      </c>
      <c r="BD40" s="24">
        <v>9</v>
      </c>
      <c r="BE40" s="24">
        <v>10</v>
      </c>
      <c r="BF40" s="25">
        <v>10</v>
      </c>
      <c r="BJ40" s="35">
        <v>3</v>
      </c>
      <c r="BK40" s="36">
        <v>4</v>
      </c>
      <c r="BL40" s="36">
        <v>2</v>
      </c>
      <c r="BM40" s="37">
        <v>3</v>
      </c>
      <c r="BN40" s="39">
        <v>4</v>
      </c>
    </row>
    <row r="41" spans="1:113" s="3" customFormat="1" ht="19" customHeight="1" x14ac:dyDescent="0.2">
      <c r="A41" s="35">
        <v>2</v>
      </c>
      <c r="B41" s="36">
        <v>4</v>
      </c>
      <c r="C41" s="36">
        <v>1</v>
      </c>
      <c r="D41" s="37">
        <v>3</v>
      </c>
      <c r="R41" s="35">
        <v>3</v>
      </c>
      <c r="S41" s="36">
        <v>4</v>
      </c>
      <c r="T41" s="36">
        <v>1</v>
      </c>
      <c r="U41" s="37">
        <v>3</v>
      </c>
      <c r="X41" s="8" t="s">
        <v>22</v>
      </c>
      <c r="Y41" s="32">
        <v>1</v>
      </c>
      <c r="Z41" s="33">
        <v>2</v>
      </c>
      <c r="AA41" s="33">
        <v>3</v>
      </c>
      <c r="AB41" s="33">
        <v>4</v>
      </c>
      <c r="AC41" s="33">
        <v>1</v>
      </c>
      <c r="AD41" s="33">
        <v>2</v>
      </c>
      <c r="AE41" s="33">
        <v>3</v>
      </c>
      <c r="AF41" s="33">
        <v>4</v>
      </c>
      <c r="AG41" s="33">
        <v>3</v>
      </c>
      <c r="AH41" s="33">
        <v>4</v>
      </c>
      <c r="AI41" s="33">
        <v>1</v>
      </c>
      <c r="AJ41" s="33">
        <v>2</v>
      </c>
      <c r="AK41" s="33">
        <v>3</v>
      </c>
      <c r="AL41" s="33">
        <v>4</v>
      </c>
      <c r="AM41" s="33">
        <v>1</v>
      </c>
      <c r="AN41" s="33">
        <v>2</v>
      </c>
      <c r="AO41" s="33">
        <v>3</v>
      </c>
      <c r="AP41" s="33">
        <v>4</v>
      </c>
      <c r="AQ41" s="33">
        <v>1</v>
      </c>
      <c r="AR41" s="33">
        <v>2</v>
      </c>
      <c r="AS41" s="33">
        <v>3</v>
      </c>
      <c r="AT41" s="33">
        <v>4</v>
      </c>
      <c r="AU41" s="33">
        <v>1</v>
      </c>
      <c r="AV41" s="33">
        <v>2</v>
      </c>
      <c r="AW41" s="33">
        <v>3</v>
      </c>
      <c r="AX41" s="33">
        <v>4</v>
      </c>
      <c r="AY41" s="33">
        <v>3</v>
      </c>
      <c r="AZ41" s="33">
        <v>4</v>
      </c>
      <c r="BA41" s="33">
        <v>1</v>
      </c>
      <c r="BB41" s="33">
        <v>2</v>
      </c>
      <c r="BC41" s="33">
        <v>3</v>
      </c>
      <c r="BD41" s="33">
        <v>4</v>
      </c>
      <c r="BE41" s="33">
        <v>3</v>
      </c>
      <c r="BF41" s="34">
        <v>4</v>
      </c>
      <c r="BG41" s="8" t="s">
        <v>74</v>
      </c>
      <c r="BJ41" s="35">
        <v>3</v>
      </c>
      <c r="BK41" s="36">
        <v>4</v>
      </c>
      <c r="BL41" s="36">
        <v>3</v>
      </c>
      <c r="BM41" s="37">
        <v>3</v>
      </c>
      <c r="BN41" s="39">
        <v>4</v>
      </c>
    </row>
    <row r="42" spans="1:113" s="3" customFormat="1" ht="19" customHeight="1" x14ac:dyDescent="0.2">
      <c r="A42" s="35">
        <v>2</v>
      </c>
      <c r="B42" s="36">
        <v>4</v>
      </c>
      <c r="C42" s="36">
        <v>1</v>
      </c>
      <c r="D42" s="37">
        <v>4</v>
      </c>
      <c r="R42" s="35">
        <v>3</v>
      </c>
      <c r="S42" s="36">
        <v>4</v>
      </c>
      <c r="T42" s="36">
        <v>2</v>
      </c>
      <c r="U42" s="37">
        <v>3</v>
      </c>
      <c r="X42" s="95">
        <v>3</v>
      </c>
      <c r="Y42" s="9">
        <v>1</v>
      </c>
      <c r="Z42" s="10">
        <v>1</v>
      </c>
      <c r="AA42" s="10">
        <v>1</v>
      </c>
      <c r="AB42" s="10">
        <v>1</v>
      </c>
      <c r="AC42" s="10">
        <v>1</v>
      </c>
      <c r="AD42" s="10">
        <v>1</v>
      </c>
      <c r="AE42" s="10">
        <v>1</v>
      </c>
      <c r="AF42" s="10">
        <v>1</v>
      </c>
      <c r="AG42" s="10">
        <v>0</v>
      </c>
      <c r="AH42" s="10">
        <v>0</v>
      </c>
      <c r="AI42" s="10">
        <v>1</v>
      </c>
      <c r="AJ42" s="10">
        <v>1</v>
      </c>
      <c r="AK42" s="10">
        <v>1</v>
      </c>
      <c r="AL42" s="10">
        <v>1</v>
      </c>
      <c r="AM42" s="10">
        <v>1</v>
      </c>
      <c r="AN42" s="10">
        <v>1</v>
      </c>
      <c r="AO42" s="10">
        <v>1</v>
      </c>
      <c r="AP42" s="10">
        <v>1</v>
      </c>
      <c r="AQ42" s="10">
        <v>1</v>
      </c>
      <c r="AR42" s="10">
        <v>1</v>
      </c>
      <c r="AS42" s="10">
        <v>1</v>
      </c>
      <c r="AT42" s="10">
        <v>1</v>
      </c>
      <c r="AU42" s="10">
        <v>1</v>
      </c>
      <c r="AV42" s="10">
        <v>1</v>
      </c>
      <c r="AW42" s="10">
        <v>1</v>
      </c>
      <c r="AX42" s="10">
        <v>1</v>
      </c>
      <c r="AY42" s="10">
        <v>0</v>
      </c>
      <c r="AZ42" s="10">
        <v>0</v>
      </c>
      <c r="BA42" s="10">
        <v>1</v>
      </c>
      <c r="BB42" s="10">
        <v>1</v>
      </c>
      <c r="BC42" s="10">
        <v>1</v>
      </c>
      <c r="BD42" s="10">
        <v>1</v>
      </c>
      <c r="BE42" s="10">
        <v>0</v>
      </c>
      <c r="BF42" s="11">
        <v>0</v>
      </c>
      <c r="BG42" s="94">
        <f t="shared" ref="BG42:BG43" si="0">28</f>
        <v>28</v>
      </c>
      <c r="BJ42" s="35">
        <v>3</v>
      </c>
      <c r="BK42" s="36">
        <v>4</v>
      </c>
      <c r="BL42" s="36">
        <v>4</v>
      </c>
      <c r="BM42" s="37">
        <v>3</v>
      </c>
      <c r="BN42" s="39">
        <v>4</v>
      </c>
    </row>
    <row r="43" spans="1:113" s="3" customFormat="1" ht="19" customHeight="1" x14ac:dyDescent="0.2">
      <c r="A43" s="35">
        <v>2</v>
      </c>
      <c r="B43" s="36">
        <v>4</v>
      </c>
      <c r="C43" s="36">
        <v>2</v>
      </c>
      <c r="D43" s="37">
        <v>1</v>
      </c>
      <c r="R43" s="35">
        <v>3</v>
      </c>
      <c r="S43" s="36">
        <v>4</v>
      </c>
      <c r="T43" s="36">
        <v>3</v>
      </c>
      <c r="U43" s="37">
        <v>3</v>
      </c>
      <c r="X43" s="8" t="s">
        <v>74</v>
      </c>
      <c r="Y43" s="96">
        <v>1</v>
      </c>
      <c r="Z43" s="97">
        <v>1</v>
      </c>
      <c r="AA43" s="97">
        <v>1</v>
      </c>
      <c r="AB43" s="97">
        <v>1</v>
      </c>
      <c r="AC43" s="97">
        <v>1</v>
      </c>
      <c r="AD43" s="97">
        <v>1</v>
      </c>
      <c r="AE43" s="97">
        <v>1</v>
      </c>
      <c r="AF43" s="97">
        <v>1</v>
      </c>
      <c r="AG43" s="97">
        <v>0</v>
      </c>
      <c r="AH43" s="97">
        <v>0</v>
      </c>
      <c r="AI43" s="97">
        <v>1</v>
      </c>
      <c r="AJ43" s="97">
        <v>1</v>
      </c>
      <c r="AK43" s="97">
        <v>1</v>
      </c>
      <c r="AL43" s="97">
        <v>1</v>
      </c>
      <c r="AM43" s="97">
        <v>1</v>
      </c>
      <c r="AN43" s="97">
        <v>1</v>
      </c>
      <c r="AO43" s="97">
        <v>1</v>
      </c>
      <c r="AP43" s="97">
        <v>1</v>
      </c>
      <c r="AQ43" s="97">
        <v>1</v>
      </c>
      <c r="AR43" s="97">
        <v>1</v>
      </c>
      <c r="AS43" s="97">
        <v>1</v>
      </c>
      <c r="AT43" s="97">
        <v>1</v>
      </c>
      <c r="AU43" s="97">
        <v>1</v>
      </c>
      <c r="AV43" s="97">
        <v>1</v>
      </c>
      <c r="AW43" s="97">
        <v>1</v>
      </c>
      <c r="AX43" s="97">
        <v>1</v>
      </c>
      <c r="AY43" s="97">
        <v>0</v>
      </c>
      <c r="AZ43" s="97">
        <v>0</v>
      </c>
      <c r="BA43" s="97">
        <v>1</v>
      </c>
      <c r="BB43" s="97">
        <v>1</v>
      </c>
      <c r="BC43" s="97">
        <v>1</v>
      </c>
      <c r="BD43" s="97">
        <v>1</v>
      </c>
      <c r="BE43" s="97">
        <v>0</v>
      </c>
      <c r="BF43" s="98">
        <v>0</v>
      </c>
      <c r="BG43" s="94">
        <f t="shared" si="0"/>
        <v>28</v>
      </c>
      <c r="BJ43" s="35">
        <v>3</v>
      </c>
      <c r="BK43" s="36">
        <v>5</v>
      </c>
      <c r="BL43" s="36">
        <v>1</v>
      </c>
      <c r="BM43" s="37">
        <v>3</v>
      </c>
      <c r="BN43" s="39">
        <v>4</v>
      </c>
    </row>
    <row r="44" spans="1:113" s="3" customFormat="1" ht="19" customHeight="1" x14ac:dyDescent="0.2">
      <c r="A44" s="35">
        <v>2</v>
      </c>
      <c r="B44" s="36">
        <v>4</v>
      </c>
      <c r="C44" s="36">
        <v>2</v>
      </c>
      <c r="D44" s="37">
        <v>2</v>
      </c>
      <c r="R44" s="35">
        <v>3</v>
      </c>
      <c r="S44" s="36">
        <v>4</v>
      </c>
      <c r="T44" s="36">
        <v>4</v>
      </c>
      <c r="U44" s="37">
        <v>3</v>
      </c>
      <c r="BJ44" s="35">
        <v>3</v>
      </c>
      <c r="BK44" s="36">
        <v>5</v>
      </c>
      <c r="BL44" s="36">
        <v>2</v>
      </c>
      <c r="BM44" s="37">
        <v>3</v>
      </c>
      <c r="BN44" s="39">
        <v>4</v>
      </c>
    </row>
    <row r="45" spans="1:113" s="3" customFormat="1" ht="19" customHeight="1" x14ac:dyDescent="0.2">
      <c r="A45" s="35">
        <v>2</v>
      </c>
      <c r="B45" s="36">
        <v>4</v>
      </c>
      <c r="C45" s="36">
        <v>2</v>
      </c>
      <c r="D45" s="37">
        <v>3</v>
      </c>
      <c r="R45" s="35">
        <v>3</v>
      </c>
      <c r="S45" s="36">
        <v>5</v>
      </c>
      <c r="T45" s="36">
        <v>1</v>
      </c>
      <c r="U45" s="37">
        <v>3</v>
      </c>
      <c r="AA45" s="8" t="s">
        <v>4</v>
      </c>
      <c r="BJ45" s="35">
        <v>3</v>
      </c>
      <c r="BK45" s="36">
        <v>5</v>
      </c>
      <c r="BL45" s="36">
        <v>3</v>
      </c>
      <c r="BM45" s="37">
        <v>3</v>
      </c>
      <c r="BN45" s="39">
        <v>4</v>
      </c>
    </row>
    <row r="46" spans="1:113" s="3" customFormat="1" ht="18.5" customHeight="1" x14ac:dyDescent="0.2">
      <c r="A46" s="35">
        <v>2</v>
      </c>
      <c r="B46" s="36">
        <v>4</v>
      </c>
      <c r="C46" s="36">
        <v>2</v>
      </c>
      <c r="D46" s="37">
        <v>4</v>
      </c>
      <c r="R46" s="35">
        <v>3</v>
      </c>
      <c r="S46" s="36">
        <v>5</v>
      </c>
      <c r="T46" s="36">
        <v>2</v>
      </c>
      <c r="U46" s="37">
        <v>3</v>
      </c>
      <c r="X46" s="99" t="s">
        <v>22</v>
      </c>
      <c r="AG46" s="60" t="s">
        <v>75</v>
      </c>
      <c r="BJ46" s="35">
        <v>3</v>
      </c>
      <c r="BK46" s="36">
        <v>5</v>
      </c>
      <c r="BL46" s="36">
        <v>4</v>
      </c>
      <c r="BM46" s="37">
        <v>3</v>
      </c>
      <c r="BN46" s="39">
        <v>4</v>
      </c>
    </row>
    <row r="47" spans="1:113" s="3" customFormat="1" ht="18" customHeight="1" x14ac:dyDescent="0.2">
      <c r="A47" s="35">
        <v>2</v>
      </c>
      <c r="B47" s="36">
        <v>4</v>
      </c>
      <c r="C47" s="36">
        <v>3</v>
      </c>
      <c r="D47" s="37">
        <v>1</v>
      </c>
      <c r="R47" s="35">
        <v>3</v>
      </c>
      <c r="S47" s="36">
        <v>5</v>
      </c>
      <c r="T47" s="36">
        <v>3</v>
      </c>
      <c r="U47" s="37">
        <v>3</v>
      </c>
      <c r="X47" s="36">
        <v>3</v>
      </c>
      <c r="AA47" s="100">
        <v>1</v>
      </c>
      <c r="AB47" s="100">
        <v>1</v>
      </c>
      <c r="BJ47" s="35">
        <v>3</v>
      </c>
      <c r="BK47" s="36">
        <v>6</v>
      </c>
      <c r="BL47" s="36">
        <v>1</v>
      </c>
      <c r="BM47" s="37">
        <v>3</v>
      </c>
      <c r="BN47" s="39">
        <v>4</v>
      </c>
    </row>
    <row r="48" spans="1:113" s="3" customFormat="1" ht="18" customHeight="1" x14ac:dyDescent="0.2">
      <c r="A48" s="35">
        <v>2</v>
      </c>
      <c r="B48" s="36">
        <v>4</v>
      </c>
      <c r="C48" s="36">
        <v>3</v>
      </c>
      <c r="D48" s="37">
        <v>2</v>
      </c>
      <c r="R48" s="35">
        <v>3</v>
      </c>
      <c r="S48" s="36">
        <v>5</v>
      </c>
      <c r="T48" s="36">
        <v>4</v>
      </c>
      <c r="U48" s="37">
        <v>3</v>
      </c>
      <c r="AA48" s="100">
        <v>1</v>
      </c>
      <c r="AB48" s="100">
        <v>2</v>
      </c>
      <c r="BJ48" s="35">
        <v>3</v>
      </c>
      <c r="BK48" s="36">
        <v>6</v>
      </c>
      <c r="BL48" s="36">
        <v>2</v>
      </c>
      <c r="BM48" s="37">
        <v>3</v>
      </c>
      <c r="BN48" s="39">
        <v>4</v>
      </c>
    </row>
    <row r="49" spans="1:66" s="3" customFormat="1" ht="18" customHeight="1" x14ac:dyDescent="0.2">
      <c r="A49" s="35">
        <v>2</v>
      </c>
      <c r="B49" s="36">
        <v>4</v>
      </c>
      <c r="C49" s="36">
        <v>3</v>
      </c>
      <c r="D49" s="37">
        <v>3</v>
      </c>
      <c r="R49" s="35">
        <v>3</v>
      </c>
      <c r="S49" s="36">
        <v>6</v>
      </c>
      <c r="T49" s="36">
        <v>1</v>
      </c>
      <c r="U49" s="37">
        <v>3</v>
      </c>
      <c r="AA49" s="100">
        <v>1</v>
      </c>
      <c r="AB49" s="100">
        <v>3</v>
      </c>
      <c r="BJ49" s="35">
        <v>3</v>
      </c>
      <c r="BK49" s="36">
        <v>6</v>
      </c>
      <c r="BL49" s="36">
        <v>3</v>
      </c>
      <c r="BM49" s="37">
        <v>3</v>
      </c>
      <c r="BN49" s="39">
        <v>4</v>
      </c>
    </row>
    <row r="50" spans="1:66" s="3" customFormat="1" ht="18" customHeight="1" x14ac:dyDescent="0.2">
      <c r="A50" s="35">
        <v>2</v>
      </c>
      <c r="B50" s="36">
        <v>4</v>
      </c>
      <c r="C50" s="36">
        <v>3</v>
      </c>
      <c r="D50" s="37">
        <v>4</v>
      </c>
      <c r="R50" s="35">
        <v>3</v>
      </c>
      <c r="S50" s="36">
        <v>6</v>
      </c>
      <c r="T50" s="36">
        <v>2</v>
      </c>
      <c r="U50" s="37">
        <v>3</v>
      </c>
      <c r="AA50" s="100">
        <v>1</v>
      </c>
      <c r="AB50" s="100">
        <v>4</v>
      </c>
      <c r="BJ50" s="35">
        <v>3</v>
      </c>
      <c r="BK50" s="36">
        <v>6</v>
      </c>
      <c r="BL50" s="36">
        <v>4</v>
      </c>
      <c r="BM50" s="37">
        <v>3</v>
      </c>
      <c r="BN50" s="39">
        <v>4</v>
      </c>
    </row>
    <row r="51" spans="1:66" s="3" customFormat="1" ht="18" customHeight="1" x14ac:dyDescent="0.2">
      <c r="A51" s="35">
        <v>2</v>
      </c>
      <c r="B51" s="36">
        <v>6</v>
      </c>
      <c r="C51" s="36">
        <v>1</v>
      </c>
      <c r="D51" s="37">
        <v>1</v>
      </c>
      <c r="R51" s="35">
        <v>3</v>
      </c>
      <c r="S51" s="36">
        <v>6</v>
      </c>
      <c r="T51" s="36">
        <v>3</v>
      </c>
      <c r="U51" s="37">
        <v>3</v>
      </c>
      <c r="AA51" s="100">
        <v>2</v>
      </c>
      <c r="AB51" s="100">
        <v>1</v>
      </c>
      <c r="BJ51" s="35">
        <v>3</v>
      </c>
      <c r="BK51" s="36">
        <v>7</v>
      </c>
      <c r="BL51" s="36">
        <v>1</v>
      </c>
      <c r="BM51" s="37">
        <v>3</v>
      </c>
      <c r="BN51" s="39">
        <v>4</v>
      </c>
    </row>
    <row r="52" spans="1:66" s="3" customFormat="1" ht="18" customHeight="1" x14ac:dyDescent="0.2">
      <c r="A52" s="35">
        <v>2</v>
      </c>
      <c r="B52" s="36">
        <v>6</v>
      </c>
      <c r="C52" s="36">
        <v>1</v>
      </c>
      <c r="D52" s="37">
        <v>2</v>
      </c>
      <c r="R52" s="35">
        <v>3</v>
      </c>
      <c r="S52" s="36">
        <v>6</v>
      </c>
      <c r="T52" s="36">
        <v>4</v>
      </c>
      <c r="U52" s="37">
        <v>3</v>
      </c>
      <c r="AA52" s="100">
        <v>2</v>
      </c>
      <c r="AB52" s="100">
        <v>2</v>
      </c>
      <c r="BJ52" s="35">
        <v>3</v>
      </c>
      <c r="BK52" s="36">
        <v>7</v>
      </c>
      <c r="BL52" s="36">
        <v>2</v>
      </c>
      <c r="BM52" s="37">
        <v>3</v>
      </c>
      <c r="BN52" s="39">
        <v>4</v>
      </c>
    </row>
    <row r="53" spans="1:66" s="3" customFormat="1" ht="18" customHeight="1" x14ac:dyDescent="0.2">
      <c r="A53" s="35">
        <v>2</v>
      </c>
      <c r="B53" s="36">
        <v>6</v>
      </c>
      <c r="C53" s="36">
        <v>1</v>
      </c>
      <c r="D53" s="37">
        <v>3</v>
      </c>
      <c r="R53" s="35">
        <v>3</v>
      </c>
      <c r="S53" s="36">
        <v>7</v>
      </c>
      <c r="T53" s="36">
        <v>1</v>
      </c>
      <c r="U53" s="37">
        <v>3</v>
      </c>
      <c r="AA53" s="100">
        <v>2</v>
      </c>
      <c r="AB53" s="100">
        <v>3</v>
      </c>
      <c r="BJ53" s="35">
        <v>3</v>
      </c>
      <c r="BK53" s="36">
        <v>7</v>
      </c>
      <c r="BL53" s="36">
        <v>3</v>
      </c>
      <c r="BM53" s="37">
        <v>3</v>
      </c>
      <c r="BN53" s="39">
        <v>4</v>
      </c>
    </row>
    <row r="54" spans="1:66" s="3" customFormat="1" ht="18" customHeight="1" x14ac:dyDescent="0.2">
      <c r="A54" s="35">
        <v>2</v>
      </c>
      <c r="B54" s="36">
        <v>6</v>
      </c>
      <c r="C54" s="36">
        <v>1</v>
      </c>
      <c r="D54" s="37">
        <v>4</v>
      </c>
      <c r="R54" s="35">
        <v>3</v>
      </c>
      <c r="S54" s="36">
        <v>7</v>
      </c>
      <c r="T54" s="36">
        <v>2</v>
      </c>
      <c r="U54" s="37">
        <v>3</v>
      </c>
      <c r="AA54" s="100">
        <v>2</v>
      </c>
      <c r="AB54" s="100">
        <v>4</v>
      </c>
      <c r="BJ54" s="35">
        <v>3</v>
      </c>
      <c r="BK54" s="36">
        <v>7</v>
      </c>
      <c r="BL54" s="36">
        <v>4</v>
      </c>
      <c r="BM54" s="37">
        <v>3</v>
      </c>
      <c r="BN54" s="39">
        <v>4</v>
      </c>
    </row>
    <row r="55" spans="1:66" s="3" customFormat="1" ht="18" customHeight="1" x14ac:dyDescent="0.2">
      <c r="A55" s="35">
        <v>2</v>
      </c>
      <c r="B55" s="36">
        <v>6</v>
      </c>
      <c r="C55" s="36">
        <v>2</v>
      </c>
      <c r="D55" s="37">
        <v>1</v>
      </c>
      <c r="R55" s="35">
        <v>3</v>
      </c>
      <c r="S55" s="36">
        <v>7</v>
      </c>
      <c r="T55" s="36">
        <v>3</v>
      </c>
      <c r="U55" s="37">
        <v>3</v>
      </c>
      <c r="AA55" s="100">
        <v>4</v>
      </c>
      <c r="AB55" s="100">
        <v>1</v>
      </c>
      <c r="BJ55" s="35">
        <v>3</v>
      </c>
      <c r="BK55" s="36">
        <v>9</v>
      </c>
      <c r="BL55" s="36">
        <v>1</v>
      </c>
      <c r="BM55" s="37">
        <v>3</v>
      </c>
      <c r="BN55" s="39">
        <v>4</v>
      </c>
    </row>
    <row r="56" spans="1:66" s="3" customFormat="1" ht="18" customHeight="1" x14ac:dyDescent="0.2">
      <c r="A56" s="35">
        <v>2</v>
      </c>
      <c r="B56" s="36">
        <v>6</v>
      </c>
      <c r="C56" s="36">
        <v>2</v>
      </c>
      <c r="D56" s="37">
        <v>2</v>
      </c>
      <c r="R56" s="35">
        <v>3</v>
      </c>
      <c r="S56" s="36">
        <v>7</v>
      </c>
      <c r="T56" s="36">
        <v>4</v>
      </c>
      <c r="U56" s="37">
        <v>3</v>
      </c>
      <c r="AA56" s="100">
        <v>4</v>
      </c>
      <c r="AB56" s="100">
        <v>2</v>
      </c>
      <c r="BJ56" s="35">
        <v>3</v>
      </c>
      <c r="BK56" s="36">
        <v>9</v>
      </c>
      <c r="BL56" s="36">
        <v>2</v>
      </c>
      <c r="BM56" s="37">
        <v>3</v>
      </c>
      <c r="BN56" s="39">
        <v>4</v>
      </c>
    </row>
    <row r="57" spans="1:66" s="3" customFormat="1" ht="18" customHeight="1" x14ac:dyDescent="0.2">
      <c r="A57" s="35">
        <v>2</v>
      </c>
      <c r="B57" s="36">
        <v>6</v>
      </c>
      <c r="C57" s="36">
        <v>2</v>
      </c>
      <c r="D57" s="37">
        <v>3</v>
      </c>
      <c r="R57" s="35">
        <v>3</v>
      </c>
      <c r="S57" s="36">
        <v>9</v>
      </c>
      <c r="T57" s="36">
        <v>1</v>
      </c>
      <c r="U57" s="37">
        <v>3</v>
      </c>
      <c r="AA57" s="100">
        <v>4</v>
      </c>
      <c r="AB57" s="100">
        <v>3</v>
      </c>
      <c r="BJ57" s="35">
        <v>3</v>
      </c>
      <c r="BK57" s="36">
        <v>9</v>
      </c>
      <c r="BL57" s="36">
        <v>3</v>
      </c>
      <c r="BM57" s="37">
        <v>3</v>
      </c>
      <c r="BN57" s="39">
        <v>4</v>
      </c>
    </row>
    <row r="58" spans="1:66" s="3" customFormat="1" ht="18" customHeight="1" x14ac:dyDescent="0.2">
      <c r="A58" s="35">
        <v>2</v>
      </c>
      <c r="B58" s="36">
        <v>6</v>
      </c>
      <c r="C58" s="36">
        <v>2</v>
      </c>
      <c r="D58" s="37">
        <v>4</v>
      </c>
      <c r="R58" s="35">
        <v>3</v>
      </c>
      <c r="S58" s="36">
        <v>9</v>
      </c>
      <c r="T58" s="36">
        <v>2</v>
      </c>
      <c r="U58" s="37">
        <v>3</v>
      </c>
      <c r="AA58" s="100">
        <v>4</v>
      </c>
      <c r="AB58" s="100">
        <v>4</v>
      </c>
      <c r="BJ58" s="35">
        <v>3</v>
      </c>
      <c r="BK58" s="36">
        <v>9</v>
      </c>
      <c r="BL58" s="36">
        <v>4</v>
      </c>
      <c r="BM58" s="37">
        <v>3</v>
      </c>
      <c r="BN58" s="39">
        <v>4</v>
      </c>
    </row>
    <row r="59" spans="1:66" s="3" customFormat="1" ht="18" customHeight="1" x14ac:dyDescent="0.2">
      <c r="A59" s="35">
        <v>2</v>
      </c>
      <c r="B59" s="36">
        <v>6</v>
      </c>
      <c r="C59" s="36">
        <v>3</v>
      </c>
      <c r="D59" s="37">
        <v>1</v>
      </c>
      <c r="R59" s="35">
        <v>3</v>
      </c>
      <c r="S59" s="36">
        <v>9</v>
      </c>
      <c r="T59" s="36">
        <v>3</v>
      </c>
      <c r="U59" s="37">
        <v>3</v>
      </c>
      <c r="AA59" s="100">
        <v>5</v>
      </c>
      <c r="AB59" s="100">
        <v>1</v>
      </c>
      <c r="BJ59" s="35">
        <v>4</v>
      </c>
      <c r="BK59" s="36">
        <v>1</v>
      </c>
      <c r="BL59" s="36">
        <v>1</v>
      </c>
      <c r="BM59" s="37">
        <v>3</v>
      </c>
      <c r="BN59" s="39">
        <v>6</v>
      </c>
    </row>
    <row r="60" spans="1:66" s="3" customFormat="1" ht="18" customHeight="1" x14ac:dyDescent="0.2">
      <c r="A60" s="35">
        <v>2</v>
      </c>
      <c r="B60" s="36">
        <v>6</v>
      </c>
      <c r="C60" s="36">
        <v>3</v>
      </c>
      <c r="D60" s="37">
        <v>2</v>
      </c>
      <c r="R60" s="35">
        <v>3</v>
      </c>
      <c r="S60" s="36">
        <v>9</v>
      </c>
      <c r="T60" s="36">
        <v>4</v>
      </c>
      <c r="U60" s="37">
        <v>3</v>
      </c>
      <c r="AA60" s="100">
        <v>5</v>
      </c>
      <c r="AB60" s="100">
        <v>2</v>
      </c>
      <c r="BJ60" s="35">
        <v>4</v>
      </c>
      <c r="BK60" s="36">
        <v>1</v>
      </c>
      <c r="BL60" s="36">
        <v>2</v>
      </c>
      <c r="BM60" s="37">
        <v>3</v>
      </c>
      <c r="BN60" s="39">
        <v>6</v>
      </c>
    </row>
    <row r="61" spans="1:66" s="3" customFormat="1" ht="18" customHeight="1" x14ac:dyDescent="0.2">
      <c r="A61" s="35">
        <v>2</v>
      </c>
      <c r="B61" s="36">
        <v>6</v>
      </c>
      <c r="C61" s="36">
        <v>3</v>
      </c>
      <c r="D61" s="37">
        <v>3</v>
      </c>
      <c r="R61" s="35">
        <v>4</v>
      </c>
      <c r="S61" s="36">
        <v>1</v>
      </c>
      <c r="T61" s="36">
        <v>1</v>
      </c>
      <c r="U61" s="37">
        <v>3</v>
      </c>
      <c r="AA61" s="100">
        <v>5</v>
      </c>
      <c r="AB61" s="100">
        <v>3</v>
      </c>
      <c r="BJ61" s="35">
        <v>4</v>
      </c>
      <c r="BK61" s="36">
        <v>1</v>
      </c>
      <c r="BL61" s="36">
        <v>3</v>
      </c>
      <c r="BM61" s="37">
        <v>3</v>
      </c>
      <c r="BN61" s="39">
        <v>6</v>
      </c>
    </row>
    <row r="62" spans="1:66" s="3" customFormat="1" ht="18" customHeight="1" x14ac:dyDescent="0.2">
      <c r="A62" s="35">
        <v>2</v>
      </c>
      <c r="B62" s="36">
        <v>6</v>
      </c>
      <c r="C62" s="36">
        <v>3</v>
      </c>
      <c r="D62" s="37">
        <v>4</v>
      </c>
      <c r="R62" s="35">
        <v>4</v>
      </c>
      <c r="S62" s="36">
        <v>1</v>
      </c>
      <c r="T62" s="36">
        <v>2</v>
      </c>
      <c r="U62" s="37">
        <v>3</v>
      </c>
      <c r="AA62" s="100">
        <v>5</v>
      </c>
      <c r="AB62" s="100">
        <v>4</v>
      </c>
      <c r="BJ62" s="35">
        <v>4</v>
      </c>
      <c r="BK62" s="36">
        <v>1</v>
      </c>
      <c r="BL62" s="36">
        <v>4</v>
      </c>
      <c r="BM62" s="37">
        <v>3</v>
      </c>
      <c r="BN62" s="39">
        <v>6</v>
      </c>
    </row>
    <row r="63" spans="1:66" s="3" customFormat="1" ht="18" customHeight="1" x14ac:dyDescent="0.2">
      <c r="A63" s="35">
        <v>2</v>
      </c>
      <c r="B63" s="36">
        <v>7</v>
      </c>
      <c r="C63" s="36">
        <v>1</v>
      </c>
      <c r="D63" s="37">
        <v>1</v>
      </c>
      <c r="R63" s="35">
        <v>4</v>
      </c>
      <c r="S63" s="36">
        <v>1</v>
      </c>
      <c r="T63" s="36">
        <v>3</v>
      </c>
      <c r="U63" s="37">
        <v>3</v>
      </c>
      <c r="AA63" s="100">
        <v>6</v>
      </c>
      <c r="AB63" s="100">
        <v>1</v>
      </c>
      <c r="BJ63" s="35">
        <v>4</v>
      </c>
      <c r="BK63" s="36">
        <v>2</v>
      </c>
      <c r="BL63" s="36">
        <v>1</v>
      </c>
      <c r="BM63" s="37">
        <v>3</v>
      </c>
      <c r="BN63" s="39">
        <v>6</v>
      </c>
    </row>
    <row r="64" spans="1:66" s="3" customFormat="1" ht="18" customHeight="1" x14ac:dyDescent="0.2">
      <c r="A64" s="35">
        <v>2</v>
      </c>
      <c r="B64" s="36">
        <v>7</v>
      </c>
      <c r="C64" s="36">
        <v>1</v>
      </c>
      <c r="D64" s="37">
        <v>2</v>
      </c>
      <c r="R64" s="35">
        <v>4</v>
      </c>
      <c r="S64" s="36">
        <v>1</v>
      </c>
      <c r="T64" s="36">
        <v>4</v>
      </c>
      <c r="U64" s="37">
        <v>3</v>
      </c>
      <c r="AA64" s="100">
        <v>6</v>
      </c>
      <c r="AB64" s="100">
        <v>2</v>
      </c>
      <c r="BJ64" s="35">
        <v>4</v>
      </c>
      <c r="BK64" s="36">
        <v>2</v>
      </c>
      <c r="BL64" s="36">
        <v>2</v>
      </c>
      <c r="BM64" s="37">
        <v>3</v>
      </c>
      <c r="BN64" s="39">
        <v>6</v>
      </c>
    </row>
    <row r="65" spans="1:66" s="3" customFormat="1" ht="18" customHeight="1" x14ac:dyDescent="0.2">
      <c r="A65" s="35">
        <v>2</v>
      </c>
      <c r="B65" s="36">
        <v>7</v>
      </c>
      <c r="C65" s="36">
        <v>1</v>
      </c>
      <c r="D65" s="37">
        <v>3</v>
      </c>
      <c r="R65" s="35">
        <v>4</v>
      </c>
      <c r="S65" s="36">
        <v>2</v>
      </c>
      <c r="T65" s="36">
        <v>1</v>
      </c>
      <c r="U65" s="37">
        <v>3</v>
      </c>
      <c r="AA65" s="100">
        <v>6</v>
      </c>
      <c r="AB65" s="100">
        <v>3</v>
      </c>
      <c r="BJ65" s="35">
        <v>4</v>
      </c>
      <c r="BK65" s="36">
        <v>2</v>
      </c>
      <c r="BL65" s="36">
        <v>3</v>
      </c>
      <c r="BM65" s="37">
        <v>3</v>
      </c>
      <c r="BN65" s="39">
        <v>6</v>
      </c>
    </row>
    <row r="66" spans="1:66" s="3" customFormat="1" ht="18" customHeight="1" x14ac:dyDescent="0.2">
      <c r="A66" s="35">
        <v>2</v>
      </c>
      <c r="B66" s="36">
        <v>7</v>
      </c>
      <c r="C66" s="36">
        <v>1</v>
      </c>
      <c r="D66" s="37">
        <v>4</v>
      </c>
      <c r="R66" s="35">
        <v>4</v>
      </c>
      <c r="S66" s="36">
        <v>2</v>
      </c>
      <c r="T66" s="36">
        <v>2</v>
      </c>
      <c r="U66" s="37">
        <v>3</v>
      </c>
      <c r="AA66" s="100">
        <v>6</v>
      </c>
      <c r="AB66" s="100">
        <v>4</v>
      </c>
      <c r="BJ66" s="35">
        <v>4</v>
      </c>
      <c r="BK66" s="36">
        <v>2</v>
      </c>
      <c r="BL66" s="36">
        <v>4</v>
      </c>
      <c r="BM66" s="37">
        <v>3</v>
      </c>
      <c r="BN66" s="39">
        <v>6</v>
      </c>
    </row>
    <row r="67" spans="1:66" s="3" customFormat="1" ht="18" customHeight="1" x14ac:dyDescent="0.2">
      <c r="A67" s="35">
        <v>2</v>
      </c>
      <c r="B67" s="36">
        <v>7</v>
      </c>
      <c r="C67" s="36">
        <v>2</v>
      </c>
      <c r="D67" s="37">
        <v>1</v>
      </c>
      <c r="R67" s="35">
        <v>4</v>
      </c>
      <c r="S67" s="36">
        <v>2</v>
      </c>
      <c r="T67" s="36">
        <v>3</v>
      </c>
      <c r="U67" s="37">
        <v>3</v>
      </c>
      <c r="AA67" s="100">
        <v>7</v>
      </c>
      <c r="AB67" s="100">
        <v>1</v>
      </c>
      <c r="BJ67" s="35">
        <v>4</v>
      </c>
      <c r="BK67" s="36">
        <v>4</v>
      </c>
      <c r="BL67" s="36">
        <v>1</v>
      </c>
      <c r="BM67" s="37">
        <v>3</v>
      </c>
      <c r="BN67" s="39">
        <v>6</v>
      </c>
    </row>
    <row r="68" spans="1:66" s="3" customFormat="1" ht="18" customHeight="1" x14ac:dyDescent="0.2">
      <c r="A68" s="35">
        <v>2</v>
      </c>
      <c r="B68" s="36">
        <v>7</v>
      </c>
      <c r="C68" s="36">
        <v>2</v>
      </c>
      <c r="D68" s="37">
        <v>2</v>
      </c>
      <c r="R68" s="35">
        <v>4</v>
      </c>
      <c r="S68" s="36">
        <v>2</v>
      </c>
      <c r="T68" s="36">
        <v>4</v>
      </c>
      <c r="U68" s="37">
        <v>3</v>
      </c>
      <c r="AA68" s="100">
        <v>7</v>
      </c>
      <c r="AB68" s="100">
        <v>2</v>
      </c>
      <c r="BJ68" s="35">
        <v>4</v>
      </c>
      <c r="BK68" s="36">
        <v>4</v>
      </c>
      <c r="BL68" s="36">
        <v>2</v>
      </c>
      <c r="BM68" s="37">
        <v>3</v>
      </c>
      <c r="BN68" s="39">
        <v>6</v>
      </c>
    </row>
    <row r="69" spans="1:66" s="3" customFormat="1" ht="18" customHeight="1" x14ac:dyDescent="0.2">
      <c r="A69" s="35">
        <v>2</v>
      </c>
      <c r="B69" s="36">
        <v>7</v>
      </c>
      <c r="C69" s="36">
        <v>2</v>
      </c>
      <c r="D69" s="37">
        <v>3</v>
      </c>
      <c r="R69" s="35">
        <v>4</v>
      </c>
      <c r="S69" s="36">
        <v>4</v>
      </c>
      <c r="T69" s="36">
        <v>1</v>
      </c>
      <c r="U69" s="37">
        <v>3</v>
      </c>
      <c r="AA69" s="100">
        <v>7</v>
      </c>
      <c r="AB69" s="100">
        <v>3</v>
      </c>
      <c r="BJ69" s="35">
        <v>4</v>
      </c>
      <c r="BK69" s="36">
        <v>4</v>
      </c>
      <c r="BL69" s="36">
        <v>3</v>
      </c>
      <c r="BM69" s="37">
        <v>3</v>
      </c>
      <c r="BN69" s="39">
        <v>6</v>
      </c>
    </row>
    <row r="70" spans="1:66" s="3" customFormat="1" ht="18" customHeight="1" x14ac:dyDescent="0.2">
      <c r="A70" s="35">
        <v>2</v>
      </c>
      <c r="B70" s="36">
        <v>7</v>
      </c>
      <c r="C70" s="36">
        <v>2</v>
      </c>
      <c r="D70" s="37">
        <v>4</v>
      </c>
      <c r="R70" s="35">
        <v>4</v>
      </c>
      <c r="S70" s="36">
        <v>4</v>
      </c>
      <c r="T70" s="36">
        <v>2</v>
      </c>
      <c r="U70" s="37">
        <v>3</v>
      </c>
      <c r="AA70" s="100">
        <v>7</v>
      </c>
      <c r="AB70" s="100">
        <v>4</v>
      </c>
      <c r="BJ70" s="35">
        <v>4</v>
      </c>
      <c r="BK70" s="36">
        <v>4</v>
      </c>
      <c r="BL70" s="36">
        <v>4</v>
      </c>
      <c r="BM70" s="37">
        <v>3</v>
      </c>
      <c r="BN70" s="39">
        <v>6</v>
      </c>
    </row>
    <row r="71" spans="1:66" s="3" customFormat="1" ht="18" customHeight="1" x14ac:dyDescent="0.2">
      <c r="A71" s="35">
        <v>2</v>
      </c>
      <c r="B71" s="36">
        <v>7</v>
      </c>
      <c r="C71" s="36">
        <v>3</v>
      </c>
      <c r="D71" s="37">
        <v>1</v>
      </c>
      <c r="R71" s="35">
        <v>4</v>
      </c>
      <c r="S71" s="36">
        <v>4</v>
      </c>
      <c r="T71" s="36">
        <v>3</v>
      </c>
      <c r="U71" s="37">
        <v>3</v>
      </c>
      <c r="AA71" s="100">
        <v>9</v>
      </c>
      <c r="AB71" s="100">
        <v>1</v>
      </c>
      <c r="BJ71" s="35">
        <v>4</v>
      </c>
      <c r="BK71" s="36">
        <v>6</v>
      </c>
      <c r="BL71" s="36">
        <v>1</v>
      </c>
      <c r="BM71" s="37">
        <v>3</v>
      </c>
      <c r="BN71" s="39">
        <v>6</v>
      </c>
    </row>
    <row r="72" spans="1:66" s="3" customFormat="1" ht="18" customHeight="1" x14ac:dyDescent="0.2">
      <c r="A72" s="35">
        <v>2</v>
      </c>
      <c r="B72" s="36">
        <v>7</v>
      </c>
      <c r="C72" s="36">
        <v>3</v>
      </c>
      <c r="D72" s="37">
        <v>2</v>
      </c>
      <c r="R72" s="35">
        <v>4</v>
      </c>
      <c r="S72" s="36">
        <v>4</v>
      </c>
      <c r="T72" s="36">
        <v>4</v>
      </c>
      <c r="U72" s="37">
        <v>3</v>
      </c>
      <c r="AA72" s="100">
        <v>9</v>
      </c>
      <c r="AB72" s="100">
        <v>2</v>
      </c>
      <c r="BJ72" s="35">
        <v>4</v>
      </c>
      <c r="BK72" s="36">
        <v>6</v>
      </c>
      <c r="BL72" s="36">
        <v>2</v>
      </c>
      <c r="BM72" s="37">
        <v>3</v>
      </c>
      <c r="BN72" s="39">
        <v>6</v>
      </c>
    </row>
    <row r="73" spans="1:66" s="3" customFormat="1" ht="18" customHeight="1" x14ac:dyDescent="0.2">
      <c r="A73" s="35">
        <v>2</v>
      </c>
      <c r="B73" s="36">
        <v>7</v>
      </c>
      <c r="C73" s="36">
        <v>3</v>
      </c>
      <c r="D73" s="37">
        <v>3</v>
      </c>
      <c r="R73" s="35">
        <v>4</v>
      </c>
      <c r="S73" s="36">
        <v>6</v>
      </c>
      <c r="T73" s="36">
        <v>1</v>
      </c>
      <c r="U73" s="37">
        <v>3</v>
      </c>
      <c r="AA73" s="100">
        <v>9</v>
      </c>
      <c r="AB73" s="100">
        <v>3</v>
      </c>
      <c r="BJ73" s="35">
        <v>4</v>
      </c>
      <c r="BK73" s="36">
        <v>6</v>
      </c>
      <c r="BL73" s="36">
        <v>3</v>
      </c>
      <c r="BM73" s="37">
        <v>3</v>
      </c>
      <c r="BN73" s="39">
        <v>6</v>
      </c>
    </row>
    <row r="74" spans="1:66" s="3" customFormat="1" ht="18" customHeight="1" x14ac:dyDescent="0.2">
      <c r="A74" s="35">
        <v>2</v>
      </c>
      <c r="B74" s="36">
        <v>7</v>
      </c>
      <c r="C74" s="36">
        <v>3</v>
      </c>
      <c r="D74" s="37">
        <v>4</v>
      </c>
      <c r="R74" s="35">
        <v>4</v>
      </c>
      <c r="S74" s="36">
        <v>6</v>
      </c>
      <c r="T74" s="36">
        <v>2</v>
      </c>
      <c r="U74" s="37">
        <v>3</v>
      </c>
      <c r="AA74" s="100">
        <v>9</v>
      </c>
      <c r="AB74" s="100">
        <v>4</v>
      </c>
      <c r="BJ74" s="35">
        <v>4</v>
      </c>
      <c r="BK74" s="36">
        <v>6</v>
      </c>
      <c r="BL74" s="36">
        <v>4</v>
      </c>
      <c r="BM74" s="37">
        <v>3</v>
      </c>
      <c r="BN74" s="39">
        <v>6</v>
      </c>
    </row>
    <row r="75" spans="1:66" s="3" customFormat="1" ht="18" customHeight="1" x14ac:dyDescent="0.2">
      <c r="A75" s="35">
        <v>2</v>
      </c>
      <c r="B75" s="36">
        <v>9</v>
      </c>
      <c r="C75" s="36">
        <v>1</v>
      </c>
      <c r="D75" s="37">
        <v>1</v>
      </c>
      <c r="R75" s="35">
        <v>4</v>
      </c>
      <c r="S75" s="36">
        <v>6</v>
      </c>
      <c r="T75" s="36">
        <v>3</v>
      </c>
      <c r="U75" s="37">
        <v>3</v>
      </c>
      <c r="BJ75" s="35">
        <v>4</v>
      </c>
      <c r="BK75" s="36">
        <v>7</v>
      </c>
      <c r="BL75" s="36">
        <v>1</v>
      </c>
      <c r="BM75" s="37">
        <v>3</v>
      </c>
      <c r="BN75" s="39">
        <v>6</v>
      </c>
    </row>
    <row r="76" spans="1:66" s="3" customFormat="1" ht="18" customHeight="1" x14ac:dyDescent="0.2">
      <c r="A76" s="35">
        <v>2</v>
      </c>
      <c r="B76" s="36">
        <v>9</v>
      </c>
      <c r="C76" s="36">
        <v>1</v>
      </c>
      <c r="D76" s="37">
        <v>2</v>
      </c>
      <c r="R76" s="35">
        <v>4</v>
      </c>
      <c r="S76" s="36">
        <v>6</v>
      </c>
      <c r="T76" s="36">
        <v>4</v>
      </c>
      <c r="U76" s="37">
        <v>3</v>
      </c>
      <c r="BJ76" s="35">
        <v>4</v>
      </c>
      <c r="BK76" s="36">
        <v>7</v>
      </c>
      <c r="BL76" s="36">
        <v>2</v>
      </c>
      <c r="BM76" s="37">
        <v>3</v>
      </c>
      <c r="BN76" s="39">
        <v>6</v>
      </c>
    </row>
    <row r="77" spans="1:66" s="3" customFormat="1" ht="18.5" customHeight="1" x14ac:dyDescent="0.2">
      <c r="A77" s="35">
        <v>2</v>
      </c>
      <c r="B77" s="36">
        <v>9</v>
      </c>
      <c r="C77" s="36">
        <v>1</v>
      </c>
      <c r="D77" s="37">
        <v>3</v>
      </c>
      <c r="R77" s="35">
        <v>4</v>
      </c>
      <c r="S77" s="36">
        <v>7</v>
      </c>
      <c r="T77" s="36">
        <v>1</v>
      </c>
      <c r="U77" s="37">
        <v>3</v>
      </c>
      <c r="BJ77" s="35">
        <v>4</v>
      </c>
      <c r="BK77" s="36">
        <v>7</v>
      </c>
      <c r="BL77" s="36">
        <v>3</v>
      </c>
      <c r="BM77" s="37">
        <v>3</v>
      </c>
      <c r="BN77" s="39">
        <v>6</v>
      </c>
    </row>
    <row r="78" spans="1:66" s="3" customFormat="1" ht="19" customHeight="1" x14ac:dyDescent="0.2">
      <c r="A78" s="35">
        <v>2</v>
      </c>
      <c r="B78" s="36">
        <v>9</v>
      </c>
      <c r="C78" s="36">
        <v>1</v>
      </c>
      <c r="D78" s="37">
        <v>4</v>
      </c>
      <c r="R78" s="35">
        <v>4</v>
      </c>
      <c r="S78" s="36">
        <v>7</v>
      </c>
      <c r="T78" s="36">
        <v>2</v>
      </c>
      <c r="U78" s="37">
        <v>3</v>
      </c>
      <c r="Y78" s="23">
        <v>1</v>
      </c>
      <c r="Z78" s="24">
        <v>1</v>
      </c>
      <c r="AA78" s="24">
        <v>1</v>
      </c>
      <c r="AB78" s="24">
        <v>1</v>
      </c>
      <c r="AC78" s="24">
        <v>2</v>
      </c>
      <c r="AD78" s="24">
        <v>2</v>
      </c>
      <c r="AE78" s="24">
        <v>2</v>
      </c>
      <c r="AF78" s="24">
        <v>2</v>
      </c>
      <c r="AG78" s="24">
        <v>3</v>
      </c>
      <c r="AH78" s="24">
        <v>3</v>
      </c>
      <c r="AI78" s="24">
        <v>4</v>
      </c>
      <c r="AJ78" s="24">
        <v>4</v>
      </c>
      <c r="AK78" s="24">
        <v>4</v>
      </c>
      <c r="AL78" s="24">
        <v>4</v>
      </c>
      <c r="AM78" s="24">
        <v>5</v>
      </c>
      <c r="AN78" s="24">
        <v>5</v>
      </c>
      <c r="AO78" s="24">
        <v>5</v>
      </c>
      <c r="AP78" s="24">
        <v>5</v>
      </c>
      <c r="AQ78" s="24">
        <v>6</v>
      </c>
      <c r="AR78" s="24">
        <v>6</v>
      </c>
      <c r="AS78" s="24">
        <v>6</v>
      </c>
      <c r="AT78" s="24">
        <v>6</v>
      </c>
      <c r="AU78" s="24">
        <v>7</v>
      </c>
      <c r="AV78" s="24">
        <v>7</v>
      </c>
      <c r="AW78" s="24">
        <v>7</v>
      </c>
      <c r="AX78" s="24">
        <v>7</v>
      </c>
      <c r="AY78" s="24">
        <v>8</v>
      </c>
      <c r="AZ78" s="24">
        <v>8</v>
      </c>
      <c r="BA78" s="24">
        <v>9</v>
      </c>
      <c r="BB78" s="24">
        <v>9</v>
      </c>
      <c r="BC78" s="24">
        <v>9</v>
      </c>
      <c r="BD78" s="24">
        <v>9</v>
      </c>
      <c r="BE78" s="24">
        <v>10</v>
      </c>
      <c r="BF78" s="25">
        <v>10</v>
      </c>
      <c r="BJ78" s="35">
        <v>4</v>
      </c>
      <c r="BK78" s="36">
        <v>7</v>
      </c>
      <c r="BL78" s="36">
        <v>4</v>
      </c>
      <c r="BM78" s="37">
        <v>3</v>
      </c>
      <c r="BN78" s="39">
        <v>6</v>
      </c>
    </row>
    <row r="79" spans="1:66" s="3" customFormat="1" ht="19" customHeight="1" x14ac:dyDescent="0.2">
      <c r="A79" s="35">
        <v>2</v>
      </c>
      <c r="B79" s="36">
        <v>9</v>
      </c>
      <c r="C79" s="36">
        <v>2</v>
      </c>
      <c r="D79" s="37">
        <v>1</v>
      </c>
      <c r="R79" s="35">
        <v>4</v>
      </c>
      <c r="S79" s="36">
        <v>7</v>
      </c>
      <c r="T79" s="36">
        <v>3</v>
      </c>
      <c r="U79" s="37">
        <v>3</v>
      </c>
      <c r="X79" s="8" t="s">
        <v>22</v>
      </c>
      <c r="Y79" s="32">
        <v>1</v>
      </c>
      <c r="Z79" s="33">
        <v>2</v>
      </c>
      <c r="AA79" s="33">
        <v>3</v>
      </c>
      <c r="AB79" s="33">
        <v>4</v>
      </c>
      <c r="AC79" s="33">
        <v>1</v>
      </c>
      <c r="AD79" s="33">
        <v>2</v>
      </c>
      <c r="AE79" s="33">
        <v>3</v>
      </c>
      <c r="AF79" s="33">
        <v>4</v>
      </c>
      <c r="AG79" s="33">
        <v>3</v>
      </c>
      <c r="AH79" s="33">
        <v>4</v>
      </c>
      <c r="AI79" s="33">
        <v>1</v>
      </c>
      <c r="AJ79" s="33">
        <v>2</v>
      </c>
      <c r="AK79" s="33">
        <v>3</v>
      </c>
      <c r="AL79" s="33">
        <v>4</v>
      </c>
      <c r="AM79" s="33">
        <v>1</v>
      </c>
      <c r="AN79" s="33">
        <v>2</v>
      </c>
      <c r="AO79" s="33">
        <v>3</v>
      </c>
      <c r="AP79" s="33">
        <v>4</v>
      </c>
      <c r="AQ79" s="33">
        <v>1</v>
      </c>
      <c r="AR79" s="33">
        <v>2</v>
      </c>
      <c r="AS79" s="33">
        <v>3</v>
      </c>
      <c r="AT79" s="33">
        <v>4</v>
      </c>
      <c r="AU79" s="33">
        <v>1</v>
      </c>
      <c r="AV79" s="33">
        <v>2</v>
      </c>
      <c r="AW79" s="33">
        <v>3</v>
      </c>
      <c r="AX79" s="33">
        <v>4</v>
      </c>
      <c r="AY79" s="33">
        <v>3</v>
      </c>
      <c r="AZ79" s="33">
        <v>4</v>
      </c>
      <c r="BA79" s="33">
        <v>1</v>
      </c>
      <c r="BB79" s="33">
        <v>2</v>
      </c>
      <c r="BC79" s="33">
        <v>3</v>
      </c>
      <c r="BD79" s="33">
        <v>4</v>
      </c>
      <c r="BE79" s="33">
        <v>3</v>
      </c>
      <c r="BF79" s="34">
        <v>4</v>
      </c>
      <c r="BG79" s="8" t="s">
        <v>74</v>
      </c>
      <c r="BJ79" s="35">
        <v>4</v>
      </c>
      <c r="BK79" s="36">
        <v>9</v>
      </c>
      <c r="BL79" s="36">
        <v>1</v>
      </c>
      <c r="BM79" s="37">
        <v>3</v>
      </c>
      <c r="BN79" s="39">
        <v>6</v>
      </c>
    </row>
    <row r="80" spans="1:66" s="3" customFormat="1" ht="18.5" customHeight="1" x14ac:dyDescent="0.2">
      <c r="A80" s="35">
        <v>2</v>
      </c>
      <c r="B80" s="36">
        <v>9</v>
      </c>
      <c r="C80" s="36">
        <v>2</v>
      </c>
      <c r="D80" s="37">
        <v>2</v>
      </c>
      <c r="R80" s="35">
        <v>4</v>
      </c>
      <c r="S80" s="36">
        <v>7</v>
      </c>
      <c r="T80" s="36">
        <v>4</v>
      </c>
      <c r="U80" s="37">
        <v>3</v>
      </c>
      <c r="X80" s="28">
        <v>2</v>
      </c>
      <c r="Y80" s="23">
        <v>1</v>
      </c>
      <c r="Z80" s="24">
        <v>1</v>
      </c>
      <c r="AA80" s="24">
        <v>1</v>
      </c>
      <c r="AB80" s="24">
        <v>1</v>
      </c>
      <c r="AC80" s="24">
        <v>1</v>
      </c>
      <c r="AD80" s="24">
        <v>1</v>
      </c>
      <c r="AE80" s="24">
        <v>1</v>
      </c>
      <c r="AF80" s="24">
        <v>1</v>
      </c>
      <c r="AG80" s="24">
        <v>0</v>
      </c>
      <c r="AH80" s="24">
        <v>0</v>
      </c>
      <c r="AI80" s="24">
        <v>1</v>
      </c>
      <c r="AJ80" s="24">
        <v>1</v>
      </c>
      <c r="AK80" s="24">
        <v>1</v>
      </c>
      <c r="AL80" s="24">
        <v>1</v>
      </c>
      <c r="AM80" s="24">
        <v>0</v>
      </c>
      <c r="AN80" s="24">
        <v>0</v>
      </c>
      <c r="AO80" s="24">
        <v>0</v>
      </c>
      <c r="AP80" s="24">
        <v>0</v>
      </c>
      <c r="AQ80" s="24">
        <v>1</v>
      </c>
      <c r="AR80" s="24">
        <v>1</v>
      </c>
      <c r="AS80" s="24">
        <v>1</v>
      </c>
      <c r="AT80" s="24">
        <v>1</v>
      </c>
      <c r="AU80" s="24">
        <v>1</v>
      </c>
      <c r="AV80" s="24">
        <v>1</v>
      </c>
      <c r="AW80" s="24">
        <v>1</v>
      </c>
      <c r="AX80" s="24">
        <v>1</v>
      </c>
      <c r="AY80" s="24">
        <v>0</v>
      </c>
      <c r="AZ80" s="24">
        <v>0</v>
      </c>
      <c r="BA80" s="24">
        <v>1</v>
      </c>
      <c r="BB80" s="24">
        <v>1</v>
      </c>
      <c r="BC80" s="24">
        <v>1</v>
      </c>
      <c r="BD80" s="24">
        <v>1</v>
      </c>
      <c r="BE80" s="24">
        <v>0</v>
      </c>
      <c r="BF80" s="25">
        <v>0</v>
      </c>
      <c r="BG80" s="28">
        <v>24</v>
      </c>
      <c r="BJ80" s="35">
        <v>4</v>
      </c>
      <c r="BK80" s="36">
        <v>9</v>
      </c>
      <c r="BL80" s="36">
        <v>2</v>
      </c>
      <c r="BM80" s="37">
        <v>3</v>
      </c>
      <c r="BN80" s="39">
        <v>6</v>
      </c>
    </row>
    <row r="81" spans="1:66" s="3" customFormat="1" ht="18" customHeight="1" x14ac:dyDescent="0.2">
      <c r="A81" s="35">
        <v>2</v>
      </c>
      <c r="B81" s="36">
        <v>9</v>
      </c>
      <c r="C81" s="36">
        <v>2</v>
      </c>
      <c r="D81" s="37">
        <v>3</v>
      </c>
      <c r="R81" s="35">
        <v>4</v>
      </c>
      <c r="S81" s="36">
        <v>9</v>
      </c>
      <c r="T81" s="36">
        <v>1</v>
      </c>
      <c r="U81" s="37">
        <v>3</v>
      </c>
      <c r="X81" s="39">
        <v>4</v>
      </c>
      <c r="Y81" s="35">
        <v>1</v>
      </c>
      <c r="Z81" s="36">
        <v>1</v>
      </c>
      <c r="AA81" s="36">
        <v>1</v>
      </c>
      <c r="AB81" s="36">
        <v>1</v>
      </c>
      <c r="AC81" s="36">
        <v>1</v>
      </c>
      <c r="AD81" s="36">
        <v>1</v>
      </c>
      <c r="AE81" s="36">
        <v>1</v>
      </c>
      <c r="AF81" s="36">
        <v>1</v>
      </c>
      <c r="AG81" s="36">
        <v>0</v>
      </c>
      <c r="AH81" s="36">
        <v>0</v>
      </c>
      <c r="AI81" s="36">
        <v>1</v>
      </c>
      <c r="AJ81" s="36">
        <v>1</v>
      </c>
      <c r="AK81" s="36">
        <v>1</v>
      </c>
      <c r="AL81" s="36">
        <v>1</v>
      </c>
      <c r="AM81" s="36">
        <v>0</v>
      </c>
      <c r="AN81" s="36">
        <v>0</v>
      </c>
      <c r="AO81" s="36">
        <v>0</v>
      </c>
      <c r="AP81" s="36">
        <v>0</v>
      </c>
      <c r="AQ81" s="36">
        <v>1</v>
      </c>
      <c r="AR81" s="36">
        <v>1</v>
      </c>
      <c r="AS81" s="36">
        <v>1</v>
      </c>
      <c r="AT81" s="36">
        <v>1</v>
      </c>
      <c r="AU81" s="36">
        <v>1</v>
      </c>
      <c r="AV81" s="36">
        <v>1</v>
      </c>
      <c r="AW81" s="36">
        <v>1</v>
      </c>
      <c r="AX81" s="36">
        <v>1</v>
      </c>
      <c r="AY81" s="36">
        <v>0</v>
      </c>
      <c r="AZ81" s="36">
        <v>0</v>
      </c>
      <c r="BA81" s="36">
        <v>1</v>
      </c>
      <c r="BB81" s="36">
        <v>1</v>
      </c>
      <c r="BC81" s="36">
        <v>1</v>
      </c>
      <c r="BD81" s="36">
        <v>1</v>
      </c>
      <c r="BE81" s="36">
        <v>0</v>
      </c>
      <c r="BF81" s="37">
        <v>0</v>
      </c>
      <c r="BG81" s="39">
        <v>24</v>
      </c>
      <c r="BJ81" s="35">
        <v>4</v>
      </c>
      <c r="BK81" s="36">
        <v>9</v>
      </c>
      <c r="BL81" s="36">
        <v>3</v>
      </c>
      <c r="BM81" s="37">
        <v>3</v>
      </c>
      <c r="BN81" s="39">
        <v>6</v>
      </c>
    </row>
    <row r="82" spans="1:66" s="3" customFormat="1" ht="18.5" customHeight="1" x14ac:dyDescent="0.2">
      <c r="A82" s="35">
        <v>2</v>
      </c>
      <c r="B82" s="36">
        <v>9</v>
      </c>
      <c r="C82" s="36">
        <v>2</v>
      </c>
      <c r="D82" s="37">
        <v>4</v>
      </c>
      <c r="R82" s="35">
        <v>4</v>
      </c>
      <c r="S82" s="36">
        <v>9</v>
      </c>
      <c r="T82" s="36">
        <v>2</v>
      </c>
      <c r="U82" s="37">
        <v>3</v>
      </c>
      <c r="X82" s="56">
        <v>5</v>
      </c>
      <c r="Y82" s="32">
        <v>1</v>
      </c>
      <c r="Z82" s="33">
        <v>1</v>
      </c>
      <c r="AA82" s="33">
        <v>1</v>
      </c>
      <c r="AB82" s="33">
        <v>1</v>
      </c>
      <c r="AC82" s="33">
        <v>1</v>
      </c>
      <c r="AD82" s="33">
        <v>1</v>
      </c>
      <c r="AE82" s="33">
        <v>1</v>
      </c>
      <c r="AF82" s="33">
        <v>1</v>
      </c>
      <c r="AG82" s="33">
        <v>0</v>
      </c>
      <c r="AH82" s="33">
        <v>0</v>
      </c>
      <c r="AI82" s="33">
        <v>1</v>
      </c>
      <c r="AJ82" s="33">
        <v>1</v>
      </c>
      <c r="AK82" s="33">
        <v>1</v>
      </c>
      <c r="AL82" s="33">
        <v>1</v>
      </c>
      <c r="AM82" s="33">
        <v>0</v>
      </c>
      <c r="AN82" s="33">
        <v>0</v>
      </c>
      <c r="AO82" s="33">
        <v>0</v>
      </c>
      <c r="AP82" s="33">
        <v>0</v>
      </c>
      <c r="AQ82" s="33">
        <v>1</v>
      </c>
      <c r="AR82" s="33">
        <v>1</v>
      </c>
      <c r="AS82" s="33">
        <v>1</v>
      </c>
      <c r="AT82" s="33">
        <v>1</v>
      </c>
      <c r="AU82" s="33">
        <v>1</v>
      </c>
      <c r="AV82" s="33">
        <v>1</v>
      </c>
      <c r="AW82" s="33">
        <v>1</v>
      </c>
      <c r="AX82" s="33">
        <v>1</v>
      </c>
      <c r="AY82" s="33">
        <v>0</v>
      </c>
      <c r="AZ82" s="33">
        <v>0</v>
      </c>
      <c r="BA82" s="33">
        <v>1</v>
      </c>
      <c r="BB82" s="33">
        <v>1</v>
      </c>
      <c r="BC82" s="33">
        <v>1</v>
      </c>
      <c r="BD82" s="33">
        <v>1</v>
      </c>
      <c r="BE82" s="33">
        <v>0</v>
      </c>
      <c r="BF82" s="34">
        <v>0</v>
      </c>
      <c r="BG82" s="56">
        <v>24</v>
      </c>
      <c r="BJ82" s="35">
        <v>4</v>
      </c>
      <c r="BK82" s="36">
        <v>9</v>
      </c>
      <c r="BL82" s="36">
        <v>4</v>
      </c>
      <c r="BM82" s="37">
        <v>3</v>
      </c>
      <c r="BN82" s="39">
        <v>6</v>
      </c>
    </row>
    <row r="83" spans="1:66" s="3" customFormat="1" ht="19" customHeight="1" x14ac:dyDescent="0.2">
      <c r="A83" s="35">
        <v>2</v>
      </c>
      <c r="B83" s="36">
        <v>9</v>
      </c>
      <c r="C83" s="36">
        <v>3</v>
      </c>
      <c r="D83" s="37">
        <v>1</v>
      </c>
      <c r="R83" s="35">
        <v>4</v>
      </c>
      <c r="S83" s="36">
        <v>9</v>
      </c>
      <c r="T83" s="36">
        <v>3</v>
      </c>
      <c r="U83" s="37">
        <v>3</v>
      </c>
      <c r="X83" s="8" t="s">
        <v>74</v>
      </c>
      <c r="Y83" s="96">
        <f t="shared" ref="Y83:BG83" si="1">SUM(Y80:Y82)</f>
        <v>3</v>
      </c>
      <c r="Z83" s="97">
        <f t="shared" si="1"/>
        <v>3</v>
      </c>
      <c r="AA83" s="97">
        <f t="shared" si="1"/>
        <v>3</v>
      </c>
      <c r="AB83" s="97">
        <f t="shared" si="1"/>
        <v>3</v>
      </c>
      <c r="AC83" s="97">
        <f t="shared" si="1"/>
        <v>3</v>
      </c>
      <c r="AD83" s="97">
        <f t="shared" si="1"/>
        <v>3</v>
      </c>
      <c r="AE83" s="97">
        <f t="shared" si="1"/>
        <v>3</v>
      </c>
      <c r="AF83" s="97">
        <f t="shared" si="1"/>
        <v>3</v>
      </c>
      <c r="AG83" s="97">
        <f t="shared" si="1"/>
        <v>0</v>
      </c>
      <c r="AH83" s="97">
        <f t="shared" si="1"/>
        <v>0</v>
      </c>
      <c r="AI83" s="97">
        <f t="shared" si="1"/>
        <v>3</v>
      </c>
      <c r="AJ83" s="97">
        <f t="shared" si="1"/>
        <v>3</v>
      </c>
      <c r="AK83" s="97">
        <f t="shared" si="1"/>
        <v>3</v>
      </c>
      <c r="AL83" s="97">
        <f t="shared" si="1"/>
        <v>3</v>
      </c>
      <c r="AM83" s="97">
        <f t="shared" si="1"/>
        <v>0</v>
      </c>
      <c r="AN83" s="97">
        <f t="shared" si="1"/>
        <v>0</v>
      </c>
      <c r="AO83" s="97">
        <f t="shared" si="1"/>
        <v>0</v>
      </c>
      <c r="AP83" s="97">
        <f t="shared" si="1"/>
        <v>0</v>
      </c>
      <c r="AQ83" s="97">
        <f t="shared" si="1"/>
        <v>3</v>
      </c>
      <c r="AR83" s="97">
        <f t="shared" si="1"/>
        <v>3</v>
      </c>
      <c r="AS83" s="97">
        <f t="shared" si="1"/>
        <v>3</v>
      </c>
      <c r="AT83" s="97">
        <f t="shared" si="1"/>
        <v>3</v>
      </c>
      <c r="AU83" s="97">
        <f t="shared" si="1"/>
        <v>3</v>
      </c>
      <c r="AV83" s="97">
        <f t="shared" si="1"/>
        <v>3</v>
      </c>
      <c r="AW83" s="97">
        <f t="shared" si="1"/>
        <v>3</v>
      </c>
      <c r="AX83" s="97">
        <f t="shared" si="1"/>
        <v>3</v>
      </c>
      <c r="AY83" s="97">
        <f t="shared" si="1"/>
        <v>0</v>
      </c>
      <c r="AZ83" s="97">
        <f t="shared" si="1"/>
        <v>0</v>
      </c>
      <c r="BA83" s="97">
        <f t="shared" si="1"/>
        <v>3</v>
      </c>
      <c r="BB83" s="97">
        <f t="shared" si="1"/>
        <v>3</v>
      </c>
      <c r="BC83" s="97">
        <f t="shared" si="1"/>
        <v>3</v>
      </c>
      <c r="BD83" s="97">
        <f t="shared" si="1"/>
        <v>3</v>
      </c>
      <c r="BE83" s="97">
        <f t="shared" si="1"/>
        <v>0</v>
      </c>
      <c r="BF83" s="98">
        <f t="shared" si="1"/>
        <v>0</v>
      </c>
      <c r="BG83" s="94">
        <f t="shared" si="1"/>
        <v>72</v>
      </c>
      <c r="BJ83" s="35">
        <v>5</v>
      </c>
      <c r="BK83" s="36">
        <v>1</v>
      </c>
      <c r="BL83" s="36">
        <v>1</v>
      </c>
      <c r="BM83" s="37">
        <v>3</v>
      </c>
      <c r="BN83" s="39">
        <v>6</v>
      </c>
    </row>
    <row r="84" spans="1:66" s="3" customFormat="1" ht="19" customHeight="1" x14ac:dyDescent="0.2">
      <c r="A84" s="35">
        <v>2</v>
      </c>
      <c r="B84" s="36">
        <v>9</v>
      </c>
      <c r="C84" s="36">
        <v>3</v>
      </c>
      <c r="D84" s="37">
        <v>2</v>
      </c>
      <c r="R84" s="35">
        <v>4</v>
      </c>
      <c r="S84" s="36">
        <v>9</v>
      </c>
      <c r="T84" s="36">
        <v>4</v>
      </c>
      <c r="U84" s="37">
        <v>3</v>
      </c>
      <c r="BJ84" s="35">
        <v>5</v>
      </c>
      <c r="BK84" s="36">
        <v>1</v>
      </c>
      <c r="BL84" s="36">
        <v>2</v>
      </c>
      <c r="BM84" s="37">
        <v>3</v>
      </c>
      <c r="BN84" s="39">
        <v>6</v>
      </c>
    </row>
    <row r="85" spans="1:66" s="3" customFormat="1" ht="19" customHeight="1" x14ac:dyDescent="0.2">
      <c r="A85" s="35">
        <v>2</v>
      </c>
      <c r="B85" s="36">
        <v>9</v>
      </c>
      <c r="C85" s="36">
        <v>3</v>
      </c>
      <c r="D85" s="37">
        <v>3</v>
      </c>
      <c r="R85" s="35">
        <v>5</v>
      </c>
      <c r="S85" s="36">
        <v>1</v>
      </c>
      <c r="T85" s="36">
        <v>1</v>
      </c>
      <c r="U85" s="37">
        <v>3</v>
      </c>
      <c r="AA85" s="101" t="s">
        <v>4</v>
      </c>
      <c r="BJ85" s="35">
        <v>5</v>
      </c>
      <c r="BK85" s="36">
        <v>1</v>
      </c>
      <c r="BL85" s="36">
        <v>3</v>
      </c>
      <c r="BM85" s="37">
        <v>3</v>
      </c>
      <c r="BN85" s="39">
        <v>6</v>
      </c>
    </row>
    <row r="86" spans="1:66" s="3" customFormat="1" ht="19" customHeight="1" x14ac:dyDescent="0.2">
      <c r="A86" s="35">
        <v>2</v>
      </c>
      <c r="B86" s="36">
        <v>9</v>
      </c>
      <c r="C86" s="36">
        <v>3</v>
      </c>
      <c r="D86" s="37">
        <v>4</v>
      </c>
      <c r="R86" s="35">
        <v>5</v>
      </c>
      <c r="S86" s="36">
        <v>1</v>
      </c>
      <c r="T86" s="36">
        <v>2</v>
      </c>
      <c r="U86" s="37">
        <v>3</v>
      </c>
      <c r="X86" s="8" t="s">
        <v>22</v>
      </c>
      <c r="BJ86" s="35">
        <v>5</v>
      </c>
      <c r="BK86" s="36">
        <v>1</v>
      </c>
      <c r="BL86" s="36">
        <v>4</v>
      </c>
      <c r="BM86" s="37">
        <v>3</v>
      </c>
      <c r="BN86" s="39">
        <v>6</v>
      </c>
    </row>
    <row r="87" spans="1:66" s="3" customFormat="1" ht="18.5" customHeight="1" x14ac:dyDescent="0.2">
      <c r="A87" s="35">
        <v>3</v>
      </c>
      <c r="B87" s="36">
        <v>1</v>
      </c>
      <c r="C87" s="36">
        <v>1</v>
      </c>
      <c r="D87" s="37">
        <v>1</v>
      </c>
      <c r="R87" s="35">
        <v>5</v>
      </c>
      <c r="S87" s="36">
        <v>1</v>
      </c>
      <c r="T87" s="36">
        <v>3</v>
      </c>
      <c r="U87" s="37">
        <v>3</v>
      </c>
      <c r="X87" s="28">
        <v>2</v>
      </c>
      <c r="AA87" s="36">
        <v>1</v>
      </c>
      <c r="AB87" s="36">
        <v>1</v>
      </c>
      <c r="AG87" s="7" t="s">
        <v>76</v>
      </c>
      <c r="BJ87" s="35">
        <v>5</v>
      </c>
      <c r="BK87" s="36">
        <v>2</v>
      </c>
      <c r="BL87" s="36">
        <v>1</v>
      </c>
      <c r="BM87" s="37">
        <v>3</v>
      </c>
      <c r="BN87" s="39">
        <v>6</v>
      </c>
    </row>
    <row r="88" spans="1:66" s="3" customFormat="1" ht="18" customHeight="1" x14ac:dyDescent="0.2">
      <c r="A88" s="35">
        <v>3</v>
      </c>
      <c r="B88" s="36">
        <v>1</v>
      </c>
      <c r="C88" s="36">
        <v>1</v>
      </c>
      <c r="D88" s="37">
        <v>2</v>
      </c>
      <c r="R88" s="35">
        <v>5</v>
      </c>
      <c r="S88" s="36">
        <v>1</v>
      </c>
      <c r="T88" s="36">
        <v>4</v>
      </c>
      <c r="U88" s="37">
        <v>3</v>
      </c>
      <c r="X88" s="39">
        <v>4</v>
      </c>
      <c r="AA88" s="36">
        <v>1</v>
      </c>
      <c r="AB88" s="36">
        <v>2</v>
      </c>
      <c r="BJ88" s="35">
        <v>5</v>
      </c>
      <c r="BK88" s="36">
        <v>2</v>
      </c>
      <c r="BL88" s="36">
        <v>2</v>
      </c>
      <c r="BM88" s="37">
        <v>3</v>
      </c>
      <c r="BN88" s="39">
        <v>6</v>
      </c>
    </row>
    <row r="89" spans="1:66" s="3" customFormat="1" ht="18.5" customHeight="1" x14ac:dyDescent="0.2">
      <c r="A89" s="35">
        <v>3</v>
      </c>
      <c r="B89" s="36">
        <v>1</v>
      </c>
      <c r="C89" s="36">
        <v>1</v>
      </c>
      <c r="D89" s="37">
        <v>3</v>
      </c>
      <c r="R89" s="35">
        <v>5</v>
      </c>
      <c r="S89" s="36">
        <v>2</v>
      </c>
      <c r="T89" s="36">
        <v>1</v>
      </c>
      <c r="U89" s="37">
        <v>3</v>
      </c>
      <c r="X89" s="56">
        <v>5</v>
      </c>
      <c r="AA89" s="36">
        <v>1</v>
      </c>
      <c r="AB89" s="36">
        <v>3</v>
      </c>
      <c r="BJ89" s="35">
        <v>5</v>
      </c>
      <c r="BK89" s="36">
        <v>2</v>
      </c>
      <c r="BL89" s="36">
        <v>3</v>
      </c>
      <c r="BM89" s="37">
        <v>3</v>
      </c>
      <c r="BN89" s="39">
        <v>6</v>
      </c>
    </row>
    <row r="90" spans="1:66" s="3" customFormat="1" ht="18.5" customHeight="1" x14ac:dyDescent="0.2">
      <c r="A90" s="35">
        <v>3</v>
      </c>
      <c r="B90" s="36">
        <v>1</v>
      </c>
      <c r="C90" s="36">
        <v>1</v>
      </c>
      <c r="D90" s="37">
        <v>4</v>
      </c>
      <c r="R90" s="35">
        <v>5</v>
      </c>
      <c r="S90" s="36">
        <v>2</v>
      </c>
      <c r="T90" s="36">
        <v>2</v>
      </c>
      <c r="U90" s="37">
        <v>3</v>
      </c>
      <c r="AA90" s="36">
        <v>1</v>
      </c>
      <c r="AB90" s="36">
        <v>4</v>
      </c>
      <c r="BJ90" s="35">
        <v>5</v>
      </c>
      <c r="BK90" s="36">
        <v>2</v>
      </c>
      <c r="BL90" s="36">
        <v>4</v>
      </c>
      <c r="BM90" s="37">
        <v>3</v>
      </c>
      <c r="BN90" s="39">
        <v>6</v>
      </c>
    </row>
    <row r="91" spans="1:66" s="3" customFormat="1" ht="18" customHeight="1" x14ac:dyDescent="0.2">
      <c r="A91" s="35">
        <v>3</v>
      </c>
      <c r="B91" s="36">
        <v>1</v>
      </c>
      <c r="C91" s="36">
        <v>2</v>
      </c>
      <c r="D91" s="37">
        <v>1</v>
      </c>
      <c r="R91" s="35">
        <v>5</v>
      </c>
      <c r="S91" s="36">
        <v>2</v>
      </c>
      <c r="T91" s="36">
        <v>3</v>
      </c>
      <c r="U91" s="37">
        <v>3</v>
      </c>
      <c r="AA91" s="36">
        <v>2</v>
      </c>
      <c r="AB91" s="36">
        <v>1</v>
      </c>
      <c r="BJ91" s="35">
        <v>5</v>
      </c>
      <c r="BK91" s="36">
        <v>4</v>
      </c>
      <c r="BL91" s="36">
        <v>1</v>
      </c>
      <c r="BM91" s="37">
        <v>3</v>
      </c>
      <c r="BN91" s="39">
        <v>6</v>
      </c>
    </row>
    <row r="92" spans="1:66" s="3" customFormat="1" ht="18" customHeight="1" x14ac:dyDescent="0.2">
      <c r="A92" s="35">
        <v>3</v>
      </c>
      <c r="B92" s="36">
        <v>1</v>
      </c>
      <c r="C92" s="36">
        <v>2</v>
      </c>
      <c r="D92" s="37">
        <v>2</v>
      </c>
      <c r="R92" s="35">
        <v>5</v>
      </c>
      <c r="S92" s="36">
        <v>2</v>
      </c>
      <c r="T92" s="36">
        <v>4</v>
      </c>
      <c r="U92" s="37">
        <v>3</v>
      </c>
      <c r="AA92" s="36">
        <v>2</v>
      </c>
      <c r="AB92" s="36">
        <v>2</v>
      </c>
      <c r="BJ92" s="35">
        <v>5</v>
      </c>
      <c r="BK92" s="36">
        <v>4</v>
      </c>
      <c r="BL92" s="36">
        <v>2</v>
      </c>
      <c r="BM92" s="37">
        <v>3</v>
      </c>
      <c r="BN92" s="39">
        <v>6</v>
      </c>
    </row>
    <row r="93" spans="1:66" s="3" customFormat="1" ht="18" customHeight="1" x14ac:dyDescent="0.2">
      <c r="A93" s="35">
        <v>3</v>
      </c>
      <c r="B93" s="36">
        <v>1</v>
      </c>
      <c r="C93" s="36">
        <v>2</v>
      </c>
      <c r="D93" s="37">
        <v>3</v>
      </c>
      <c r="R93" s="35">
        <v>5</v>
      </c>
      <c r="S93" s="36">
        <v>4</v>
      </c>
      <c r="T93" s="36">
        <v>1</v>
      </c>
      <c r="U93" s="37">
        <v>3</v>
      </c>
      <c r="AA93" s="36">
        <v>2</v>
      </c>
      <c r="AB93" s="36">
        <v>3</v>
      </c>
      <c r="BJ93" s="35">
        <v>5</v>
      </c>
      <c r="BK93" s="36">
        <v>4</v>
      </c>
      <c r="BL93" s="36">
        <v>3</v>
      </c>
      <c r="BM93" s="37">
        <v>3</v>
      </c>
      <c r="BN93" s="39">
        <v>6</v>
      </c>
    </row>
    <row r="94" spans="1:66" s="3" customFormat="1" ht="18" customHeight="1" x14ac:dyDescent="0.2">
      <c r="A94" s="35">
        <v>3</v>
      </c>
      <c r="B94" s="36">
        <v>1</v>
      </c>
      <c r="C94" s="36">
        <v>2</v>
      </c>
      <c r="D94" s="37">
        <v>4</v>
      </c>
      <c r="R94" s="35">
        <v>5</v>
      </c>
      <c r="S94" s="36">
        <v>4</v>
      </c>
      <c r="T94" s="36">
        <v>2</v>
      </c>
      <c r="U94" s="37">
        <v>3</v>
      </c>
      <c r="AA94" s="36">
        <v>2</v>
      </c>
      <c r="AB94" s="36">
        <v>4</v>
      </c>
      <c r="BJ94" s="35">
        <v>5</v>
      </c>
      <c r="BK94" s="36">
        <v>4</v>
      </c>
      <c r="BL94" s="36">
        <v>4</v>
      </c>
      <c r="BM94" s="37">
        <v>3</v>
      </c>
      <c r="BN94" s="39">
        <v>6</v>
      </c>
    </row>
    <row r="95" spans="1:66" s="3" customFormat="1" ht="18" customHeight="1" x14ac:dyDescent="0.2">
      <c r="A95" s="35">
        <v>3</v>
      </c>
      <c r="B95" s="36">
        <v>1</v>
      </c>
      <c r="C95" s="36">
        <v>3</v>
      </c>
      <c r="D95" s="37">
        <v>1</v>
      </c>
      <c r="R95" s="35">
        <v>5</v>
      </c>
      <c r="S95" s="36">
        <v>4</v>
      </c>
      <c r="T95" s="36">
        <v>3</v>
      </c>
      <c r="U95" s="37">
        <v>3</v>
      </c>
      <c r="AA95" s="36">
        <v>4</v>
      </c>
      <c r="AB95" s="36">
        <v>1</v>
      </c>
      <c r="BJ95" s="35">
        <v>5</v>
      </c>
      <c r="BK95" s="36">
        <v>6</v>
      </c>
      <c r="BL95" s="36">
        <v>1</v>
      </c>
      <c r="BM95" s="37">
        <v>3</v>
      </c>
      <c r="BN95" s="39">
        <v>6</v>
      </c>
    </row>
    <row r="96" spans="1:66" s="3" customFormat="1" ht="18" customHeight="1" x14ac:dyDescent="0.2">
      <c r="A96" s="35">
        <v>3</v>
      </c>
      <c r="B96" s="36">
        <v>1</v>
      </c>
      <c r="C96" s="36">
        <v>3</v>
      </c>
      <c r="D96" s="37">
        <v>2</v>
      </c>
      <c r="R96" s="35">
        <v>5</v>
      </c>
      <c r="S96" s="36">
        <v>4</v>
      </c>
      <c r="T96" s="36">
        <v>4</v>
      </c>
      <c r="U96" s="37">
        <v>3</v>
      </c>
      <c r="AA96" s="36">
        <v>4</v>
      </c>
      <c r="AB96" s="36">
        <v>2</v>
      </c>
      <c r="BJ96" s="35">
        <v>5</v>
      </c>
      <c r="BK96" s="36">
        <v>6</v>
      </c>
      <c r="BL96" s="36">
        <v>2</v>
      </c>
      <c r="BM96" s="37">
        <v>3</v>
      </c>
      <c r="BN96" s="39">
        <v>6</v>
      </c>
    </row>
    <row r="97" spans="1:66" s="3" customFormat="1" ht="18" customHeight="1" x14ac:dyDescent="0.2">
      <c r="A97" s="35">
        <v>3</v>
      </c>
      <c r="B97" s="36">
        <v>1</v>
      </c>
      <c r="C97" s="36">
        <v>3</v>
      </c>
      <c r="D97" s="37">
        <v>3</v>
      </c>
      <c r="R97" s="35">
        <v>5</v>
      </c>
      <c r="S97" s="36">
        <v>6</v>
      </c>
      <c r="T97" s="36">
        <v>1</v>
      </c>
      <c r="U97" s="37">
        <v>3</v>
      </c>
      <c r="AA97" s="36">
        <v>4</v>
      </c>
      <c r="AB97" s="36">
        <v>3</v>
      </c>
      <c r="BJ97" s="35">
        <v>5</v>
      </c>
      <c r="BK97" s="36">
        <v>6</v>
      </c>
      <c r="BL97" s="36">
        <v>3</v>
      </c>
      <c r="BM97" s="37">
        <v>3</v>
      </c>
      <c r="BN97" s="39">
        <v>6</v>
      </c>
    </row>
    <row r="98" spans="1:66" s="3" customFormat="1" ht="18" customHeight="1" x14ac:dyDescent="0.2">
      <c r="A98" s="35">
        <v>3</v>
      </c>
      <c r="B98" s="36">
        <v>1</v>
      </c>
      <c r="C98" s="36">
        <v>3</v>
      </c>
      <c r="D98" s="37">
        <v>4</v>
      </c>
      <c r="R98" s="35">
        <v>5</v>
      </c>
      <c r="S98" s="36">
        <v>6</v>
      </c>
      <c r="T98" s="36">
        <v>2</v>
      </c>
      <c r="U98" s="37">
        <v>3</v>
      </c>
      <c r="AA98" s="36">
        <v>4</v>
      </c>
      <c r="AB98" s="36">
        <v>4</v>
      </c>
      <c r="BJ98" s="35">
        <v>5</v>
      </c>
      <c r="BK98" s="36">
        <v>6</v>
      </c>
      <c r="BL98" s="36">
        <v>4</v>
      </c>
      <c r="BM98" s="37">
        <v>3</v>
      </c>
      <c r="BN98" s="39">
        <v>6</v>
      </c>
    </row>
    <row r="99" spans="1:66" s="3" customFormat="1" ht="18" customHeight="1" x14ac:dyDescent="0.2">
      <c r="A99" s="35">
        <v>3</v>
      </c>
      <c r="B99" s="36">
        <v>2</v>
      </c>
      <c r="C99" s="36">
        <v>1</v>
      </c>
      <c r="D99" s="37">
        <v>1</v>
      </c>
      <c r="R99" s="35">
        <v>5</v>
      </c>
      <c r="S99" s="36">
        <v>6</v>
      </c>
      <c r="T99" s="36">
        <v>3</v>
      </c>
      <c r="U99" s="37">
        <v>3</v>
      </c>
      <c r="AA99" s="36">
        <v>6</v>
      </c>
      <c r="AB99" s="36">
        <v>1</v>
      </c>
      <c r="BJ99" s="35">
        <v>5</v>
      </c>
      <c r="BK99" s="36">
        <v>7</v>
      </c>
      <c r="BL99" s="36">
        <v>1</v>
      </c>
      <c r="BM99" s="37">
        <v>3</v>
      </c>
      <c r="BN99" s="39">
        <v>6</v>
      </c>
    </row>
    <row r="100" spans="1:66" s="3" customFormat="1" ht="18" customHeight="1" x14ac:dyDescent="0.2">
      <c r="A100" s="35">
        <v>3</v>
      </c>
      <c r="B100" s="36">
        <v>2</v>
      </c>
      <c r="C100" s="36">
        <v>1</v>
      </c>
      <c r="D100" s="37">
        <v>2</v>
      </c>
      <c r="R100" s="35">
        <v>5</v>
      </c>
      <c r="S100" s="36">
        <v>6</v>
      </c>
      <c r="T100" s="36">
        <v>4</v>
      </c>
      <c r="U100" s="37">
        <v>3</v>
      </c>
      <c r="AA100" s="36">
        <v>6</v>
      </c>
      <c r="AB100" s="36">
        <v>2</v>
      </c>
      <c r="BJ100" s="35">
        <v>5</v>
      </c>
      <c r="BK100" s="36">
        <v>7</v>
      </c>
      <c r="BL100" s="36">
        <v>2</v>
      </c>
      <c r="BM100" s="37">
        <v>3</v>
      </c>
      <c r="BN100" s="39">
        <v>6</v>
      </c>
    </row>
    <row r="101" spans="1:66" s="3" customFormat="1" ht="18" customHeight="1" x14ac:dyDescent="0.2">
      <c r="A101" s="35">
        <v>3</v>
      </c>
      <c r="B101" s="36">
        <v>2</v>
      </c>
      <c r="C101" s="36">
        <v>1</v>
      </c>
      <c r="D101" s="37">
        <v>3</v>
      </c>
      <c r="R101" s="35">
        <v>5</v>
      </c>
      <c r="S101" s="36">
        <v>7</v>
      </c>
      <c r="T101" s="36">
        <v>1</v>
      </c>
      <c r="U101" s="37">
        <v>3</v>
      </c>
      <c r="AA101" s="36">
        <v>6</v>
      </c>
      <c r="AB101" s="36">
        <v>3</v>
      </c>
      <c r="BJ101" s="35">
        <v>5</v>
      </c>
      <c r="BK101" s="36">
        <v>7</v>
      </c>
      <c r="BL101" s="36">
        <v>3</v>
      </c>
      <c r="BM101" s="37">
        <v>3</v>
      </c>
      <c r="BN101" s="39">
        <v>6</v>
      </c>
    </row>
    <row r="102" spans="1:66" s="3" customFormat="1" ht="18" customHeight="1" x14ac:dyDescent="0.2">
      <c r="A102" s="35">
        <v>3</v>
      </c>
      <c r="B102" s="36">
        <v>2</v>
      </c>
      <c r="C102" s="36">
        <v>1</v>
      </c>
      <c r="D102" s="37">
        <v>4</v>
      </c>
      <c r="R102" s="35">
        <v>5</v>
      </c>
      <c r="S102" s="36">
        <v>7</v>
      </c>
      <c r="T102" s="36">
        <v>2</v>
      </c>
      <c r="U102" s="37">
        <v>3</v>
      </c>
      <c r="AA102" s="36">
        <v>6</v>
      </c>
      <c r="AB102" s="36">
        <v>4</v>
      </c>
      <c r="BJ102" s="35">
        <v>5</v>
      </c>
      <c r="BK102" s="36">
        <v>7</v>
      </c>
      <c r="BL102" s="36">
        <v>4</v>
      </c>
      <c r="BM102" s="37">
        <v>3</v>
      </c>
      <c r="BN102" s="39">
        <v>6</v>
      </c>
    </row>
    <row r="103" spans="1:66" s="3" customFormat="1" ht="18" customHeight="1" x14ac:dyDescent="0.2">
      <c r="A103" s="35">
        <v>3</v>
      </c>
      <c r="B103" s="36">
        <v>2</v>
      </c>
      <c r="C103" s="36">
        <v>2</v>
      </c>
      <c r="D103" s="37">
        <v>1</v>
      </c>
      <c r="R103" s="35">
        <v>5</v>
      </c>
      <c r="S103" s="36">
        <v>7</v>
      </c>
      <c r="T103" s="36">
        <v>3</v>
      </c>
      <c r="U103" s="37">
        <v>3</v>
      </c>
      <c r="AA103" s="36">
        <v>7</v>
      </c>
      <c r="AB103" s="36">
        <v>1</v>
      </c>
      <c r="BJ103" s="35">
        <v>5</v>
      </c>
      <c r="BK103" s="36">
        <v>9</v>
      </c>
      <c r="BL103" s="36">
        <v>1</v>
      </c>
      <c r="BM103" s="37">
        <v>3</v>
      </c>
      <c r="BN103" s="39">
        <v>6</v>
      </c>
    </row>
    <row r="104" spans="1:66" s="3" customFormat="1" ht="18" customHeight="1" x14ac:dyDescent="0.2">
      <c r="A104" s="35">
        <v>3</v>
      </c>
      <c r="B104" s="36">
        <v>2</v>
      </c>
      <c r="C104" s="36">
        <v>2</v>
      </c>
      <c r="D104" s="37">
        <v>2</v>
      </c>
      <c r="R104" s="35">
        <v>5</v>
      </c>
      <c r="S104" s="36">
        <v>7</v>
      </c>
      <c r="T104" s="36">
        <v>4</v>
      </c>
      <c r="U104" s="37">
        <v>3</v>
      </c>
      <c r="AA104" s="36">
        <v>7</v>
      </c>
      <c r="AB104" s="36">
        <v>2</v>
      </c>
      <c r="BJ104" s="35">
        <v>5</v>
      </c>
      <c r="BK104" s="36">
        <v>9</v>
      </c>
      <c r="BL104" s="36">
        <v>2</v>
      </c>
      <c r="BM104" s="37">
        <v>3</v>
      </c>
      <c r="BN104" s="39">
        <v>6</v>
      </c>
    </row>
    <row r="105" spans="1:66" s="3" customFormat="1" ht="18" customHeight="1" x14ac:dyDescent="0.2">
      <c r="A105" s="35">
        <v>3</v>
      </c>
      <c r="B105" s="36">
        <v>2</v>
      </c>
      <c r="C105" s="36">
        <v>2</v>
      </c>
      <c r="D105" s="37">
        <v>3</v>
      </c>
      <c r="R105" s="35">
        <v>5</v>
      </c>
      <c r="S105" s="36">
        <v>9</v>
      </c>
      <c r="T105" s="36">
        <v>1</v>
      </c>
      <c r="U105" s="37">
        <v>3</v>
      </c>
      <c r="AA105" s="36">
        <v>7</v>
      </c>
      <c r="AB105" s="36">
        <v>3</v>
      </c>
      <c r="BJ105" s="35">
        <v>5</v>
      </c>
      <c r="BK105" s="36">
        <v>9</v>
      </c>
      <c r="BL105" s="36">
        <v>3</v>
      </c>
      <c r="BM105" s="37">
        <v>3</v>
      </c>
      <c r="BN105" s="39">
        <v>6</v>
      </c>
    </row>
    <row r="106" spans="1:66" s="3" customFormat="1" ht="18" customHeight="1" x14ac:dyDescent="0.2">
      <c r="A106" s="35">
        <v>3</v>
      </c>
      <c r="B106" s="36">
        <v>2</v>
      </c>
      <c r="C106" s="36">
        <v>2</v>
      </c>
      <c r="D106" s="37">
        <v>4</v>
      </c>
      <c r="R106" s="35">
        <v>5</v>
      </c>
      <c r="S106" s="36">
        <v>9</v>
      </c>
      <c r="T106" s="36">
        <v>2</v>
      </c>
      <c r="U106" s="37">
        <v>3</v>
      </c>
      <c r="AA106" s="36">
        <v>7</v>
      </c>
      <c r="AB106" s="36">
        <v>4</v>
      </c>
      <c r="BJ106" s="35">
        <v>5</v>
      </c>
      <c r="BK106" s="36">
        <v>9</v>
      </c>
      <c r="BL106" s="36">
        <v>4</v>
      </c>
      <c r="BM106" s="37">
        <v>3</v>
      </c>
      <c r="BN106" s="39">
        <v>6</v>
      </c>
    </row>
    <row r="107" spans="1:66" s="3" customFormat="1" ht="18" customHeight="1" x14ac:dyDescent="0.2">
      <c r="A107" s="35">
        <v>3</v>
      </c>
      <c r="B107" s="36">
        <v>2</v>
      </c>
      <c r="C107" s="36">
        <v>3</v>
      </c>
      <c r="D107" s="37">
        <v>1</v>
      </c>
      <c r="R107" s="35">
        <v>5</v>
      </c>
      <c r="S107" s="36">
        <v>9</v>
      </c>
      <c r="T107" s="36">
        <v>3</v>
      </c>
      <c r="U107" s="37">
        <v>3</v>
      </c>
      <c r="AA107" s="36">
        <v>9</v>
      </c>
      <c r="AB107" s="36">
        <v>1</v>
      </c>
      <c r="BJ107" s="35">
        <v>6</v>
      </c>
      <c r="BK107" s="36">
        <v>1</v>
      </c>
      <c r="BL107" s="36">
        <v>2</v>
      </c>
      <c r="BM107" s="37">
        <v>3</v>
      </c>
      <c r="BN107" s="39">
        <v>3</v>
      </c>
    </row>
    <row r="108" spans="1:66" s="3" customFormat="1" ht="18" customHeight="1" x14ac:dyDescent="0.2">
      <c r="A108" s="35">
        <v>3</v>
      </c>
      <c r="B108" s="36">
        <v>2</v>
      </c>
      <c r="C108" s="36">
        <v>3</v>
      </c>
      <c r="D108" s="37">
        <v>2</v>
      </c>
      <c r="R108" s="35">
        <v>5</v>
      </c>
      <c r="S108" s="36">
        <v>9</v>
      </c>
      <c r="T108" s="36">
        <v>4</v>
      </c>
      <c r="U108" s="37">
        <v>3</v>
      </c>
      <c r="AA108" s="36">
        <v>9</v>
      </c>
      <c r="AB108" s="36">
        <v>2</v>
      </c>
      <c r="BJ108" s="35">
        <v>6</v>
      </c>
      <c r="BK108" s="36">
        <v>1</v>
      </c>
      <c r="BL108" s="36">
        <v>3</v>
      </c>
      <c r="BM108" s="37">
        <v>3</v>
      </c>
      <c r="BN108" s="39">
        <v>3</v>
      </c>
    </row>
    <row r="109" spans="1:66" s="3" customFormat="1" ht="18" customHeight="1" x14ac:dyDescent="0.2">
      <c r="A109" s="35">
        <v>3</v>
      </c>
      <c r="B109" s="36">
        <v>2</v>
      </c>
      <c r="C109" s="36">
        <v>3</v>
      </c>
      <c r="D109" s="37">
        <v>3</v>
      </c>
      <c r="R109" s="35">
        <v>6</v>
      </c>
      <c r="S109" s="36">
        <v>1</v>
      </c>
      <c r="T109" s="36">
        <v>2</v>
      </c>
      <c r="U109" s="37">
        <v>3</v>
      </c>
      <c r="AA109" s="36">
        <v>9</v>
      </c>
      <c r="AB109" s="36">
        <v>3</v>
      </c>
      <c r="BJ109" s="35">
        <v>6</v>
      </c>
      <c r="BK109" s="36">
        <v>1</v>
      </c>
      <c r="BL109" s="36">
        <v>4</v>
      </c>
      <c r="BM109" s="37">
        <v>3</v>
      </c>
      <c r="BN109" s="39">
        <v>3</v>
      </c>
    </row>
    <row r="110" spans="1:66" s="3" customFormat="1" ht="18" customHeight="1" x14ac:dyDescent="0.2">
      <c r="A110" s="35">
        <v>3</v>
      </c>
      <c r="B110" s="36">
        <v>2</v>
      </c>
      <c r="C110" s="36">
        <v>3</v>
      </c>
      <c r="D110" s="37">
        <v>4</v>
      </c>
      <c r="R110" s="35">
        <v>6</v>
      </c>
      <c r="S110" s="36">
        <v>1</v>
      </c>
      <c r="T110" s="36">
        <v>3</v>
      </c>
      <c r="U110" s="37">
        <v>3</v>
      </c>
      <c r="AA110" s="36">
        <v>9</v>
      </c>
      <c r="AB110" s="36">
        <v>4</v>
      </c>
      <c r="BJ110" s="35">
        <v>6</v>
      </c>
      <c r="BK110" s="36">
        <v>2</v>
      </c>
      <c r="BL110" s="36">
        <v>2</v>
      </c>
      <c r="BM110" s="37">
        <v>3</v>
      </c>
      <c r="BN110" s="39">
        <v>3</v>
      </c>
    </row>
    <row r="111" spans="1:66" s="3" customFormat="1" ht="18" customHeight="1" x14ac:dyDescent="0.2">
      <c r="A111" s="35">
        <v>3</v>
      </c>
      <c r="B111" s="36">
        <v>4</v>
      </c>
      <c r="C111" s="36">
        <v>1</v>
      </c>
      <c r="D111" s="37">
        <v>1</v>
      </c>
      <c r="R111" s="35">
        <v>6</v>
      </c>
      <c r="S111" s="36">
        <v>1</v>
      </c>
      <c r="T111" s="36">
        <v>4</v>
      </c>
      <c r="U111" s="37">
        <v>3</v>
      </c>
      <c r="BJ111" s="35">
        <v>6</v>
      </c>
      <c r="BK111" s="36">
        <v>2</v>
      </c>
      <c r="BL111" s="36">
        <v>3</v>
      </c>
      <c r="BM111" s="37">
        <v>3</v>
      </c>
      <c r="BN111" s="39">
        <v>3</v>
      </c>
    </row>
    <row r="112" spans="1:66" s="3" customFormat="1" ht="18" customHeight="1" x14ac:dyDescent="0.2">
      <c r="A112" s="35">
        <v>3</v>
      </c>
      <c r="B112" s="36">
        <v>4</v>
      </c>
      <c r="C112" s="36">
        <v>1</v>
      </c>
      <c r="D112" s="37">
        <v>2</v>
      </c>
      <c r="R112" s="35">
        <v>6</v>
      </c>
      <c r="S112" s="36">
        <v>2</v>
      </c>
      <c r="T112" s="36">
        <v>2</v>
      </c>
      <c r="U112" s="37">
        <v>3</v>
      </c>
      <c r="BJ112" s="35">
        <v>6</v>
      </c>
      <c r="BK112" s="36">
        <v>2</v>
      </c>
      <c r="BL112" s="36">
        <v>4</v>
      </c>
      <c r="BM112" s="37">
        <v>3</v>
      </c>
      <c r="BN112" s="39">
        <v>3</v>
      </c>
    </row>
    <row r="113" spans="1:66" s="3" customFormat="1" ht="18" customHeight="1" x14ac:dyDescent="0.2">
      <c r="A113" s="35">
        <v>3</v>
      </c>
      <c r="B113" s="36">
        <v>4</v>
      </c>
      <c r="C113" s="36">
        <v>1</v>
      </c>
      <c r="D113" s="37">
        <v>3</v>
      </c>
      <c r="R113" s="35">
        <v>6</v>
      </c>
      <c r="S113" s="36">
        <v>2</v>
      </c>
      <c r="T113" s="36">
        <v>3</v>
      </c>
      <c r="U113" s="37">
        <v>3</v>
      </c>
      <c r="BJ113" s="35">
        <v>6</v>
      </c>
      <c r="BK113" s="36">
        <v>4</v>
      </c>
      <c r="BL113" s="36">
        <v>2</v>
      </c>
      <c r="BM113" s="37">
        <v>3</v>
      </c>
      <c r="BN113" s="39">
        <v>3</v>
      </c>
    </row>
    <row r="114" spans="1:66" s="3" customFormat="1" ht="18.5" customHeight="1" x14ac:dyDescent="0.2">
      <c r="A114" s="35">
        <v>3</v>
      </c>
      <c r="B114" s="36">
        <v>4</v>
      </c>
      <c r="C114" s="36">
        <v>1</v>
      </c>
      <c r="D114" s="37">
        <v>4</v>
      </c>
      <c r="R114" s="35">
        <v>6</v>
      </c>
      <c r="S114" s="36">
        <v>2</v>
      </c>
      <c r="T114" s="36">
        <v>4</v>
      </c>
      <c r="U114" s="37">
        <v>3</v>
      </c>
      <c r="BJ114" s="35">
        <v>6</v>
      </c>
      <c r="BK114" s="36">
        <v>4</v>
      </c>
      <c r="BL114" s="36">
        <v>3</v>
      </c>
      <c r="BM114" s="37">
        <v>3</v>
      </c>
      <c r="BN114" s="39">
        <v>3</v>
      </c>
    </row>
    <row r="115" spans="1:66" s="3" customFormat="1" ht="19" customHeight="1" x14ac:dyDescent="0.2">
      <c r="A115" s="35">
        <v>3</v>
      </c>
      <c r="B115" s="36">
        <v>4</v>
      </c>
      <c r="C115" s="36">
        <v>2</v>
      </c>
      <c r="D115" s="37">
        <v>1</v>
      </c>
      <c r="R115" s="35">
        <v>6</v>
      </c>
      <c r="S115" s="36">
        <v>4</v>
      </c>
      <c r="T115" s="36">
        <v>2</v>
      </c>
      <c r="U115" s="37">
        <v>3</v>
      </c>
      <c r="Y115" s="23">
        <v>1</v>
      </c>
      <c r="Z115" s="24">
        <v>1</v>
      </c>
      <c r="AA115" s="24">
        <v>1</v>
      </c>
      <c r="AB115" s="24">
        <v>1</v>
      </c>
      <c r="AC115" s="24">
        <v>2</v>
      </c>
      <c r="AD115" s="24">
        <v>2</v>
      </c>
      <c r="AE115" s="24">
        <v>2</v>
      </c>
      <c r="AF115" s="24">
        <v>2</v>
      </c>
      <c r="AG115" s="24">
        <v>3</v>
      </c>
      <c r="AH115" s="24">
        <v>3</v>
      </c>
      <c r="AI115" s="24">
        <v>4</v>
      </c>
      <c r="AJ115" s="24">
        <v>4</v>
      </c>
      <c r="AK115" s="24">
        <v>4</v>
      </c>
      <c r="AL115" s="24">
        <v>4</v>
      </c>
      <c r="AM115" s="24">
        <v>5</v>
      </c>
      <c r="AN115" s="24">
        <v>5</v>
      </c>
      <c r="AO115" s="24">
        <v>5</v>
      </c>
      <c r="AP115" s="24">
        <v>5</v>
      </c>
      <c r="AQ115" s="24">
        <v>6</v>
      </c>
      <c r="AR115" s="24">
        <v>6</v>
      </c>
      <c r="AS115" s="24">
        <v>6</v>
      </c>
      <c r="AT115" s="24">
        <v>6</v>
      </c>
      <c r="AU115" s="24">
        <v>7</v>
      </c>
      <c r="AV115" s="24">
        <v>7</v>
      </c>
      <c r="AW115" s="24">
        <v>7</v>
      </c>
      <c r="AX115" s="24">
        <v>7</v>
      </c>
      <c r="AY115" s="24">
        <v>8</v>
      </c>
      <c r="AZ115" s="24">
        <v>8</v>
      </c>
      <c r="BA115" s="24">
        <v>9</v>
      </c>
      <c r="BB115" s="24">
        <v>9</v>
      </c>
      <c r="BC115" s="24">
        <v>9</v>
      </c>
      <c r="BD115" s="24">
        <v>9</v>
      </c>
      <c r="BE115" s="24">
        <v>10</v>
      </c>
      <c r="BF115" s="25">
        <v>10</v>
      </c>
      <c r="BJ115" s="35">
        <v>6</v>
      </c>
      <c r="BK115" s="36">
        <v>4</v>
      </c>
      <c r="BL115" s="36">
        <v>4</v>
      </c>
      <c r="BM115" s="37">
        <v>3</v>
      </c>
      <c r="BN115" s="39">
        <v>3</v>
      </c>
    </row>
    <row r="116" spans="1:66" s="3" customFormat="1" ht="19" customHeight="1" x14ac:dyDescent="0.2">
      <c r="A116" s="35">
        <v>3</v>
      </c>
      <c r="B116" s="36">
        <v>4</v>
      </c>
      <c r="C116" s="36">
        <v>2</v>
      </c>
      <c r="D116" s="37">
        <v>2</v>
      </c>
      <c r="R116" s="35">
        <v>6</v>
      </c>
      <c r="S116" s="36">
        <v>4</v>
      </c>
      <c r="T116" s="36">
        <v>3</v>
      </c>
      <c r="U116" s="37">
        <v>3</v>
      </c>
      <c r="X116" s="8" t="s">
        <v>22</v>
      </c>
      <c r="Y116" s="32">
        <v>1</v>
      </c>
      <c r="Z116" s="33">
        <v>2</v>
      </c>
      <c r="AA116" s="33">
        <v>3</v>
      </c>
      <c r="AB116" s="33">
        <v>4</v>
      </c>
      <c r="AC116" s="33">
        <v>1</v>
      </c>
      <c r="AD116" s="33">
        <v>2</v>
      </c>
      <c r="AE116" s="33">
        <v>3</v>
      </c>
      <c r="AF116" s="33">
        <v>4</v>
      </c>
      <c r="AG116" s="33">
        <v>3</v>
      </c>
      <c r="AH116" s="33">
        <v>4</v>
      </c>
      <c r="AI116" s="33">
        <v>1</v>
      </c>
      <c r="AJ116" s="33">
        <v>2</v>
      </c>
      <c r="AK116" s="33">
        <v>3</v>
      </c>
      <c r="AL116" s="33">
        <v>4</v>
      </c>
      <c r="AM116" s="33">
        <v>1</v>
      </c>
      <c r="AN116" s="33">
        <v>2</v>
      </c>
      <c r="AO116" s="33">
        <v>3</v>
      </c>
      <c r="AP116" s="33">
        <v>4</v>
      </c>
      <c r="AQ116" s="33">
        <v>1</v>
      </c>
      <c r="AR116" s="33">
        <v>2</v>
      </c>
      <c r="AS116" s="33">
        <v>3</v>
      </c>
      <c r="AT116" s="33">
        <v>4</v>
      </c>
      <c r="AU116" s="33">
        <v>1</v>
      </c>
      <c r="AV116" s="33">
        <v>2</v>
      </c>
      <c r="AW116" s="33">
        <v>3</v>
      </c>
      <c r="AX116" s="33">
        <v>4</v>
      </c>
      <c r="AY116" s="33">
        <v>3</v>
      </c>
      <c r="AZ116" s="33">
        <v>4</v>
      </c>
      <c r="BA116" s="33">
        <v>1</v>
      </c>
      <c r="BB116" s="33">
        <v>2</v>
      </c>
      <c r="BC116" s="33">
        <v>3</v>
      </c>
      <c r="BD116" s="33">
        <v>4</v>
      </c>
      <c r="BE116" s="33">
        <v>3</v>
      </c>
      <c r="BF116" s="34">
        <v>4</v>
      </c>
      <c r="BG116" s="8" t="s">
        <v>74</v>
      </c>
      <c r="BJ116" s="35">
        <v>6</v>
      </c>
      <c r="BK116" s="36">
        <v>6</v>
      </c>
      <c r="BL116" s="36">
        <v>2</v>
      </c>
      <c r="BM116" s="37">
        <v>3</v>
      </c>
      <c r="BN116" s="39">
        <v>3</v>
      </c>
    </row>
    <row r="117" spans="1:66" s="3" customFormat="1" ht="18.5" customHeight="1" x14ac:dyDescent="0.2">
      <c r="A117" s="35">
        <v>3</v>
      </c>
      <c r="B117" s="36">
        <v>4</v>
      </c>
      <c r="C117" s="36">
        <v>2</v>
      </c>
      <c r="D117" s="37">
        <v>3</v>
      </c>
      <c r="R117" s="35">
        <v>6</v>
      </c>
      <c r="S117" s="36">
        <v>4</v>
      </c>
      <c r="T117" s="36">
        <v>4</v>
      </c>
      <c r="U117" s="37">
        <v>3</v>
      </c>
      <c r="X117" s="28">
        <v>11</v>
      </c>
      <c r="Y117" s="102">
        <v>0</v>
      </c>
      <c r="Z117" s="103">
        <v>0</v>
      </c>
      <c r="AA117" s="103">
        <v>1</v>
      </c>
      <c r="AB117" s="103">
        <v>1</v>
      </c>
      <c r="AC117" s="103">
        <v>0</v>
      </c>
      <c r="AD117" s="103">
        <v>0</v>
      </c>
      <c r="AE117" s="103">
        <v>1</v>
      </c>
      <c r="AF117" s="103">
        <v>1</v>
      </c>
      <c r="AG117" s="103">
        <v>1</v>
      </c>
      <c r="AH117" s="103">
        <v>1</v>
      </c>
      <c r="AI117" s="103">
        <v>0</v>
      </c>
      <c r="AJ117" s="103">
        <v>0</v>
      </c>
      <c r="AK117" s="103">
        <v>1</v>
      </c>
      <c r="AL117" s="103">
        <v>1</v>
      </c>
      <c r="AM117" s="103">
        <v>0</v>
      </c>
      <c r="AN117" s="103">
        <v>0</v>
      </c>
      <c r="AO117" s="103">
        <v>1</v>
      </c>
      <c r="AP117" s="103">
        <v>1</v>
      </c>
      <c r="AQ117" s="103">
        <v>0</v>
      </c>
      <c r="AR117" s="103">
        <v>0</v>
      </c>
      <c r="AS117" s="103">
        <v>1</v>
      </c>
      <c r="AT117" s="103">
        <v>1</v>
      </c>
      <c r="AU117" s="103">
        <v>0</v>
      </c>
      <c r="AV117" s="103">
        <v>0</v>
      </c>
      <c r="AW117" s="103">
        <v>1</v>
      </c>
      <c r="AX117" s="103">
        <v>1</v>
      </c>
      <c r="AY117" s="103">
        <v>1</v>
      </c>
      <c r="AZ117" s="103">
        <v>1</v>
      </c>
      <c r="BA117" s="103">
        <v>0</v>
      </c>
      <c r="BB117" s="103">
        <v>0</v>
      </c>
      <c r="BC117" s="103">
        <v>1</v>
      </c>
      <c r="BD117" s="103">
        <v>1</v>
      </c>
      <c r="BE117" s="103">
        <v>1</v>
      </c>
      <c r="BF117" s="104">
        <v>1</v>
      </c>
      <c r="BG117" s="28">
        <v>20</v>
      </c>
      <c r="BJ117" s="35">
        <v>6</v>
      </c>
      <c r="BK117" s="36">
        <v>6</v>
      </c>
      <c r="BL117" s="36">
        <v>3</v>
      </c>
      <c r="BM117" s="37">
        <v>3</v>
      </c>
      <c r="BN117" s="39">
        <v>3</v>
      </c>
    </row>
    <row r="118" spans="1:66" s="3" customFormat="1" ht="18" customHeight="1" x14ac:dyDescent="0.2">
      <c r="A118" s="35">
        <v>3</v>
      </c>
      <c r="B118" s="36">
        <v>4</v>
      </c>
      <c r="C118" s="36">
        <v>2</v>
      </c>
      <c r="D118" s="37">
        <v>4</v>
      </c>
      <c r="R118" s="35">
        <v>6</v>
      </c>
      <c r="S118" s="36">
        <v>6</v>
      </c>
      <c r="T118" s="36">
        <v>2</v>
      </c>
      <c r="U118" s="37">
        <v>3</v>
      </c>
      <c r="X118" s="39">
        <v>13</v>
      </c>
      <c r="Y118" s="105">
        <v>0</v>
      </c>
      <c r="Z118" s="100">
        <v>0</v>
      </c>
      <c r="AA118" s="100">
        <v>1</v>
      </c>
      <c r="AB118" s="100">
        <v>1</v>
      </c>
      <c r="AC118" s="100">
        <v>0</v>
      </c>
      <c r="AD118" s="100">
        <v>0</v>
      </c>
      <c r="AE118" s="100">
        <v>1</v>
      </c>
      <c r="AF118" s="100">
        <v>1</v>
      </c>
      <c r="AG118" s="100">
        <v>1</v>
      </c>
      <c r="AH118" s="100">
        <v>1</v>
      </c>
      <c r="AI118" s="100">
        <v>0</v>
      </c>
      <c r="AJ118" s="100">
        <v>0</v>
      </c>
      <c r="AK118" s="100">
        <v>1</v>
      </c>
      <c r="AL118" s="100">
        <v>1</v>
      </c>
      <c r="AM118" s="100">
        <v>0</v>
      </c>
      <c r="AN118" s="100">
        <v>0</v>
      </c>
      <c r="AO118" s="100">
        <v>1</v>
      </c>
      <c r="AP118" s="100">
        <v>1</v>
      </c>
      <c r="AQ118" s="100">
        <v>0</v>
      </c>
      <c r="AR118" s="100">
        <v>0</v>
      </c>
      <c r="AS118" s="100">
        <v>1</v>
      </c>
      <c r="AT118" s="100">
        <v>1</v>
      </c>
      <c r="AU118" s="100">
        <v>0</v>
      </c>
      <c r="AV118" s="100">
        <v>0</v>
      </c>
      <c r="AW118" s="100">
        <v>1</v>
      </c>
      <c r="AX118" s="100">
        <v>1</v>
      </c>
      <c r="AY118" s="100">
        <v>1</v>
      </c>
      <c r="AZ118" s="100">
        <v>1</v>
      </c>
      <c r="BA118" s="100">
        <v>0</v>
      </c>
      <c r="BB118" s="100">
        <v>0</v>
      </c>
      <c r="BC118" s="100">
        <v>1</v>
      </c>
      <c r="BD118" s="100">
        <v>1</v>
      </c>
      <c r="BE118" s="100">
        <v>1</v>
      </c>
      <c r="BF118" s="106">
        <v>1</v>
      </c>
      <c r="BG118" s="39">
        <v>20</v>
      </c>
      <c r="BJ118" s="35">
        <v>6</v>
      </c>
      <c r="BK118" s="36">
        <v>6</v>
      </c>
      <c r="BL118" s="36">
        <v>4</v>
      </c>
      <c r="BM118" s="37">
        <v>3</v>
      </c>
      <c r="BN118" s="39">
        <v>3</v>
      </c>
    </row>
    <row r="119" spans="1:66" s="3" customFormat="1" ht="18" customHeight="1" x14ac:dyDescent="0.2">
      <c r="A119" s="35">
        <v>3</v>
      </c>
      <c r="B119" s="36">
        <v>4</v>
      </c>
      <c r="C119" s="36">
        <v>3</v>
      </c>
      <c r="D119" s="37">
        <v>1</v>
      </c>
      <c r="R119" s="35">
        <v>6</v>
      </c>
      <c r="S119" s="36">
        <v>6</v>
      </c>
      <c r="T119" s="36">
        <v>3</v>
      </c>
      <c r="U119" s="37">
        <v>3</v>
      </c>
      <c r="X119" s="39">
        <v>16</v>
      </c>
      <c r="Y119" s="105">
        <v>0</v>
      </c>
      <c r="Z119" s="100">
        <v>0</v>
      </c>
      <c r="AA119" s="100">
        <v>1</v>
      </c>
      <c r="AB119" s="100">
        <v>1</v>
      </c>
      <c r="AC119" s="100">
        <v>0</v>
      </c>
      <c r="AD119" s="100">
        <v>0</v>
      </c>
      <c r="AE119" s="100">
        <v>1</v>
      </c>
      <c r="AF119" s="100">
        <v>1</v>
      </c>
      <c r="AG119" s="100">
        <v>1</v>
      </c>
      <c r="AH119" s="100">
        <v>1</v>
      </c>
      <c r="AI119" s="100">
        <v>0</v>
      </c>
      <c r="AJ119" s="100">
        <v>0</v>
      </c>
      <c r="AK119" s="100">
        <v>1</v>
      </c>
      <c r="AL119" s="100">
        <v>1</v>
      </c>
      <c r="AM119" s="100">
        <v>0</v>
      </c>
      <c r="AN119" s="100">
        <v>0</v>
      </c>
      <c r="AO119" s="100">
        <v>1</v>
      </c>
      <c r="AP119" s="100">
        <v>1</v>
      </c>
      <c r="AQ119" s="100">
        <v>0</v>
      </c>
      <c r="AR119" s="100">
        <v>0</v>
      </c>
      <c r="AS119" s="100">
        <v>1</v>
      </c>
      <c r="AT119" s="100">
        <v>1</v>
      </c>
      <c r="AU119" s="100">
        <v>0</v>
      </c>
      <c r="AV119" s="100">
        <v>0</v>
      </c>
      <c r="AW119" s="100">
        <v>1</v>
      </c>
      <c r="AX119" s="100">
        <v>1</v>
      </c>
      <c r="AY119" s="100">
        <v>1</v>
      </c>
      <c r="AZ119" s="100">
        <v>1</v>
      </c>
      <c r="BA119" s="100">
        <v>0</v>
      </c>
      <c r="BB119" s="100">
        <v>0</v>
      </c>
      <c r="BC119" s="100">
        <v>1</v>
      </c>
      <c r="BD119" s="100">
        <v>1</v>
      </c>
      <c r="BE119" s="100">
        <v>1</v>
      </c>
      <c r="BF119" s="106">
        <v>1</v>
      </c>
      <c r="BG119" s="39">
        <v>20</v>
      </c>
      <c r="BJ119" s="35">
        <v>6</v>
      </c>
      <c r="BK119" s="36">
        <v>7</v>
      </c>
      <c r="BL119" s="36">
        <v>2</v>
      </c>
      <c r="BM119" s="37">
        <v>3</v>
      </c>
      <c r="BN119" s="39">
        <v>3</v>
      </c>
    </row>
    <row r="120" spans="1:66" s="3" customFormat="1" ht="18" customHeight="1" x14ac:dyDescent="0.2">
      <c r="A120" s="35">
        <v>3</v>
      </c>
      <c r="B120" s="36">
        <v>4</v>
      </c>
      <c r="C120" s="36">
        <v>3</v>
      </c>
      <c r="D120" s="37">
        <v>2</v>
      </c>
      <c r="R120" s="35">
        <v>6</v>
      </c>
      <c r="S120" s="36">
        <v>6</v>
      </c>
      <c r="T120" s="36">
        <v>4</v>
      </c>
      <c r="U120" s="37">
        <v>3</v>
      </c>
      <c r="X120" s="39">
        <v>17</v>
      </c>
      <c r="Y120" s="105">
        <v>0</v>
      </c>
      <c r="Z120" s="100">
        <v>0</v>
      </c>
      <c r="AA120" s="100">
        <v>1</v>
      </c>
      <c r="AB120" s="100">
        <v>1</v>
      </c>
      <c r="AC120" s="100">
        <v>0</v>
      </c>
      <c r="AD120" s="100">
        <v>0</v>
      </c>
      <c r="AE120" s="100">
        <v>1</v>
      </c>
      <c r="AF120" s="100">
        <v>1</v>
      </c>
      <c r="AG120" s="100">
        <v>1</v>
      </c>
      <c r="AH120" s="100">
        <v>1</v>
      </c>
      <c r="AI120" s="100">
        <v>0</v>
      </c>
      <c r="AJ120" s="100">
        <v>0</v>
      </c>
      <c r="AK120" s="100">
        <v>1</v>
      </c>
      <c r="AL120" s="100">
        <v>1</v>
      </c>
      <c r="AM120" s="100">
        <v>0</v>
      </c>
      <c r="AN120" s="100">
        <v>0</v>
      </c>
      <c r="AO120" s="100">
        <v>1</v>
      </c>
      <c r="AP120" s="100">
        <v>1</v>
      </c>
      <c r="AQ120" s="100">
        <v>0</v>
      </c>
      <c r="AR120" s="100">
        <v>0</v>
      </c>
      <c r="AS120" s="100">
        <v>1</v>
      </c>
      <c r="AT120" s="100">
        <v>1</v>
      </c>
      <c r="AU120" s="100">
        <v>0</v>
      </c>
      <c r="AV120" s="100">
        <v>0</v>
      </c>
      <c r="AW120" s="100">
        <v>1</v>
      </c>
      <c r="AX120" s="100">
        <v>1</v>
      </c>
      <c r="AY120" s="100">
        <v>1</v>
      </c>
      <c r="AZ120" s="100">
        <v>1</v>
      </c>
      <c r="BA120" s="100">
        <v>0</v>
      </c>
      <c r="BB120" s="100">
        <v>0</v>
      </c>
      <c r="BC120" s="100">
        <v>1</v>
      </c>
      <c r="BD120" s="100">
        <v>1</v>
      </c>
      <c r="BE120" s="100">
        <v>1</v>
      </c>
      <c r="BF120" s="106">
        <v>1</v>
      </c>
      <c r="BG120" s="39">
        <v>20</v>
      </c>
      <c r="BJ120" s="35">
        <v>6</v>
      </c>
      <c r="BK120" s="36">
        <v>7</v>
      </c>
      <c r="BL120" s="36">
        <v>3</v>
      </c>
      <c r="BM120" s="37">
        <v>3</v>
      </c>
      <c r="BN120" s="39">
        <v>3</v>
      </c>
    </row>
    <row r="121" spans="1:66" s="3" customFormat="1" ht="18" customHeight="1" x14ac:dyDescent="0.2">
      <c r="A121" s="35">
        <v>3</v>
      </c>
      <c r="B121" s="36">
        <v>4</v>
      </c>
      <c r="C121" s="36">
        <v>3</v>
      </c>
      <c r="D121" s="37">
        <v>3</v>
      </c>
      <c r="R121" s="35">
        <v>6</v>
      </c>
      <c r="S121" s="36">
        <v>7</v>
      </c>
      <c r="T121" s="36">
        <v>2</v>
      </c>
      <c r="U121" s="37">
        <v>3</v>
      </c>
      <c r="X121" s="39">
        <v>18</v>
      </c>
      <c r="Y121" s="105">
        <v>0</v>
      </c>
      <c r="Z121" s="100">
        <v>0</v>
      </c>
      <c r="AA121" s="100">
        <v>1</v>
      </c>
      <c r="AB121" s="100">
        <v>1</v>
      </c>
      <c r="AC121" s="100">
        <v>0</v>
      </c>
      <c r="AD121" s="100">
        <v>0</v>
      </c>
      <c r="AE121" s="100">
        <v>1</v>
      </c>
      <c r="AF121" s="100">
        <v>1</v>
      </c>
      <c r="AG121" s="100">
        <v>1</v>
      </c>
      <c r="AH121" s="100">
        <v>1</v>
      </c>
      <c r="AI121" s="100">
        <v>0</v>
      </c>
      <c r="AJ121" s="100">
        <v>0</v>
      </c>
      <c r="AK121" s="100">
        <v>1</v>
      </c>
      <c r="AL121" s="100">
        <v>1</v>
      </c>
      <c r="AM121" s="100">
        <v>0</v>
      </c>
      <c r="AN121" s="100">
        <v>0</v>
      </c>
      <c r="AO121" s="100">
        <v>1</v>
      </c>
      <c r="AP121" s="100">
        <v>1</v>
      </c>
      <c r="AQ121" s="100">
        <v>0</v>
      </c>
      <c r="AR121" s="100">
        <v>0</v>
      </c>
      <c r="AS121" s="100">
        <v>1</v>
      </c>
      <c r="AT121" s="100">
        <v>1</v>
      </c>
      <c r="AU121" s="100">
        <v>0</v>
      </c>
      <c r="AV121" s="100">
        <v>0</v>
      </c>
      <c r="AW121" s="100">
        <v>1</v>
      </c>
      <c r="AX121" s="100">
        <v>1</v>
      </c>
      <c r="AY121" s="100">
        <v>1</v>
      </c>
      <c r="AZ121" s="100">
        <v>1</v>
      </c>
      <c r="BA121" s="100">
        <v>0</v>
      </c>
      <c r="BB121" s="100">
        <v>0</v>
      </c>
      <c r="BC121" s="100">
        <v>1</v>
      </c>
      <c r="BD121" s="100">
        <v>1</v>
      </c>
      <c r="BE121" s="100">
        <v>1</v>
      </c>
      <c r="BF121" s="106">
        <v>1</v>
      </c>
      <c r="BG121" s="39">
        <v>20</v>
      </c>
      <c r="BJ121" s="35">
        <v>6</v>
      </c>
      <c r="BK121" s="36">
        <v>7</v>
      </c>
      <c r="BL121" s="36">
        <v>4</v>
      </c>
      <c r="BM121" s="37">
        <v>3</v>
      </c>
      <c r="BN121" s="39">
        <v>3</v>
      </c>
    </row>
    <row r="122" spans="1:66" s="3" customFormat="1" ht="18" customHeight="1" x14ac:dyDescent="0.2">
      <c r="A122" s="35">
        <v>3</v>
      </c>
      <c r="B122" s="36">
        <v>4</v>
      </c>
      <c r="C122" s="36">
        <v>3</v>
      </c>
      <c r="D122" s="37">
        <v>4</v>
      </c>
      <c r="R122" s="35">
        <v>6</v>
      </c>
      <c r="S122" s="36">
        <v>7</v>
      </c>
      <c r="T122" s="36">
        <v>3</v>
      </c>
      <c r="U122" s="37">
        <v>3</v>
      </c>
      <c r="X122" s="39">
        <v>19</v>
      </c>
      <c r="Y122" s="105">
        <v>0</v>
      </c>
      <c r="Z122" s="100">
        <v>0</v>
      </c>
      <c r="AA122" s="100">
        <v>1</v>
      </c>
      <c r="AB122" s="100">
        <v>1</v>
      </c>
      <c r="AC122" s="100">
        <v>0</v>
      </c>
      <c r="AD122" s="100">
        <v>0</v>
      </c>
      <c r="AE122" s="100">
        <v>1</v>
      </c>
      <c r="AF122" s="100">
        <v>1</v>
      </c>
      <c r="AG122" s="100">
        <v>1</v>
      </c>
      <c r="AH122" s="100">
        <v>1</v>
      </c>
      <c r="AI122" s="100">
        <v>0</v>
      </c>
      <c r="AJ122" s="100">
        <v>0</v>
      </c>
      <c r="AK122" s="100">
        <v>1</v>
      </c>
      <c r="AL122" s="100">
        <v>1</v>
      </c>
      <c r="AM122" s="100">
        <v>0</v>
      </c>
      <c r="AN122" s="100">
        <v>0</v>
      </c>
      <c r="AO122" s="100">
        <v>1</v>
      </c>
      <c r="AP122" s="100">
        <v>1</v>
      </c>
      <c r="AQ122" s="100">
        <v>0</v>
      </c>
      <c r="AR122" s="100">
        <v>0</v>
      </c>
      <c r="AS122" s="100">
        <v>1</v>
      </c>
      <c r="AT122" s="100">
        <v>1</v>
      </c>
      <c r="AU122" s="100">
        <v>0</v>
      </c>
      <c r="AV122" s="100">
        <v>0</v>
      </c>
      <c r="AW122" s="100">
        <v>1</v>
      </c>
      <c r="AX122" s="100">
        <v>1</v>
      </c>
      <c r="AY122" s="100">
        <v>1</v>
      </c>
      <c r="AZ122" s="100">
        <v>1</v>
      </c>
      <c r="BA122" s="100">
        <v>0</v>
      </c>
      <c r="BB122" s="100">
        <v>0</v>
      </c>
      <c r="BC122" s="100">
        <v>1</v>
      </c>
      <c r="BD122" s="100">
        <v>1</v>
      </c>
      <c r="BE122" s="100">
        <v>1</v>
      </c>
      <c r="BF122" s="106">
        <v>1</v>
      </c>
      <c r="BG122" s="39">
        <v>20</v>
      </c>
      <c r="BJ122" s="35">
        <v>6</v>
      </c>
      <c r="BK122" s="36">
        <v>9</v>
      </c>
      <c r="BL122" s="36">
        <v>2</v>
      </c>
      <c r="BM122" s="37">
        <v>3</v>
      </c>
      <c r="BN122" s="39">
        <v>3</v>
      </c>
    </row>
    <row r="123" spans="1:66" s="3" customFormat="1" ht="18" customHeight="1" x14ac:dyDescent="0.2">
      <c r="A123" s="35">
        <v>3</v>
      </c>
      <c r="B123" s="36">
        <v>5</v>
      </c>
      <c r="C123" s="36">
        <v>1</v>
      </c>
      <c r="D123" s="37">
        <v>1</v>
      </c>
      <c r="R123" s="35">
        <v>6</v>
      </c>
      <c r="S123" s="36">
        <v>7</v>
      </c>
      <c r="T123" s="36">
        <v>4</v>
      </c>
      <c r="U123" s="37">
        <v>3</v>
      </c>
      <c r="X123" s="39">
        <v>21</v>
      </c>
      <c r="Y123" s="105">
        <v>0</v>
      </c>
      <c r="Z123" s="100">
        <v>0</v>
      </c>
      <c r="AA123" s="100">
        <v>1</v>
      </c>
      <c r="AB123" s="100">
        <v>1</v>
      </c>
      <c r="AC123" s="100">
        <v>0</v>
      </c>
      <c r="AD123" s="100">
        <v>0</v>
      </c>
      <c r="AE123" s="100">
        <v>1</v>
      </c>
      <c r="AF123" s="100">
        <v>1</v>
      </c>
      <c r="AG123" s="100">
        <v>1</v>
      </c>
      <c r="AH123" s="100">
        <v>1</v>
      </c>
      <c r="AI123" s="100">
        <v>0</v>
      </c>
      <c r="AJ123" s="100">
        <v>0</v>
      </c>
      <c r="AK123" s="100">
        <v>1</v>
      </c>
      <c r="AL123" s="100">
        <v>1</v>
      </c>
      <c r="AM123" s="100">
        <v>0</v>
      </c>
      <c r="AN123" s="100">
        <v>0</v>
      </c>
      <c r="AO123" s="100">
        <v>1</v>
      </c>
      <c r="AP123" s="100">
        <v>1</v>
      </c>
      <c r="AQ123" s="100">
        <v>0</v>
      </c>
      <c r="AR123" s="100">
        <v>0</v>
      </c>
      <c r="AS123" s="100">
        <v>1</v>
      </c>
      <c r="AT123" s="100">
        <v>1</v>
      </c>
      <c r="AU123" s="100">
        <v>0</v>
      </c>
      <c r="AV123" s="100">
        <v>0</v>
      </c>
      <c r="AW123" s="100">
        <v>1</v>
      </c>
      <c r="AX123" s="100">
        <v>1</v>
      </c>
      <c r="AY123" s="100">
        <v>1</v>
      </c>
      <c r="AZ123" s="100">
        <v>1</v>
      </c>
      <c r="BA123" s="100">
        <v>0</v>
      </c>
      <c r="BB123" s="100">
        <v>0</v>
      </c>
      <c r="BC123" s="100">
        <v>1</v>
      </c>
      <c r="BD123" s="100">
        <v>1</v>
      </c>
      <c r="BE123" s="100">
        <v>1</v>
      </c>
      <c r="BF123" s="106">
        <v>1</v>
      </c>
      <c r="BG123" s="39">
        <v>20</v>
      </c>
      <c r="BJ123" s="35">
        <v>6</v>
      </c>
      <c r="BK123" s="36">
        <v>9</v>
      </c>
      <c r="BL123" s="36">
        <v>3</v>
      </c>
      <c r="BM123" s="37">
        <v>3</v>
      </c>
      <c r="BN123" s="39">
        <v>3</v>
      </c>
    </row>
    <row r="124" spans="1:66" s="3" customFormat="1" ht="18" customHeight="1" x14ac:dyDescent="0.2">
      <c r="A124" s="35">
        <v>3</v>
      </c>
      <c r="B124" s="36">
        <v>5</v>
      </c>
      <c r="C124" s="36">
        <v>1</v>
      </c>
      <c r="D124" s="37">
        <v>2</v>
      </c>
      <c r="R124" s="35">
        <v>6</v>
      </c>
      <c r="S124" s="36">
        <v>9</v>
      </c>
      <c r="T124" s="36">
        <v>2</v>
      </c>
      <c r="U124" s="37">
        <v>3</v>
      </c>
      <c r="X124" s="39">
        <v>22</v>
      </c>
      <c r="Y124" s="105">
        <v>0</v>
      </c>
      <c r="Z124" s="100">
        <v>0</v>
      </c>
      <c r="AA124" s="100">
        <v>1</v>
      </c>
      <c r="AB124" s="100">
        <v>1</v>
      </c>
      <c r="AC124" s="100">
        <v>0</v>
      </c>
      <c r="AD124" s="100">
        <v>0</v>
      </c>
      <c r="AE124" s="100">
        <v>1</v>
      </c>
      <c r="AF124" s="100">
        <v>1</v>
      </c>
      <c r="AG124" s="100">
        <v>1</v>
      </c>
      <c r="AH124" s="100">
        <v>1</v>
      </c>
      <c r="AI124" s="100">
        <v>0</v>
      </c>
      <c r="AJ124" s="100">
        <v>0</v>
      </c>
      <c r="AK124" s="100">
        <v>1</v>
      </c>
      <c r="AL124" s="100">
        <v>1</v>
      </c>
      <c r="AM124" s="100">
        <v>0</v>
      </c>
      <c r="AN124" s="100">
        <v>0</v>
      </c>
      <c r="AO124" s="100">
        <v>1</v>
      </c>
      <c r="AP124" s="100">
        <v>1</v>
      </c>
      <c r="AQ124" s="100">
        <v>0</v>
      </c>
      <c r="AR124" s="100">
        <v>0</v>
      </c>
      <c r="AS124" s="100">
        <v>1</v>
      </c>
      <c r="AT124" s="100">
        <v>1</v>
      </c>
      <c r="AU124" s="100">
        <v>0</v>
      </c>
      <c r="AV124" s="100">
        <v>0</v>
      </c>
      <c r="AW124" s="100">
        <v>1</v>
      </c>
      <c r="AX124" s="100">
        <v>1</v>
      </c>
      <c r="AY124" s="100">
        <v>1</v>
      </c>
      <c r="AZ124" s="100">
        <v>1</v>
      </c>
      <c r="BA124" s="100">
        <v>0</v>
      </c>
      <c r="BB124" s="100">
        <v>0</v>
      </c>
      <c r="BC124" s="100">
        <v>1</v>
      </c>
      <c r="BD124" s="100">
        <v>1</v>
      </c>
      <c r="BE124" s="100">
        <v>1</v>
      </c>
      <c r="BF124" s="106">
        <v>1</v>
      </c>
      <c r="BG124" s="39">
        <v>20</v>
      </c>
      <c r="BJ124" s="35">
        <v>6</v>
      </c>
      <c r="BK124" s="36">
        <v>9</v>
      </c>
      <c r="BL124" s="36">
        <v>4</v>
      </c>
      <c r="BM124" s="37">
        <v>3</v>
      </c>
      <c r="BN124" s="39">
        <v>3</v>
      </c>
    </row>
    <row r="125" spans="1:66" s="3" customFormat="1" ht="18" customHeight="1" x14ac:dyDescent="0.2">
      <c r="A125" s="35">
        <v>3</v>
      </c>
      <c r="B125" s="36">
        <v>5</v>
      </c>
      <c r="C125" s="36">
        <v>1</v>
      </c>
      <c r="D125" s="37">
        <v>3</v>
      </c>
      <c r="R125" s="35">
        <v>6</v>
      </c>
      <c r="S125" s="36">
        <v>9</v>
      </c>
      <c r="T125" s="36">
        <v>3</v>
      </c>
      <c r="U125" s="37">
        <v>3</v>
      </c>
      <c r="X125" s="39">
        <v>24</v>
      </c>
      <c r="Y125" s="105">
        <v>0</v>
      </c>
      <c r="Z125" s="100">
        <v>0</v>
      </c>
      <c r="AA125" s="100">
        <v>1</v>
      </c>
      <c r="AB125" s="100">
        <v>1</v>
      </c>
      <c r="AC125" s="100">
        <v>0</v>
      </c>
      <c r="AD125" s="100">
        <v>0</v>
      </c>
      <c r="AE125" s="100">
        <v>1</v>
      </c>
      <c r="AF125" s="100">
        <v>1</v>
      </c>
      <c r="AG125" s="100">
        <v>1</v>
      </c>
      <c r="AH125" s="100">
        <v>1</v>
      </c>
      <c r="AI125" s="100">
        <v>0</v>
      </c>
      <c r="AJ125" s="100">
        <v>0</v>
      </c>
      <c r="AK125" s="100">
        <v>1</v>
      </c>
      <c r="AL125" s="100">
        <v>1</v>
      </c>
      <c r="AM125" s="100">
        <v>0</v>
      </c>
      <c r="AN125" s="100">
        <v>0</v>
      </c>
      <c r="AO125" s="100">
        <v>1</v>
      </c>
      <c r="AP125" s="100">
        <v>1</v>
      </c>
      <c r="AQ125" s="100">
        <v>0</v>
      </c>
      <c r="AR125" s="100">
        <v>0</v>
      </c>
      <c r="AS125" s="100">
        <v>1</v>
      </c>
      <c r="AT125" s="100">
        <v>1</v>
      </c>
      <c r="AU125" s="100">
        <v>0</v>
      </c>
      <c r="AV125" s="100">
        <v>0</v>
      </c>
      <c r="AW125" s="100">
        <v>1</v>
      </c>
      <c r="AX125" s="100">
        <v>1</v>
      </c>
      <c r="AY125" s="100">
        <v>1</v>
      </c>
      <c r="AZ125" s="100">
        <v>1</v>
      </c>
      <c r="BA125" s="100">
        <v>0</v>
      </c>
      <c r="BB125" s="100">
        <v>0</v>
      </c>
      <c r="BC125" s="100">
        <v>1</v>
      </c>
      <c r="BD125" s="100">
        <v>1</v>
      </c>
      <c r="BE125" s="100">
        <v>1</v>
      </c>
      <c r="BF125" s="106">
        <v>1</v>
      </c>
      <c r="BG125" s="39">
        <v>20</v>
      </c>
      <c r="BJ125" s="35">
        <v>7</v>
      </c>
      <c r="BK125" s="36">
        <v>1</v>
      </c>
      <c r="BL125" s="36">
        <v>2</v>
      </c>
      <c r="BM125" s="37">
        <v>3</v>
      </c>
      <c r="BN125" s="39">
        <v>3</v>
      </c>
    </row>
    <row r="126" spans="1:66" s="3" customFormat="1" ht="18" customHeight="1" x14ac:dyDescent="0.2">
      <c r="A126" s="35">
        <v>3</v>
      </c>
      <c r="B126" s="36">
        <v>5</v>
      </c>
      <c r="C126" s="36">
        <v>1</v>
      </c>
      <c r="D126" s="37">
        <v>4</v>
      </c>
      <c r="R126" s="35">
        <v>6</v>
      </c>
      <c r="S126" s="36">
        <v>9</v>
      </c>
      <c r="T126" s="36">
        <v>4</v>
      </c>
      <c r="U126" s="37">
        <v>3</v>
      </c>
      <c r="X126" s="39">
        <v>31</v>
      </c>
      <c r="Y126" s="105">
        <v>0</v>
      </c>
      <c r="Z126" s="100">
        <v>0</v>
      </c>
      <c r="AA126" s="100">
        <v>1</v>
      </c>
      <c r="AB126" s="100">
        <v>1</v>
      </c>
      <c r="AC126" s="100">
        <v>0</v>
      </c>
      <c r="AD126" s="100">
        <v>0</v>
      </c>
      <c r="AE126" s="100">
        <v>1</v>
      </c>
      <c r="AF126" s="100">
        <v>1</v>
      </c>
      <c r="AG126" s="100">
        <v>1</v>
      </c>
      <c r="AH126" s="100">
        <v>1</v>
      </c>
      <c r="AI126" s="100">
        <v>0</v>
      </c>
      <c r="AJ126" s="100">
        <v>0</v>
      </c>
      <c r="AK126" s="100">
        <v>1</v>
      </c>
      <c r="AL126" s="100">
        <v>1</v>
      </c>
      <c r="AM126" s="100">
        <v>0</v>
      </c>
      <c r="AN126" s="100">
        <v>0</v>
      </c>
      <c r="AO126" s="100">
        <v>1</v>
      </c>
      <c r="AP126" s="100">
        <v>1</v>
      </c>
      <c r="AQ126" s="100">
        <v>0</v>
      </c>
      <c r="AR126" s="100">
        <v>0</v>
      </c>
      <c r="AS126" s="100">
        <v>1</v>
      </c>
      <c r="AT126" s="100">
        <v>1</v>
      </c>
      <c r="AU126" s="100">
        <v>0</v>
      </c>
      <c r="AV126" s="100">
        <v>0</v>
      </c>
      <c r="AW126" s="100">
        <v>1</v>
      </c>
      <c r="AX126" s="100">
        <v>1</v>
      </c>
      <c r="AY126" s="100">
        <v>1</v>
      </c>
      <c r="AZ126" s="100">
        <v>1</v>
      </c>
      <c r="BA126" s="100">
        <v>0</v>
      </c>
      <c r="BB126" s="100">
        <v>0</v>
      </c>
      <c r="BC126" s="100">
        <v>1</v>
      </c>
      <c r="BD126" s="100">
        <v>1</v>
      </c>
      <c r="BE126" s="100">
        <v>1</v>
      </c>
      <c r="BF126" s="106">
        <v>1</v>
      </c>
      <c r="BG126" s="39">
        <v>20</v>
      </c>
      <c r="BJ126" s="35">
        <v>7</v>
      </c>
      <c r="BK126" s="36">
        <v>1</v>
      </c>
      <c r="BL126" s="36">
        <v>3</v>
      </c>
      <c r="BM126" s="37">
        <v>3</v>
      </c>
      <c r="BN126" s="39">
        <v>3</v>
      </c>
    </row>
    <row r="127" spans="1:66" s="3" customFormat="1" ht="18" customHeight="1" x14ac:dyDescent="0.2">
      <c r="A127" s="35">
        <v>3</v>
      </c>
      <c r="B127" s="36">
        <v>5</v>
      </c>
      <c r="C127" s="36">
        <v>2</v>
      </c>
      <c r="D127" s="37">
        <v>1</v>
      </c>
      <c r="R127" s="35">
        <v>7</v>
      </c>
      <c r="S127" s="36">
        <v>1</v>
      </c>
      <c r="T127" s="36">
        <v>2</v>
      </c>
      <c r="U127" s="37">
        <v>3</v>
      </c>
      <c r="X127" s="39">
        <v>32</v>
      </c>
      <c r="Y127" s="105">
        <v>0</v>
      </c>
      <c r="Z127" s="100">
        <v>0</v>
      </c>
      <c r="AA127" s="100">
        <v>1</v>
      </c>
      <c r="AB127" s="100">
        <v>1</v>
      </c>
      <c r="AC127" s="100">
        <v>0</v>
      </c>
      <c r="AD127" s="100">
        <v>0</v>
      </c>
      <c r="AE127" s="100">
        <v>1</v>
      </c>
      <c r="AF127" s="100">
        <v>1</v>
      </c>
      <c r="AG127" s="100">
        <v>1</v>
      </c>
      <c r="AH127" s="100">
        <v>1</v>
      </c>
      <c r="AI127" s="100">
        <v>0</v>
      </c>
      <c r="AJ127" s="100">
        <v>0</v>
      </c>
      <c r="AK127" s="100">
        <v>1</v>
      </c>
      <c r="AL127" s="100">
        <v>1</v>
      </c>
      <c r="AM127" s="100">
        <v>0</v>
      </c>
      <c r="AN127" s="100">
        <v>0</v>
      </c>
      <c r="AO127" s="100">
        <v>1</v>
      </c>
      <c r="AP127" s="100">
        <v>1</v>
      </c>
      <c r="AQ127" s="100">
        <v>0</v>
      </c>
      <c r="AR127" s="100">
        <v>0</v>
      </c>
      <c r="AS127" s="100">
        <v>1</v>
      </c>
      <c r="AT127" s="100">
        <v>1</v>
      </c>
      <c r="AU127" s="100">
        <v>0</v>
      </c>
      <c r="AV127" s="100">
        <v>0</v>
      </c>
      <c r="AW127" s="100">
        <v>1</v>
      </c>
      <c r="AX127" s="100">
        <v>1</v>
      </c>
      <c r="AY127" s="100">
        <v>1</v>
      </c>
      <c r="AZ127" s="100">
        <v>1</v>
      </c>
      <c r="BA127" s="100">
        <v>0</v>
      </c>
      <c r="BB127" s="100">
        <v>0</v>
      </c>
      <c r="BC127" s="100">
        <v>1</v>
      </c>
      <c r="BD127" s="100">
        <v>1</v>
      </c>
      <c r="BE127" s="100">
        <v>1</v>
      </c>
      <c r="BF127" s="106">
        <v>1</v>
      </c>
      <c r="BG127" s="39">
        <v>20</v>
      </c>
      <c r="BJ127" s="35">
        <v>7</v>
      </c>
      <c r="BK127" s="36">
        <v>1</v>
      </c>
      <c r="BL127" s="36">
        <v>4</v>
      </c>
      <c r="BM127" s="37">
        <v>3</v>
      </c>
      <c r="BN127" s="39">
        <v>3</v>
      </c>
    </row>
    <row r="128" spans="1:66" s="3" customFormat="1" ht="18.5" customHeight="1" x14ac:dyDescent="0.2">
      <c r="A128" s="35">
        <v>3</v>
      </c>
      <c r="B128" s="36">
        <v>5</v>
      </c>
      <c r="C128" s="36">
        <v>2</v>
      </c>
      <c r="D128" s="37">
        <v>2</v>
      </c>
      <c r="R128" s="35">
        <v>7</v>
      </c>
      <c r="S128" s="36">
        <v>1</v>
      </c>
      <c r="T128" s="36">
        <v>3</v>
      </c>
      <c r="U128" s="37">
        <v>3</v>
      </c>
      <c r="X128" s="56">
        <v>33</v>
      </c>
      <c r="Y128" s="107">
        <v>0</v>
      </c>
      <c r="Z128" s="108">
        <v>0</v>
      </c>
      <c r="AA128" s="108">
        <v>1</v>
      </c>
      <c r="AB128" s="108">
        <v>1</v>
      </c>
      <c r="AC128" s="108">
        <v>0</v>
      </c>
      <c r="AD128" s="108">
        <v>0</v>
      </c>
      <c r="AE128" s="108">
        <v>1</v>
      </c>
      <c r="AF128" s="108">
        <v>1</v>
      </c>
      <c r="AG128" s="108">
        <v>1</v>
      </c>
      <c r="AH128" s="108">
        <v>1</v>
      </c>
      <c r="AI128" s="108">
        <v>0</v>
      </c>
      <c r="AJ128" s="108">
        <v>0</v>
      </c>
      <c r="AK128" s="108">
        <v>1</v>
      </c>
      <c r="AL128" s="108">
        <v>1</v>
      </c>
      <c r="AM128" s="108">
        <v>0</v>
      </c>
      <c r="AN128" s="108">
        <v>0</v>
      </c>
      <c r="AO128" s="108">
        <v>1</v>
      </c>
      <c r="AP128" s="108">
        <v>1</v>
      </c>
      <c r="AQ128" s="108">
        <v>0</v>
      </c>
      <c r="AR128" s="108">
        <v>0</v>
      </c>
      <c r="AS128" s="108">
        <v>1</v>
      </c>
      <c r="AT128" s="108">
        <v>1</v>
      </c>
      <c r="AU128" s="108">
        <v>0</v>
      </c>
      <c r="AV128" s="108">
        <v>0</v>
      </c>
      <c r="AW128" s="108">
        <v>1</v>
      </c>
      <c r="AX128" s="108">
        <v>1</v>
      </c>
      <c r="AY128" s="108">
        <v>1</v>
      </c>
      <c r="AZ128" s="108">
        <v>1</v>
      </c>
      <c r="BA128" s="108">
        <v>0</v>
      </c>
      <c r="BB128" s="108">
        <v>0</v>
      </c>
      <c r="BC128" s="108">
        <v>1</v>
      </c>
      <c r="BD128" s="108">
        <v>1</v>
      </c>
      <c r="BE128" s="108">
        <v>1</v>
      </c>
      <c r="BF128" s="109">
        <v>1</v>
      </c>
      <c r="BG128" s="56">
        <v>20</v>
      </c>
      <c r="BJ128" s="35">
        <v>7</v>
      </c>
      <c r="BK128" s="36">
        <v>2</v>
      </c>
      <c r="BL128" s="36">
        <v>2</v>
      </c>
      <c r="BM128" s="37">
        <v>3</v>
      </c>
      <c r="BN128" s="39">
        <v>3</v>
      </c>
    </row>
    <row r="129" spans="1:66" s="3" customFormat="1" ht="19" customHeight="1" x14ac:dyDescent="0.2">
      <c r="A129" s="35">
        <v>3</v>
      </c>
      <c r="B129" s="36">
        <v>5</v>
      </c>
      <c r="C129" s="36">
        <v>2</v>
      </c>
      <c r="D129" s="37">
        <v>3</v>
      </c>
      <c r="R129" s="35">
        <v>7</v>
      </c>
      <c r="S129" s="36">
        <v>1</v>
      </c>
      <c r="T129" s="36">
        <v>4</v>
      </c>
      <c r="U129" s="37">
        <v>3</v>
      </c>
      <c r="X129" s="8" t="s">
        <v>74</v>
      </c>
      <c r="Y129" s="9">
        <f t="shared" ref="Y129:BG129" si="2">SUM(Y118:Y128)</f>
        <v>0</v>
      </c>
      <c r="Z129" s="10">
        <f t="shared" si="2"/>
        <v>0</v>
      </c>
      <c r="AA129" s="10">
        <f t="shared" si="2"/>
        <v>11</v>
      </c>
      <c r="AB129" s="10">
        <f t="shared" si="2"/>
        <v>11</v>
      </c>
      <c r="AC129" s="10">
        <f t="shared" si="2"/>
        <v>0</v>
      </c>
      <c r="AD129" s="10">
        <f t="shared" si="2"/>
        <v>0</v>
      </c>
      <c r="AE129" s="10">
        <f t="shared" si="2"/>
        <v>11</v>
      </c>
      <c r="AF129" s="10">
        <f t="shared" si="2"/>
        <v>11</v>
      </c>
      <c r="AG129" s="10">
        <f t="shared" si="2"/>
        <v>11</v>
      </c>
      <c r="AH129" s="10">
        <f t="shared" si="2"/>
        <v>11</v>
      </c>
      <c r="AI129" s="10">
        <f t="shared" si="2"/>
        <v>0</v>
      </c>
      <c r="AJ129" s="10">
        <f t="shared" si="2"/>
        <v>0</v>
      </c>
      <c r="AK129" s="10">
        <f t="shared" si="2"/>
        <v>11</v>
      </c>
      <c r="AL129" s="10">
        <f t="shared" si="2"/>
        <v>11</v>
      </c>
      <c r="AM129" s="10">
        <f t="shared" si="2"/>
        <v>0</v>
      </c>
      <c r="AN129" s="10">
        <f t="shared" si="2"/>
        <v>0</v>
      </c>
      <c r="AO129" s="10">
        <f t="shared" si="2"/>
        <v>11</v>
      </c>
      <c r="AP129" s="10">
        <f t="shared" si="2"/>
        <v>11</v>
      </c>
      <c r="AQ129" s="10">
        <f t="shared" si="2"/>
        <v>0</v>
      </c>
      <c r="AR129" s="10">
        <f t="shared" si="2"/>
        <v>0</v>
      </c>
      <c r="AS129" s="10">
        <f t="shared" si="2"/>
        <v>11</v>
      </c>
      <c r="AT129" s="10">
        <f t="shared" si="2"/>
        <v>11</v>
      </c>
      <c r="AU129" s="10">
        <f t="shared" si="2"/>
        <v>0</v>
      </c>
      <c r="AV129" s="10">
        <f t="shared" si="2"/>
        <v>0</v>
      </c>
      <c r="AW129" s="10">
        <f t="shared" si="2"/>
        <v>11</v>
      </c>
      <c r="AX129" s="10">
        <f t="shared" si="2"/>
        <v>11</v>
      </c>
      <c r="AY129" s="10">
        <f t="shared" si="2"/>
        <v>11</v>
      </c>
      <c r="AZ129" s="10">
        <f t="shared" si="2"/>
        <v>11</v>
      </c>
      <c r="BA129" s="10">
        <f t="shared" si="2"/>
        <v>0</v>
      </c>
      <c r="BB129" s="10">
        <f t="shared" si="2"/>
        <v>0</v>
      </c>
      <c r="BC129" s="10">
        <f t="shared" si="2"/>
        <v>11</v>
      </c>
      <c r="BD129" s="10">
        <f t="shared" si="2"/>
        <v>11</v>
      </c>
      <c r="BE129" s="10">
        <f t="shared" si="2"/>
        <v>11</v>
      </c>
      <c r="BF129" s="11">
        <f t="shared" si="2"/>
        <v>11</v>
      </c>
      <c r="BG129" s="94">
        <f t="shared" si="2"/>
        <v>220</v>
      </c>
      <c r="BJ129" s="35">
        <v>7</v>
      </c>
      <c r="BK129" s="36">
        <v>2</v>
      </c>
      <c r="BL129" s="36">
        <v>3</v>
      </c>
      <c r="BM129" s="37">
        <v>3</v>
      </c>
      <c r="BN129" s="39">
        <v>3</v>
      </c>
    </row>
    <row r="130" spans="1:66" s="3" customFormat="1" ht="19" customHeight="1" x14ac:dyDescent="0.2">
      <c r="A130" s="35">
        <v>3</v>
      </c>
      <c r="B130" s="36">
        <v>5</v>
      </c>
      <c r="C130" s="36">
        <v>2</v>
      </c>
      <c r="D130" s="37">
        <v>4</v>
      </c>
      <c r="R130" s="35">
        <v>7</v>
      </c>
      <c r="S130" s="36">
        <v>2</v>
      </c>
      <c r="T130" s="36">
        <v>2</v>
      </c>
      <c r="U130" s="37">
        <v>3</v>
      </c>
      <c r="BJ130" s="35">
        <v>7</v>
      </c>
      <c r="BK130" s="36">
        <v>2</v>
      </c>
      <c r="BL130" s="36">
        <v>4</v>
      </c>
      <c r="BM130" s="37">
        <v>3</v>
      </c>
      <c r="BN130" s="39">
        <v>3</v>
      </c>
    </row>
    <row r="131" spans="1:66" s="3" customFormat="1" ht="19" customHeight="1" x14ac:dyDescent="0.2">
      <c r="A131" s="35">
        <v>3</v>
      </c>
      <c r="B131" s="36">
        <v>5</v>
      </c>
      <c r="C131" s="36">
        <v>3</v>
      </c>
      <c r="D131" s="37">
        <v>1</v>
      </c>
      <c r="R131" s="35">
        <v>7</v>
      </c>
      <c r="S131" s="36">
        <v>2</v>
      </c>
      <c r="T131" s="36">
        <v>3</v>
      </c>
      <c r="U131" s="37">
        <v>3</v>
      </c>
      <c r="AA131" s="8" t="s">
        <v>4</v>
      </c>
      <c r="BJ131" s="35">
        <v>7</v>
      </c>
      <c r="BK131" s="36">
        <v>4</v>
      </c>
      <c r="BL131" s="36">
        <v>2</v>
      </c>
      <c r="BM131" s="37">
        <v>3</v>
      </c>
      <c r="BN131" s="39">
        <v>3</v>
      </c>
    </row>
    <row r="132" spans="1:66" s="3" customFormat="1" ht="19" customHeight="1" x14ac:dyDescent="0.2">
      <c r="A132" s="35">
        <v>3</v>
      </c>
      <c r="B132" s="36">
        <v>5</v>
      </c>
      <c r="C132" s="36">
        <v>3</v>
      </c>
      <c r="D132" s="37">
        <v>2</v>
      </c>
      <c r="R132" s="35">
        <v>7</v>
      </c>
      <c r="S132" s="36">
        <v>2</v>
      </c>
      <c r="T132" s="36">
        <v>4</v>
      </c>
      <c r="U132" s="37">
        <v>3</v>
      </c>
      <c r="X132" s="8" t="s">
        <v>22</v>
      </c>
      <c r="BJ132" s="35">
        <v>7</v>
      </c>
      <c r="BK132" s="36">
        <v>4</v>
      </c>
      <c r="BL132" s="36">
        <v>3</v>
      </c>
      <c r="BM132" s="37">
        <v>3</v>
      </c>
      <c r="BN132" s="39">
        <v>3</v>
      </c>
    </row>
    <row r="133" spans="1:66" s="3" customFormat="1" ht="18.5" customHeight="1" x14ac:dyDescent="0.2">
      <c r="A133" s="35">
        <v>3</v>
      </c>
      <c r="B133" s="36">
        <v>5</v>
      </c>
      <c r="C133" s="36">
        <v>3</v>
      </c>
      <c r="D133" s="37">
        <v>3</v>
      </c>
      <c r="R133" s="35">
        <v>7</v>
      </c>
      <c r="S133" s="36">
        <v>4</v>
      </c>
      <c r="T133" s="36">
        <v>2</v>
      </c>
      <c r="U133" s="37">
        <v>3</v>
      </c>
      <c r="X133" s="28">
        <v>11</v>
      </c>
      <c r="AA133" s="100">
        <v>1</v>
      </c>
      <c r="AB133" s="100">
        <v>3</v>
      </c>
      <c r="BJ133" s="35">
        <v>7</v>
      </c>
      <c r="BK133" s="36">
        <v>4</v>
      </c>
      <c r="BL133" s="36">
        <v>4</v>
      </c>
      <c r="BM133" s="37">
        <v>3</v>
      </c>
      <c r="BN133" s="39">
        <v>3</v>
      </c>
    </row>
    <row r="134" spans="1:66" s="3" customFormat="1" ht="18" customHeight="1" x14ac:dyDescent="0.2">
      <c r="A134" s="35">
        <v>3</v>
      </c>
      <c r="B134" s="36">
        <v>5</v>
      </c>
      <c r="C134" s="36">
        <v>3</v>
      </c>
      <c r="D134" s="37">
        <v>4</v>
      </c>
      <c r="R134" s="35">
        <v>7</v>
      </c>
      <c r="S134" s="36">
        <v>4</v>
      </c>
      <c r="T134" s="36">
        <v>3</v>
      </c>
      <c r="U134" s="37">
        <v>3</v>
      </c>
      <c r="X134" s="39">
        <v>13</v>
      </c>
      <c r="AA134" s="100">
        <v>1</v>
      </c>
      <c r="AB134" s="100">
        <v>4</v>
      </c>
      <c r="BJ134" s="35">
        <v>7</v>
      </c>
      <c r="BK134" s="36">
        <v>6</v>
      </c>
      <c r="BL134" s="36">
        <v>2</v>
      </c>
      <c r="BM134" s="37">
        <v>3</v>
      </c>
      <c r="BN134" s="39">
        <v>3</v>
      </c>
    </row>
    <row r="135" spans="1:66" s="3" customFormat="1" ht="18" customHeight="1" x14ac:dyDescent="0.2">
      <c r="A135" s="35">
        <v>3</v>
      </c>
      <c r="B135" s="36">
        <v>6</v>
      </c>
      <c r="C135" s="36">
        <v>1</v>
      </c>
      <c r="D135" s="37">
        <v>1</v>
      </c>
      <c r="R135" s="35">
        <v>7</v>
      </c>
      <c r="S135" s="36">
        <v>4</v>
      </c>
      <c r="T135" s="36">
        <v>4</v>
      </c>
      <c r="U135" s="37">
        <v>3</v>
      </c>
      <c r="X135" s="39">
        <v>16</v>
      </c>
      <c r="AA135" s="100">
        <v>2</v>
      </c>
      <c r="AB135" s="100">
        <v>3</v>
      </c>
      <c r="BJ135" s="35">
        <v>7</v>
      </c>
      <c r="BK135" s="36">
        <v>6</v>
      </c>
      <c r="BL135" s="36">
        <v>3</v>
      </c>
      <c r="BM135" s="37">
        <v>3</v>
      </c>
      <c r="BN135" s="39">
        <v>3</v>
      </c>
    </row>
    <row r="136" spans="1:66" s="3" customFormat="1" ht="18" customHeight="1" x14ac:dyDescent="0.2">
      <c r="A136" s="35">
        <v>3</v>
      </c>
      <c r="B136" s="36">
        <v>6</v>
      </c>
      <c r="C136" s="36">
        <v>1</v>
      </c>
      <c r="D136" s="37">
        <v>2</v>
      </c>
      <c r="R136" s="35">
        <v>7</v>
      </c>
      <c r="S136" s="36">
        <v>6</v>
      </c>
      <c r="T136" s="36">
        <v>2</v>
      </c>
      <c r="U136" s="37">
        <v>3</v>
      </c>
      <c r="X136" s="39">
        <v>17</v>
      </c>
      <c r="AA136" s="100">
        <v>2</v>
      </c>
      <c r="AB136" s="100">
        <v>4</v>
      </c>
      <c r="BJ136" s="35">
        <v>7</v>
      </c>
      <c r="BK136" s="36">
        <v>6</v>
      </c>
      <c r="BL136" s="36">
        <v>4</v>
      </c>
      <c r="BM136" s="37">
        <v>3</v>
      </c>
      <c r="BN136" s="39">
        <v>3</v>
      </c>
    </row>
    <row r="137" spans="1:66" s="3" customFormat="1" ht="18" customHeight="1" x14ac:dyDescent="0.2">
      <c r="A137" s="35">
        <v>3</v>
      </c>
      <c r="B137" s="36">
        <v>6</v>
      </c>
      <c r="C137" s="36">
        <v>1</v>
      </c>
      <c r="D137" s="37">
        <v>3</v>
      </c>
      <c r="R137" s="35">
        <v>7</v>
      </c>
      <c r="S137" s="36">
        <v>6</v>
      </c>
      <c r="T137" s="36">
        <v>3</v>
      </c>
      <c r="U137" s="37">
        <v>3</v>
      </c>
      <c r="X137" s="39">
        <v>18</v>
      </c>
      <c r="AA137" s="100">
        <v>3</v>
      </c>
      <c r="AB137" s="100">
        <v>3</v>
      </c>
      <c r="BJ137" s="35">
        <v>7</v>
      </c>
      <c r="BK137" s="36">
        <v>7</v>
      </c>
      <c r="BL137" s="36">
        <v>2</v>
      </c>
      <c r="BM137" s="37">
        <v>3</v>
      </c>
      <c r="BN137" s="39">
        <v>3</v>
      </c>
    </row>
    <row r="138" spans="1:66" s="3" customFormat="1" ht="18" customHeight="1" x14ac:dyDescent="0.2">
      <c r="A138" s="35">
        <v>3</v>
      </c>
      <c r="B138" s="36">
        <v>6</v>
      </c>
      <c r="C138" s="36">
        <v>1</v>
      </c>
      <c r="D138" s="37">
        <v>4</v>
      </c>
      <c r="R138" s="35">
        <v>7</v>
      </c>
      <c r="S138" s="36">
        <v>6</v>
      </c>
      <c r="T138" s="36">
        <v>4</v>
      </c>
      <c r="U138" s="37">
        <v>3</v>
      </c>
      <c r="X138" s="39">
        <v>19</v>
      </c>
      <c r="AA138" s="100">
        <v>3</v>
      </c>
      <c r="AB138" s="100">
        <v>4</v>
      </c>
      <c r="BJ138" s="35">
        <v>7</v>
      </c>
      <c r="BK138" s="36">
        <v>7</v>
      </c>
      <c r="BL138" s="36">
        <v>3</v>
      </c>
      <c r="BM138" s="37">
        <v>3</v>
      </c>
      <c r="BN138" s="39">
        <v>3</v>
      </c>
    </row>
    <row r="139" spans="1:66" s="3" customFormat="1" ht="18" customHeight="1" x14ac:dyDescent="0.2">
      <c r="A139" s="35">
        <v>3</v>
      </c>
      <c r="B139" s="36">
        <v>6</v>
      </c>
      <c r="C139" s="36">
        <v>2</v>
      </c>
      <c r="D139" s="37">
        <v>1</v>
      </c>
      <c r="R139" s="35">
        <v>7</v>
      </c>
      <c r="S139" s="36">
        <v>7</v>
      </c>
      <c r="T139" s="36">
        <v>2</v>
      </c>
      <c r="U139" s="37">
        <v>3</v>
      </c>
      <c r="X139" s="39">
        <v>21</v>
      </c>
      <c r="AA139" s="100">
        <v>4</v>
      </c>
      <c r="AB139" s="100">
        <v>3</v>
      </c>
      <c r="BJ139" s="35">
        <v>7</v>
      </c>
      <c r="BK139" s="36">
        <v>7</v>
      </c>
      <c r="BL139" s="36">
        <v>4</v>
      </c>
      <c r="BM139" s="37">
        <v>3</v>
      </c>
      <c r="BN139" s="39">
        <v>3</v>
      </c>
    </row>
    <row r="140" spans="1:66" s="3" customFormat="1" ht="18" customHeight="1" x14ac:dyDescent="0.2">
      <c r="A140" s="35">
        <v>3</v>
      </c>
      <c r="B140" s="36">
        <v>6</v>
      </c>
      <c r="C140" s="36">
        <v>2</v>
      </c>
      <c r="D140" s="37">
        <v>2</v>
      </c>
      <c r="R140" s="35">
        <v>7</v>
      </c>
      <c r="S140" s="36">
        <v>7</v>
      </c>
      <c r="T140" s="36">
        <v>3</v>
      </c>
      <c r="U140" s="37">
        <v>3</v>
      </c>
      <c r="X140" s="39">
        <v>22</v>
      </c>
      <c r="AA140" s="100">
        <v>4</v>
      </c>
      <c r="AB140" s="100">
        <v>4</v>
      </c>
      <c r="BJ140" s="35">
        <v>7</v>
      </c>
      <c r="BK140" s="36">
        <v>9</v>
      </c>
      <c r="BL140" s="36">
        <v>2</v>
      </c>
      <c r="BM140" s="37">
        <v>3</v>
      </c>
      <c r="BN140" s="39">
        <v>3</v>
      </c>
    </row>
    <row r="141" spans="1:66" s="3" customFormat="1" ht="18" customHeight="1" x14ac:dyDescent="0.2">
      <c r="A141" s="35">
        <v>3</v>
      </c>
      <c r="B141" s="36">
        <v>6</v>
      </c>
      <c r="C141" s="36">
        <v>2</v>
      </c>
      <c r="D141" s="37">
        <v>3</v>
      </c>
      <c r="R141" s="35">
        <v>7</v>
      </c>
      <c r="S141" s="36">
        <v>7</v>
      </c>
      <c r="T141" s="36">
        <v>4</v>
      </c>
      <c r="U141" s="37">
        <v>3</v>
      </c>
      <c r="X141" s="39">
        <v>24</v>
      </c>
      <c r="AA141" s="100">
        <v>5</v>
      </c>
      <c r="AB141" s="100">
        <v>3</v>
      </c>
      <c r="BJ141" s="35">
        <v>7</v>
      </c>
      <c r="BK141" s="36">
        <v>9</v>
      </c>
      <c r="BL141" s="36">
        <v>3</v>
      </c>
      <c r="BM141" s="37">
        <v>3</v>
      </c>
      <c r="BN141" s="39">
        <v>3</v>
      </c>
    </row>
    <row r="142" spans="1:66" s="3" customFormat="1" ht="18" customHeight="1" x14ac:dyDescent="0.2">
      <c r="A142" s="35">
        <v>3</v>
      </c>
      <c r="B142" s="36">
        <v>6</v>
      </c>
      <c r="C142" s="36">
        <v>2</v>
      </c>
      <c r="D142" s="37">
        <v>4</v>
      </c>
      <c r="R142" s="35">
        <v>7</v>
      </c>
      <c r="S142" s="36">
        <v>9</v>
      </c>
      <c r="T142" s="36">
        <v>2</v>
      </c>
      <c r="U142" s="37">
        <v>3</v>
      </c>
      <c r="X142" s="39">
        <v>31</v>
      </c>
      <c r="AA142" s="100">
        <v>5</v>
      </c>
      <c r="AB142" s="100">
        <v>4</v>
      </c>
      <c r="BJ142" s="35">
        <v>7</v>
      </c>
      <c r="BK142" s="36">
        <v>9</v>
      </c>
      <c r="BL142" s="36">
        <v>4</v>
      </c>
      <c r="BM142" s="37">
        <v>3</v>
      </c>
      <c r="BN142" s="39">
        <v>3</v>
      </c>
    </row>
    <row r="143" spans="1:66" s="3" customFormat="1" ht="18" customHeight="1" x14ac:dyDescent="0.2">
      <c r="A143" s="35">
        <v>3</v>
      </c>
      <c r="B143" s="36">
        <v>6</v>
      </c>
      <c r="C143" s="36">
        <v>3</v>
      </c>
      <c r="D143" s="37">
        <v>1</v>
      </c>
      <c r="R143" s="35">
        <v>7</v>
      </c>
      <c r="S143" s="36">
        <v>9</v>
      </c>
      <c r="T143" s="36">
        <v>3</v>
      </c>
      <c r="U143" s="37">
        <v>3</v>
      </c>
      <c r="X143" s="39">
        <v>32</v>
      </c>
      <c r="AA143" s="100">
        <v>6</v>
      </c>
      <c r="AB143" s="100">
        <v>3</v>
      </c>
      <c r="BJ143" s="35">
        <v>8</v>
      </c>
      <c r="BK143" s="36">
        <v>1</v>
      </c>
      <c r="BL143" s="36">
        <v>2</v>
      </c>
      <c r="BM143" s="37">
        <v>3</v>
      </c>
      <c r="BN143" s="39">
        <v>3</v>
      </c>
    </row>
    <row r="144" spans="1:66" s="3" customFormat="1" ht="18.5" customHeight="1" x14ac:dyDescent="0.2">
      <c r="A144" s="35">
        <v>3</v>
      </c>
      <c r="B144" s="36">
        <v>6</v>
      </c>
      <c r="C144" s="36">
        <v>3</v>
      </c>
      <c r="D144" s="37">
        <v>2</v>
      </c>
      <c r="R144" s="35">
        <v>7</v>
      </c>
      <c r="S144" s="36">
        <v>9</v>
      </c>
      <c r="T144" s="36">
        <v>4</v>
      </c>
      <c r="U144" s="37">
        <v>3</v>
      </c>
      <c r="X144" s="56">
        <v>33</v>
      </c>
      <c r="AA144" s="100">
        <v>6</v>
      </c>
      <c r="AB144" s="100">
        <v>4</v>
      </c>
      <c r="BJ144" s="35">
        <v>8</v>
      </c>
      <c r="BK144" s="36">
        <v>1</v>
      </c>
      <c r="BL144" s="36">
        <v>3</v>
      </c>
      <c r="BM144" s="37">
        <v>3</v>
      </c>
      <c r="BN144" s="39">
        <v>3</v>
      </c>
    </row>
    <row r="145" spans="1:66" s="3" customFormat="1" ht="18.5" customHeight="1" x14ac:dyDescent="0.2">
      <c r="A145" s="35">
        <v>3</v>
      </c>
      <c r="B145" s="36">
        <v>6</v>
      </c>
      <c r="C145" s="36">
        <v>3</v>
      </c>
      <c r="D145" s="37">
        <v>3</v>
      </c>
      <c r="R145" s="35">
        <v>8</v>
      </c>
      <c r="S145" s="36">
        <v>1</v>
      </c>
      <c r="T145" s="36">
        <v>2</v>
      </c>
      <c r="U145" s="37">
        <v>3</v>
      </c>
      <c r="AA145" s="100">
        <v>7</v>
      </c>
      <c r="AB145" s="100">
        <v>3</v>
      </c>
      <c r="BJ145" s="35">
        <v>8</v>
      </c>
      <c r="BK145" s="36">
        <v>1</v>
      </c>
      <c r="BL145" s="36">
        <v>4</v>
      </c>
      <c r="BM145" s="37">
        <v>3</v>
      </c>
      <c r="BN145" s="39">
        <v>3</v>
      </c>
    </row>
    <row r="146" spans="1:66" s="3" customFormat="1" ht="18" customHeight="1" x14ac:dyDescent="0.2">
      <c r="A146" s="35">
        <v>3</v>
      </c>
      <c r="B146" s="36">
        <v>6</v>
      </c>
      <c r="C146" s="36">
        <v>3</v>
      </c>
      <c r="D146" s="37">
        <v>4</v>
      </c>
      <c r="R146" s="35">
        <v>8</v>
      </c>
      <c r="S146" s="36">
        <v>1</v>
      </c>
      <c r="T146" s="36">
        <v>3</v>
      </c>
      <c r="U146" s="37">
        <v>3</v>
      </c>
      <c r="AA146" s="100">
        <v>7</v>
      </c>
      <c r="AB146" s="100">
        <v>4</v>
      </c>
      <c r="BJ146" s="35">
        <v>8</v>
      </c>
      <c r="BK146" s="36">
        <v>2</v>
      </c>
      <c r="BL146" s="36">
        <v>2</v>
      </c>
      <c r="BM146" s="37">
        <v>3</v>
      </c>
      <c r="BN146" s="39">
        <v>3</v>
      </c>
    </row>
    <row r="147" spans="1:66" s="3" customFormat="1" ht="18" customHeight="1" x14ac:dyDescent="0.2">
      <c r="A147" s="35">
        <v>3</v>
      </c>
      <c r="B147" s="36">
        <v>7</v>
      </c>
      <c r="C147" s="36">
        <v>1</v>
      </c>
      <c r="D147" s="37">
        <v>1</v>
      </c>
      <c r="R147" s="35">
        <v>8</v>
      </c>
      <c r="S147" s="36">
        <v>1</v>
      </c>
      <c r="T147" s="36">
        <v>4</v>
      </c>
      <c r="U147" s="37">
        <v>3</v>
      </c>
      <c r="AA147" s="100">
        <v>8</v>
      </c>
      <c r="AB147" s="100">
        <v>3</v>
      </c>
      <c r="BJ147" s="35">
        <v>8</v>
      </c>
      <c r="BK147" s="36">
        <v>2</v>
      </c>
      <c r="BL147" s="36">
        <v>3</v>
      </c>
      <c r="BM147" s="37">
        <v>3</v>
      </c>
      <c r="BN147" s="39">
        <v>3</v>
      </c>
    </row>
    <row r="148" spans="1:66" s="3" customFormat="1" ht="18" customHeight="1" x14ac:dyDescent="0.2">
      <c r="A148" s="35">
        <v>3</v>
      </c>
      <c r="B148" s="36">
        <v>7</v>
      </c>
      <c r="C148" s="36">
        <v>1</v>
      </c>
      <c r="D148" s="37">
        <v>2</v>
      </c>
      <c r="R148" s="35">
        <v>8</v>
      </c>
      <c r="S148" s="36">
        <v>2</v>
      </c>
      <c r="T148" s="36">
        <v>2</v>
      </c>
      <c r="U148" s="37">
        <v>3</v>
      </c>
      <c r="AA148" s="100">
        <v>8</v>
      </c>
      <c r="AB148" s="100">
        <v>4</v>
      </c>
      <c r="BJ148" s="35">
        <v>8</v>
      </c>
      <c r="BK148" s="36">
        <v>2</v>
      </c>
      <c r="BL148" s="36">
        <v>4</v>
      </c>
      <c r="BM148" s="37">
        <v>3</v>
      </c>
      <c r="BN148" s="39">
        <v>3</v>
      </c>
    </row>
    <row r="149" spans="1:66" s="3" customFormat="1" ht="18" customHeight="1" x14ac:dyDescent="0.2">
      <c r="A149" s="35">
        <v>3</v>
      </c>
      <c r="B149" s="36">
        <v>7</v>
      </c>
      <c r="C149" s="36">
        <v>1</v>
      </c>
      <c r="D149" s="37">
        <v>3</v>
      </c>
      <c r="R149" s="35">
        <v>8</v>
      </c>
      <c r="S149" s="36">
        <v>2</v>
      </c>
      <c r="T149" s="36">
        <v>3</v>
      </c>
      <c r="U149" s="37">
        <v>3</v>
      </c>
      <c r="AA149" s="100">
        <v>9</v>
      </c>
      <c r="AB149" s="100">
        <v>3</v>
      </c>
      <c r="BJ149" s="35">
        <v>8</v>
      </c>
      <c r="BK149" s="36">
        <v>4</v>
      </c>
      <c r="BL149" s="36">
        <v>2</v>
      </c>
      <c r="BM149" s="37">
        <v>3</v>
      </c>
      <c r="BN149" s="39">
        <v>3</v>
      </c>
    </row>
    <row r="150" spans="1:66" s="3" customFormat="1" ht="18" customHeight="1" x14ac:dyDescent="0.2">
      <c r="A150" s="35">
        <v>3</v>
      </c>
      <c r="B150" s="36">
        <v>7</v>
      </c>
      <c r="C150" s="36">
        <v>1</v>
      </c>
      <c r="D150" s="37">
        <v>4</v>
      </c>
      <c r="R150" s="35">
        <v>8</v>
      </c>
      <c r="S150" s="36">
        <v>2</v>
      </c>
      <c r="T150" s="36">
        <v>4</v>
      </c>
      <c r="U150" s="37">
        <v>3</v>
      </c>
      <c r="AA150" s="100">
        <v>9</v>
      </c>
      <c r="AB150" s="100">
        <v>4</v>
      </c>
      <c r="BJ150" s="35">
        <v>8</v>
      </c>
      <c r="BK150" s="36">
        <v>4</v>
      </c>
      <c r="BL150" s="36">
        <v>3</v>
      </c>
      <c r="BM150" s="37">
        <v>3</v>
      </c>
      <c r="BN150" s="39">
        <v>3</v>
      </c>
    </row>
    <row r="151" spans="1:66" s="3" customFormat="1" ht="18" customHeight="1" x14ac:dyDescent="0.2">
      <c r="A151" s="35">
        <v>3</v>
      </c>
      <c r="B151" s="36">
        <v>7</v>
      </c>
      <c r="C151" s="36">
        <v>2</v>
      </c>
      <c r="D151" s="37">
        <v>1</v>
      </c>
      <c r="R151" s="35">
        <v>8</v>
      </c>
      <c r="S151" s="36">
        <v>4</v>
      </c>
      <c r="T151" s="36">
        <v>2</v>
      </c>
      <c r="U151" s="37">
        <v>3</v>
      </c>
      <c r="AA151" s="100">
        <v>10</v>
      </c>
      <c r="AB151" s="100">
        <v>3</v>
      </c>
      <c r="BJ151" s="35">
        <v>8</v>
      </c>
      <c r="BK151" s="36">
        <v>4</v>
      </c>
      <c r="BL151" s="36">
        <v>4</v>
      </c>
      <c r="BM151" s="37">
        <v>3</v>
      </c>
      <c r="BN151" s="39">
        <v>3</v>
      </c>
    </row>
    <row r="152" spans="1:66" s="3" customFormat="1" ht="18" customHeight="1" x14ac:dyDescent="0.2">
      <c r="A152" s="35">
        <v>3</v>
      </c>
      <c r="B152" s="36">
        <v>7</v>
      </c>
      <c r="C152" s="36">
        <v>2</v>
      </c>
      <c r="D152" s="37">
        <v>2</v>
      </c>
      <c r="R152" s="35">
        <v>8</v>
      </c>
      <c r="S152" s="36">
        <v>4</v>
      </c>
      <c r="T152" s="36">
        <v>3</v>
      </c>
      <c r="U152" s="37">
        <v>3</v>
      </c>
      <c r="AA152" s="100">
        <v>10</v>
      </c>
      <c r="AB152" s="100">
        <v>4</v>
      </c>
      <c r="BJ152" s="35">
        <v>8</v>
      </c>
      <c r="BK152" s="36">
        <v>6</v>
      </c>
      <c r="BL152" s="36">
        <v>2</v>
      </c>
      <c r="BM152" s="37">
        <v>3</v>
      </c>
      <c r="BN152" s="39">
        <v>3</v>
      </c>
    </row>
    <row r="153" spans="1:66" s="3" customFormat="1" ht="18" customHeight="1" x14ac:dyDescent="0.2">
      <c r="A153" s="35">
        <v>3</v>
      </c>
      <c r="B153" s="36">
        <v>7</v>
      </c>
      <c r="C153" s="36">
        <v>2</v>
      </c>
      <c r="D153" s="37">
        <v>3</v>
      </c>
      <c r="R153" s="35">
        <v>8</v>
      </c>
      <c r="S153" s="36">
        <v>4</v>
      </c>
      <c r="T153" s="36">
        <v>4</v>
      </c>
      <c r="U153" s="37">
        <v>3</v>
      </c>
      <c r="BJ153" s="35">
        <v>8</v>
      </c>
      <c r="BK153" s="36">
        <v>6</v>
      </c>
      <c r="BL153" s="36">
        <v>3</v>
      </c>
      <c r="BM153" s="37">
        <v>3</v>
      </c>
      <c r="BN153" s="39">
        <v>3</v>
      </c>
    </row>
    <row r="154" spans="1:66" s="3" customFormat="1" ht="18" customHeight="1" x14ac:dyDescent="0.2">
      <c r="A154" s="35">
        <v>3</v>
      </c>
      <c r="B154" s="36">
        <v>7</v>
      </c>
      <c r="C154" s="36">
        <v>2</v>
      </c>
      <c r="D154" s="37">
        <v>4</v>
      </c>
      <c r="R154" s="35">
        <v>8</v>
      </c>
      <c r="S154" s="36">
        <v>6</v>
      </c>
      <c r="T154" s="36">
        <v>2</v>
      </c>
      <c r="U154" s="37">
        <v>3</v>
      </c>
      <c r="BJ154" s="35">
        <v>8</v>
      </c>
      <c r="BK154" s="36">
        <v>6</v>
      </c>
      <c r="BL154" s="36">
        <v>4</v>
      </c>
      <c r="BM154" s="37">
        <v>3</v>
      </c>
      <c r="BN154" s="39">
        <v>3</v>
      </c>
    </row>
    <row r="155" spans="1:66" s="3" customFormat="1" ht="18" customHeight="1" x14ac:dyDescent="0.2">
      <c r="A155" s="35">
        <v>3</v>
      </c>
      <c r="B155" s="36">
        <v>7</v>
      </c>
      <c r="C155" s="36">
        <v>3</v>
      </c>
      <c r="D155" s="37">
        <v>1</v>
      </c>
      <c r="R155" s="35">
        <v>8</v>
      </c>
      <c r="S155" s="36">
        <v>6</v>
      </c>
      <c r="T155" s="36">
        <v>3</v>
      </c>
      <c r="U155" s="37">
        <v>3</v>
      </c>
      <c r="BJ155" s="35">
        <v>8</v>
      </c>
      <c r="BK155" s="36">
        <v>7</v>
      </c>
      <c r="BL155" s="36">
        <v>2</v>
      </c>
      <c r="BM155" s="37">
        <v>3</v>
      </c>
      <c r="BN155" s="39">
        <v>3</v>
      </c>
    </row>
    <row r="156" spans="1:66" s="3" customFormat="1" ht="18.5" customHeight="1" x14ac:dyDescent="0.2">
      <c r="A156" s="35">
        <v>3</v>
      </c>
      <c r="B156" s="36">
        <v>7</v>
      </c>
      <c r="C156" s="36">
        <v>3</v>
      </c>
      <c r="D156" s="37">
        <v>2</v>
      </c>
      <c r="R156" s="35">
        <v>8</v>
      </c>
      <c r="S156" s="36">
        <v>6</v>
      </c>
      <c r="T156" s="36">
        <v>4</v>
      </c>
      <c r="U156" s="37">
        <v>3</v>
      </c>
      <c r="BJ156" s="35">
        <v>8</v>
      </c>
      <c r="BK156" s="36">
        <v>7</v>
      </c>
      <c r="BL156" s="36">
        <v>3</v>
      </c>
      <c r="BM156" s="37">
        <v>3</v>
      </c>
      <c r="BN156" s="39">
        <v>3</v>
      </c>
    </row>
    <row r="157" spans="1:66" s="3" customFormat="1" ht="19" customHeight="1" x14ac:dyDescent="0.2">
      <c r="A157" s="35">
        <v>3</v>
      </c>
      <c r="B157" s="36">
        <v>7</v>
      </c>
      <c r="C157" s="36">
        <v>3</v>
      </c>
      <c r="D157" s="37">
        <v>3</v>
      </c>
      <c r="R157" s="35">
        <v>8</v>
      </c>
      <c r="S157" s="36">
        <v>7</v>
      </c>
      <c r="T157" s="36">
        <v>2</v>
      </c>
      <c r="U157" s="37">
        <v>3</v>
      </c>
      <c r="Y157" s="23">
        <v>1</v>
      </c>
      <c r="Z157" s="24">
        <v>1</v>
      </c>
      <c r="AA157" s="24">
        <v>1</v>
      </c>
      <c r="AB157" s="24">
        <v>1</v>
      </c>
      <c r="AC157" s="24">
        <v>2</v>
      </c>
      <c r="AD157" s="24">
        <v>2</v>
      </c>
      <c r="AE157" s="24">
        <v>2</v>
      </c>
      <c r="AF157" s="24">
        <v>2</v>
      </c>
      <c r="AG157" s="24">
        <v>3</v>
      </c>
      <c r="AH157" s="24">
        <v>3</v>
      </c>
      <c r="AI157" s="24">
        <v>4</v>
      </c>
      <c r="AJ157" s="24">
        <v>4</v>
      </c>
      <c r="AK157" s="24">
        <v>4</v>
      </c>
      <c r="AL157" s="24">
        <v>4</v>
      </c>
      <c r="AM157" s="24">
        <v>5</v>
      </c>
      <c r="AN157" s="24">
        <v>5</v>
      </c>
      <c r="AO157" s="24">
        <v>5</v>
      </c>
      <c r="AP157" s="24">
        <v>5</v>
      </c>
      <c r="AQ157" s="24">
        <v>6</v>
      </c>
      <c r="AR157" s="24">
        <v>6</v>
      </c>
      <c r="AS157" s="24">
        <v>6</v>
      </c>
      <c r="AT157" s="24">
        <v>6</v>
      </c>
      <c r="AU157" s="24">
        <v>7</v>
      </c>
      <c r="AV157" s="24">
        <v>7</v>
      </c>
      <c r="AW157" s="24">
        <v>7</v>
      </c>
      <c r="AX157" s="24">
        <v>7</v>
      </c>
      <c r="AY157" s="24">
        <v>8</v>
      </c>
      <c r="AZ157" s="24">
        <v>8</v>
      </c>
      <c r="BA157" s="24">
        <v>9</v>
      </c>
      <c r="BB157" s="24">
        <v>9</v>
      </c>
      <c r="BC157" s="24">
        <v>9</v>
      </c>
      <c r="BD157" s="24">
        <v>9</v>
      </c>
      <c r="BE157" s="24">
        <v>10</v>
      </c>
      <c r="BF157" s="25">
        <v>10</v>
      </c>
      <c r="BJ157" s="35">
        <v>8</v>
      </c>
      <c r="BK157" s="36">
        <v>7</v>
      </c>
      <c r="BL157" s="36">
        <v>4</v>
      </c>
      <c r="BM157" s="37">
        <v>3</v>
      </c>
      <c r="BN157" s="39">
        <v>3</v>
      </c>
    </row>
    <row r="158" spans="1:66" s="3" customFormat="1" ht="19" customHeight="1" x14ac:dyDescent="0.2">
      <c r="A158" s="35">
        <v>3</v>
      </c>
      <c r="B158" s="36">
        <v>7</v>
      </c>
      <c r="C158" s="36">
        <v>3</v>
      </c>
      <c r="D158" s="37">
        <v>4</v>
      </c>
      <c r="R158" s="35">
        <v>8</v>
      </c>
      <c r="S158" s="36">
        <v>7</v>
      </c>
      <c r="T158" s="36">
        <v>3</v>
      </c>
      <c r="U158" s="37">
        <v>3</v>
      </c>
      <c r="X158" s="8" t="s">
        <v>22</v>
      </c>
      <c r="Y158" s="32">
        <v>1</v>
      </c>
      <c r="Z158" s="33">
        <v>2</v>
      </c>
      <c r="AA158" s="33">
        <v>3</v>
      </c>
      <c r="AB158" s="33">
        <v>4</v>
      </c>
      <c r="AC158" s="33">
        <v>1</v>
      </c>
      <c r="AD158" s="33">
        <v>2</v>
      </c>
      <c r="AE158" s="33">
        <v>3</v>
      </c>
      <c r="AF158" s="33">
        <v>4</v>
      </c>
      <c r="AG158" s="33">
        <v>3</v>
      </c>
      <c r="AH158" s="33">
        <v>4</v>
      </c>
      <c r="AI158" s="33">
        <v>1</v>
      </c>
      <c r="AJ158" s="33">
        <v>2</v>
      </c>
      <c r="AK158" s="33">
        <v>3</v>
      </c>
      <c r="AL158" s="33">
        <v>4</v>
      </c>
      <c r="AM158" s="33">
        <v>1</v>
      </c>
      <c r="AN158" s="33">
        <v>2</v>
      </c>
      <c r="AO158" s="33">
        <v>3</v>
      </c>
      <c r="AP158" s="33">
        <v>4</v>
      </c>
      <c r="AQ158" s="33">
        <v>1</v>
      </c>
      <c r="AR158" s="33">
        <v>2</v>
      </c>
      <c r="AS158" s="33">
        <v>3</v>
      </c>
      <c r="AT158" s="33">
        <v>4</v>
      </c>
      <c r="AU158" s="33">
        <v>1</v>
      </c>
      <c r="AV158" s="33">
        <v>2</v>
      </c>
      <c r="AW158" s="33">
        <v>3</v>
      </c>
      <c r="AX158" s="33">
        <v>4</v>
      </c>
      <c r="AY158" s="33">
        <v>3</v>
      </c>
      <c r="AZ158" s="33">
        <v>4</v>
      </c>
      <c r="BA158" s="33">
        <v>1</v>
      </c>
      <c r="BB158" s="33">
        <v>2</v>
      </c>
      <c r="BC158" s="33">
        <v>3</v>
      </c>
      <c r="BD158" s="33">
        <v>4</v>
      </c>
      <c r="BE158" s="33">
        <v>3</v>
      </c>
      <c r="BF158" s="34">
        <v>4</v>
      </c>
      <c r="BG158" s="8" t="s">
        <v>74</v>
      </c>
      <c r="BJ158" s="35">
        <v>8</v>
      </c>
      <c r="BK158" s="36">
        <v>9</v>
      </c>
      <c r="BL158" s="36">
        <v>2</v>
      </c>
      <c r="BM158" s="37">
        <v>3</v>
      </c>
      <c r="BN158" s="39">
        <v>3</v>
      </c>
    </row>
    <row r="159" spans="1:66" s="3" customFormat="1" ht="18.5" customHeight="1" x14ac:dyDescent="0.2">
      <c r="A159" s="35">
        <v>3</v>
      </c>
      <c r="B159" s="36">
        <v>9</v>
      </c>
      <c r="C159" s="36">
        <v>1</v>
      </c>
      <c r="D159" s="37">
        <v>1</v>
      </c>
      <c r="R159" s="35">
        <v>8</v>
      </c>
      <c r="S159" s="36">
        <v>7</v>
      </c>
      <c r="T159" s="36">
        <v>4</v>
      </c>
      <c r="U159" s="37">
        <v>3</v>
      </c>
      <c r="X159" s="28">
        <v>6</v>
      </c>
      <c r="Y159" s="23">
        <v>0</v>
      </c>
      <c r="Z159" s="24">
        <v>1</v>
      </c>
      <c r="AA159" s="24">
        <v>1</v>
      </c>
      <c r="AB159" s="24">
        <v>1</v>
      </c>
      <c r="AC159" s="24">
        <v>0</v>
      </c>
      <c r="AD159" s="24">
        <v>1</v>
      </c>
      <c r="AE159" s="24">
        <v>1</v>
      </c>
      <c r="AF159" s="24">
        <v>1</v>
      </c>
      <c r="AG159" s="24">
        <v>0</v>
      </c>
      <c r="AH159" s="24">
        <v>0</v>
      </c>
      <c r="AI159" s="24">
        <v>0</v>
      </c>
      <c r="AJ159" s="24">
        <v>1</v>
      </c>
      <c r="AK159" s="24">
        <v>1</v>
      </c>
      <c r="AL159" s="24">
        <v>1</v>
      </c>
      <c r="AM159" s="24">
        <v>0</v>
      </c>
      <c r="AN159" s="24">
        <v>0</v>
      </c>
      <c r="AO159" s="24">
        <v>0</v>
      </c>
      <c r="AP159" s="24">
        <v>0</v>
      </c>
      <c r="AQ159" s="24">
        <v>0</v>
      </c>
      <c r="AR159" s="24">
        <v>1</v>
      </c>
      <c r="AS159" s="24">
        <v>1</v>
      </c>
      <c r="AT159" s="24">
        <v>1</v>
      </c>
      <c r="AU159" s="24">
        <v>0</v>
      </c>
      <c r="AV159" s="24">
        <v>1</v>
      </c>
      <c r="AW159" s="24">
        <v>1</v>
      </c>
      <c r="AX159" s="24">
        <v>1</v>
      </c>
      <c r="AY159" s="24">
        <v>0</v>
      </c>
      <c r="AZ159" s="24">
        <v>0</v>
      </c>
      <c r="BA159" s="24">
        <v>0</v>
      </c>
      <c r="BB159" s="24">
        <v>1</v>
      </c>
      <c r="BC159" s="24">
        <v>1</v>
      </c>
      <c r="BD159" s="24">
        <v>1</v>
      </c>
      <c r="BE159" s="24">
        <v>0</v>
      </c>
      <c r="BF159" s="25">
        <v>0</v>
      </c>
      <c r="BG159" s="28">
        <v>18</v>
      </c>
      <c r="BJ159" s="35">
        <v>8</v>
      </c>
      <c r="BK159" s="36">
        <v>9</v>
      </c>
      <c r="BL159" s="36">
        <v>3</v>
      </c>
      <c r="BM159" s="37">
        <v>3</v>
      </c>
      <c r="BN159" s="39">
        <v>3</v>
      </c>
    </row>
    <row r="160" spans="1:66" s="3" customFormat="1" ht="18" customHeight="1" x14ac:dyDescent="0.2">
      <c r="A160" s="35">
        <v>3</v>
      </c>
      <c r="B160" s="36">
        <v>9</v>
      </c>
      <c r="C160" s="36">
        <v>1</v>
      </c>
      <c r="D160" s="37">
        <v>2</v>
      </c>
      <c r="R160" s="35">
        <v>8</v>
      </c>
      <c r="S160" s="36">
        <v>9</v>
      </c>
      <c r="T160" s="36">
        <v>2</v>
      </c>
      <c r="U160" s="37">
        <v>3</v>
      </c>
      <c r="X160" s="39">
        <v>7</v>
      </c>
      <c r="Y160" s="35">
        <v>0</v>
      </c>
      <c r="Z160" s="36">
        <v>1</v>
      </c>
      <c r="AA160" s="36">
        <v>1</v>
      </c>
      <c r="AB160" s="36">
        <v>1</v>
      </c>
      <c r="AC160" s="36">
        <v>0</v>
      </c>
      <c r="AD160" s="36">
        <v>1</v>
      </c>
      <c r="AE160" s="36">
        <v>1</v>
      </c>
      <c r="AF160" s="36">
        <v>1</v>
      </c>
      <c r="AG160" s="36">
        <v>0</v>
      </c>
      <c r="AH160" s="36">
        <v>0</v>
      </c>
      <c r="AI160" s="36">
        <v>0</v>
      </c>
      <c r="AJ160" s="36">
        <v>1</v>
      </c>
      <c r="AK160" s="36">
        <v>1</v>
      </c>
      <c r="AL160" s="36">
        <v>1</v>
      </c>
      <c r="AM160" s="36">
        <v>0</v>
      </c>
      <c r="AN160" s="36">
        <v>0</v>
      </c>
      <c r="AO160" s="36">
        <v>0</v>
      </c>
      <c r="AP160" s="36">
        <v>0</v>
      </c>
      <c r="AQ160" s="36">
        <v>0</v>
      </c>
      <c r="AR160" s="36">
        <v>1</v>
      </c>
      <c r="AS160" s="36">
        <v>1</v>
      </c>
      <c r="AT160" s="36">
        <v>1</v>
      </c>
      <c r="AU160" s="36">
        <v>0</v>
      </c>
      <c r="AV160" s="36">
        <v>1</v>
      </c>
      <c r="AW160" s="36">
        <v>1</v>
      </c>
      <c r="AX160" s="36">
        <v>1</v>
      </c>
      <c r="AY160" s="36">
        <v>0</v>
      </c>
      <c r="AZ160" s="36">
        <v>0</v>
      </c>
      <c r="BA160" s="36">
        <v>0</v>
      </c>
      <c r="BB160" s="36">
        <v>1</v>
      </c>
      <c r="BC160" s="36">
        <v>1</v>
      </c>
      <c r="BD160" s="36">
        <v>1</v>
      </c>
      <c r="BE160" s="36">
        <v>0</v>
      </c>
      <c r="BF160" s="37">
        <v>0</v>
      </c>
      <c r="BG160" s="39">
        <v>18</v>
      </c>
      <c r="BJ160" s="35">
        <v>8</v>
      </c>
      <c r="BK160" s="36">
        <v>9</v>
      </c>
      <c r="BL160" s="36">
        <v>4</v>
      </c>
      <c r="BM160" s="37">
        <v>3</v>
      </c>
      <c r="BN160" s="39">
        <v>3</v>
      </c>
    </row>
    <row r="161" spans="1:66" s="3" customFormat="1" ht="18.5" customHeight="1" x14ac:dyDescent="0.2">
      <c r="A161" s="35">
        <v>3</v>
      </c>
      <c r="B161" s="36">
        <v>9</v>
      </c>
      <c r="C161" s="36">
        <v>1</v>
      </c>
      <c r="D161" s="37">
        <v>3</v>
      </c>
      <c r="R161" s="35">
        <v>8</v>
      </c>
      <c r="S161" s="36">
        <v>9</v>
      </c>
      <c r="T161" s="36">
        <v>3</v>
      </c>
      <c r="U161" s="37">
        <v>3</v>
      </c>
      <c r="X161" s="56">
        <v>8</v>
      </c>
      <c r="Y161" s="32">
        <v>0</v>
      </c>
      <c r="Z161" s="33">
        <v>1</v>
      </c>
      <c r="AA161" s="33">
        <v>1</v>
      </c>
      <c r="AB161" s="33">
        <v>1</v>
      </c>
      <c r="AC161" s="33">
        <v>0</v>
      </c>
      <c r="AD161" s="33">
        <v>1</v>
      </c>
      <c r="AE161" s="33">
        <v>1</v>
      </c>
      <c r="AF161" s="33">
        <v>1</v>
      </c>
      <c r="AG161" s="33">
        <v>0</v>
      </c>
      <c r="AH161" s="33">
        <v>0</v>
      </c>
      <c r="AI161" s="33">
        <v>0</v>
      </c>
      <c r="AJ161" s="33">
        <v>1</v>
      </c>
      <c r="AK161" s="33">
        <v>1</v>
      </c>
      <c r="AL161" s="33">
        <v>1</v>
      </c>
      <c r="AM161" s="33">
        <v>0</v>
      </c>
      <c r="AN161" s="33">
        <v>0</v>
      </c>
      <c r="AO161" s="33">
        <v>0</v>
      </c>
      <c r="AP161" s="33">
        <v>0</v>
      </c>
      <c r="AQ161" s="33">
        <v>0</v>
      </c>
      <c r="AR161" s="33">
        <v>1</v>
      </c>
      <c r="AS161" s="33">
        <v>1</v>
      </c>
      <c r="AT161" s="33">
        <v>1</v>
      </c>
      <c r="AU161" s="33">
        <v>0</v>
      </c>
      <c r="AV161" s="33">
        <v>1</v>
      </c>
      <c r="AW161" s="33">
        <v>1</v>
      </c>
      <c r="AX161" s="33">
        <v>1</v>
      </c>
      <c r="AY161" s="33">
        <v>0</v>
      </c>
      <c r="AZ161" s="33">
        <v>0</v>
      </c>
      <c r="BA161" s="33">
        <v>0</v>
      </c>
      <c r="BB161" s="33">
        <v>1</v>
      </c>
      <c r="BC161" s="33">
        <v>1</v>
      </c>
      <c r="BD161" s="33">
        <v>1</v>
      </c>
      <c r="BE161" s="33">
        <v>0</v>
      </c>
      <c r="BF161" s="34">
        <v>0</v>
      </c>
      <c r="BG161" s="56">
        <v>18</v>
      </c>
      <c r="BJ161" s="35">
        <v>9</v>
      </c>
      <c r="BK161" s="36">
        <v>4</v>
      </c>
      <c r="BL161" s="36">
        <v>2</v>
      </c>
      <c r="BM161" s="37">
        <v>3</v>
      </c>
      <c r="BN161" s="39">
        <v>2</v>
      </c>
    </row>
    <row r="162" spans="1:66" s="3" customFormat="1" ht="19" customHeight="1" x14ac:dyDescent="0.2">
      <c r="A162" s="35">
        <v>3</v>
      </c>
      <c r="B162" s="36">
        <v>9</v>
      </c>
      <c r="C162" s="36">
        <v>1</v>
      </c>
      <c r="D162" s="37">
        <v>4</v>
      </c>
      <c r="R162" s="35">
        <v>8</v>
      </c>
      <c r="S162" s="36">
        <v>9</v>
      </c>
      <c r="T162" s="36">
        <v>4</v>
      </c>
      <c r="U162" s="37">
        <v>3</v>
      </c>
      <c r="X162" s="8" t="s">
        <v>74</v>
      </c>
      <c r="Y162" s="96">
        <f t="shared" ref="Y162:BG162" si="3">SUM(Y159:Y161)</f>
        <v>0</v>
      </c>
      <c r="Z162" s="97">
        <f t="shared" si="3"/>
        <v>3</v>
      </c>
      <c r="AA162" s="97">
        <f t="shared" si="3"/>
        <v>3</v>
      </c>
      <c r="AB162" s="97">
        <f t="shared" si="3"/>
        <v>3</v>
      </c>
      <c r="AC162" s="97">
        <f t="shared" si="3"/>
        <v>0</v>
      </c>
      <c r="AD162" s="97">
        <f t="shared" si="3"/>
        <v>3</v>
      </c>
      <c r="AE162" s="97">
        <f t="shared" si="3"/>
        <v>3</v>
      </c>
      <c r="AF162" s="97">
        <f t="shared" si="3"/>
        <v>3</v>
      </c>
      <c r="AG162" s="97">
        <f t="shared" si="3"/>
        <v>0</v>
      </c>
      <c r="AH162" s="97">
        <f t="shared" si="3"/>
        <v>0</v>
      </c>
      <c r="AI162" s="97">
        <f t="shared" si="3"/>
        <v>0</v>
      </c>
      <c r="AJ162" s="97">
        <f t="shared" si="3"/>
        <v>3</v>
      </c>
      <c r="AK162" s="97">
        <f t="shared" si="3"/>
        <v>3</v>
      </c>
      <c r="AL162" s="97">
        <f t="shared" si="3"/>
        <v>3</v>
      </c>
      <c r="AM162" s="97">
        <f t="shared" si="3"/>
        <v>0</v>
      </c>
      <c r="AN162" s="97">
        <f t="shared" si="3"/>
        <v>0</v>
      </c>
      <c r="AO162" s="97">
        <f t="shared" si="3"/>
        <v>0</v>
      </c>
      <c r="AP162" s="97">
        <f t="shared" si="3"/>
        <v>0</v>
      </c>
      <c r="AQ162" s="97">
        <f t="shared" si="3"/>
        <v>0</v>
      </c>
      <c r="AR162" s="97">
        <f t="shared" si="3"/>
        <v>3</v>
      </c>
      <c r="AS162" s="97">
        <f t="shared" si="3"/>
        <v>3</v>
      </c>
      <c r="AT162" s="97">
        <f t="shared" si="3"/>
        <v>3</v>
      </c>
      <c r="AU162" s="97">
        <f t="shared" si="3"/>
        <v>0</v>
      </c>
      <c r="AV162" s="97">
        <f t="shared" si="3"/>
        <v>3</v>
      </c>
      <c r="AW162" s="97">
        <f t="shared" si="3"/>
        <v>3</v>
      </c>
      <c r="AX162" s="97">
        <f t="shared" si="3"/>
        <v>3</v>
      </c>
      <c r="AY162" s="97">
        <f t="shared" si="3"/>
        <v>0</v>
      </c>
      <c r="AZ162" s="97">
        <f t="shared" si="3"/>
        <v>0</v>
      </c>
      <c r="BA162" s="97">
        <f t="shared" si="3"/>
        <v>0</v>
      </c>
      <c r="BB162" s="97">
        <f t="shared" si="3"/>
        <v>3</v>
      </c>
      <c r="BC162" s="97">
        <f t="shared" si="3"/>
        <v>3</v>
      </c>
      <c r="BD162" s="97">
        <f t="shared" si="3"/>
        <v>3</v>
      </c>
      <c r="BE162" s="97">
        <f t="shared" si="3"/>
        <v>0</v>
      </c>
      <c r="BF162" s="98">
        <f t="shared" si="3"/>
        <v>0</v>
      </c>
      <c r="BG162" s="95">
        <f t="shared" si="3"/>
        <v>54</v>
      </c>
      <c r="BJ162" s="35">
        <v>9</v>
      </c>
      <c r="BK162" s="36">
        <v>4</v>
      </c>
      <c r="BL162" s="36">
        <v>3</v>
      </c>
      <c r="BM162" s="37">
        <v>3</v>
      </c>
      <c r="BN162" s="39">
        <v>2</v>
      </c>
    </row>
    <row r="163" spans="1:66" s="3" customFormat="1" ht="18.5" customHeight="1" x14ac:dyDescent="0.2">
      <c r="A163" s="35">
        <v>3</v>
      </c>
      <c r="B163" s="36">
        <v>9</v>
      </c>
      <c r="C163" s="36">
        <v>2</v>
      </c>
      <c r="D163" s="37">
        <v>1</v>
      </c>
      <c r="R163" s="35">
        <v>9</v>
      </c>
      <c r="S163" s="36">
        <v>4</v>
      </c>
      <c r="T163" s="36">
        <v>2</v>
      </c>
      <c r="U163" s="37">
        <v>3</v>
      </c>
      <c r="BJ163" s="35">
        <v>9</v>
      </c>
      <c r="BK163" s="36">
        <v>4</v>
      </c>
      <c r="BL163" s="36">
        <v>4</v>
      </c>
      <c r="BM163" s="37">
        <v>3</v>
      </c>
      <c r="BN163" s="39">
        <v>2</v>
      </c>
    </row>
    <row r="164" spans="1:66" s="3" customFormat="1" ht="18.5" customHeight="1" x14ac:dyDescent="0.2">
      <c r="A164" s="35">
        <v>3</v>
      </c>
      <c r="B164" s="36">
        <v>9</v>
      </c>
      <c r="C164" s="36">
        <v>2</v>
      </c>
      <c r="D164" s="37">
        <v>2</v>
      </c>
      <c r="R164" s="35">
        <v>9</v>
      </c>
      <c r="S164" s="36">
        <v>4</v>
      </c>
      <c r="T164" s="36">
        <v>3</v>
      </c>
      <c r="U164" s="37">
        <v>3</v>
      </c>
      <c r="BJ164" s="35">
        <v>9</v>
      </c>
      <c r="BK164" s="36">
        <v>7</v>
      </c>
      <c r="BL164" s="36">
        <v>2</v>
      </c>
      <c r="BM164" s="37">
        <v>3</v>
      </c>
      <c r="BN164" s="39">
        <v>2</v>
      </c>
    </row>
    <row r="165" spans="1:66" s="3" customFormat="1" ht="19" customHeight="1" x14ac:dyDescent="0.2">
      <c r="A165" s="35">
        <v>3</v>
      </c>
      <c r="B165" s="36">
        <v>9</v>
      </c>
      <c r="C165" s="36">
        <v>2</v>
      </c>
      <c r="D165" s="37">
        <v>3</v>
      </c>
      <c r="R165" s="35">
        <v>9</v>
      </c>
      <c r="S165" s="36">
        <v>4</v>
      </c>
      <c r="T165" s="36">
        <v>4</v>
      </c>
      <c r="U165" s="37">
        <v>3</v>
      </c>
      <c r="AA165" s="8" t="s">
        <v>4</v>
      </c>
      <c r="BJ165" s="35">
        <v>9</v>
      </c>
      <c r="BK165" s="36">
        <v>7</v>
      </c>
      <c r="BL165" s="36">
        <v>3</v>
      </c>
      <c r="BM165" s="37">
        <v>3</v>
      </c>
      <c r="BN165" s="39">
        <v>2</v>
      </c>
    </row>
    <row r="166" spans="1:66" s="3" customFormat="1" ht="19" customHeight="1" x14ac:dyDescent="0.2">
      <c r="A166" s="35">
        <v>3</v>
      </c>
      <c r="B166" s="36">
        <v>9</v>
      </c>
      <c r="C166" s="36">
        <v>2</v>
      </c>
      <c r="D166" s="37">
        <v>4</v>
      </c>
      <c r="R166" s="35">
        <v>9</v>
      </c>
      <c r="S166" s="36">
        <v>7</v>
      </c>
      <c r="T166" s="36">
        <v>2</v>
      </c>
      <c r="U166" s="37">
        <v>3</v>
      </c>
      <c r="X166" s="8" t="s">
        <v>22</v>
      </c>
      <c r="BJ166" s="35">
        <v>9</v>
      </c>
      <c r="BK166" s="36">
        <v>7</v>
      </c>
      <c r="BL166" s="36">
        <v>4</v>
      </c>
      <c r="BM166" s="37">
        <v>3</v>
      </c>
      <c r="BN166" s="39">
        <v>2</v>
      </c>
    </row>
    <row r="167" spans="1:66" s="3" customFormat="1" ht="18.5" customHeight="1" x14ac:dyDescent="0.2">
      <c r="A167" s="35">
        <v>3</v>
      </c>
      <c r="B167" s="36">
        <v>9</v>
      </c>
      <c r="C167" s="36">
        <v>3</v>
      </c>
      <c r="D167" s="37">
        <v>1</v>
      </c>
      <c r="R167" s="35">
        <v>9</v>
      </c>
      <c r="S167" s="36">
        <v>7</v>
      </c>
      <c r="T167" s="36">
        <v>3</v>
      </c>
      <c r="U167" s="37">
        <v>3</v>
      </c>
      <c r="X167" s="28">
        <v>6</v>
      </c>
      <c r="AA167" s="100">
        <v>1</v>
      </c>
      <c r="AB167" s="100">
        <v>2</v>
      </c>
      <c r="BJ167" s="35">
        <v>9</v>
      </c>
      <c r="BK167" s="36">
        <v>9</v>
      </c>
      <c r="BL167" s="36">
        <v>2</v>
      </c>
      <c r="BM167" s="37">
        <v>3</v>
      </c>
      <c r="BN167" s="39">
        <v>2</v>
      </c>
    </row>
    <row r="168" spans="1:66" s="3" customFormat="1" ht="18" customHeight="1" x14ac:dyDescent="0.2">
      <c r="A168" s="35">
        <v>3</v>
      </c>
      <c r="B168" s="36">
        <v>9</v>
      </c>
      <c r="C168" s="36">
        <v>3</v>
      </c>
      <c r="D168" s="37">
        <v>2</v>
      </c>
      <c r="R168" s="35">
        <v>9</v>
      </c>
      <c r="S168" s="36">
        <v>7</v>
      </c>
      <c r="T168" s="36">
        <v>4</v>
      </c>
      <c r="U168" s="37">
        <v>3</v>
      </c>
      <c r="X168" s="39">
        <v>7</v>
      </c>
      <c r="AA168" s="100">
        <v>1</v>
      </c>
      <c r="AB168" s="100">
        <v>3</v>
      </c>
      <c r="BJ168" s="35">
        <v>9</v>
      </c>
      <c r="BK168" s="36">
        <v>9</v>
      </c>
      <c r="BL168" s="36">
        <v>3</v>
      </c>
      <c r="BM168" s="37">
        <v>3</v>
      </c>
      <c r="BN168" s="39">
        <v>2</v>
      </c>
    </row>
    <row r="169" spans="1:66" s="3" customFormat="1" ht="18.5" customHeight="1" x14ac:dyDescent="0.2">
      <c r="A169" s="35">
        <v>3</v>
      </c>
      <c r="B169" s="36">
        <v>9</v>
      </c>
      <c r="C169" s="36">
        <v>3</v>
      </c>
      <c r="D169" s="37">
        <v>3</v>
      </c>
      <c r="R169" s="35">
        <v>9</v>
      </c>
      <c r="S169" s="36">
        <v>9</v>
      </c>
      <c r="T169" s="36">
        <v>2</v>
      </c>
      <c r="U169" s="37">
        <v>3</v>
      </c>
      <c r="X169" s="56">
        <v>8</v>
      </c>
      <c r="AA169" s="100">
        <v>1</v>
      </c>
      <c r="AB169" s="100">
        <v>4</v>
      </c>
      <c r="BJ169" s="35">
        <v>9</v>
      </c>
      <c r="BK169" s="36">
        <v>9</v>
      </c>
      <c r="BL169" s="36">
        <v>4</v>
      </c>
      <c r="BM169" s="37">
        <v>3</v>
      </c>
      <c r="BN169" s="39">
        <v>2</v>
      </c>
    </row>
    <row r="170" spans="1:66" s="3" customFormat="1" ht="18.5" customHeight="1" x14ac:dyDescent="0.2">
      <c r="A170" s="35">
        <v>3</v>
      </c>
      <c r="B170" s="36">
        <v>9</v>
      </c>
      <c r="C170" s="36">
        <v>3</v>
      </c>
      <c r="D170" s="37">
        <v>4</v>
      </c>
      <c r="R170" s="35">
        <v>9</v>
      </c>
      <c r="S170" s="36">
        <v>9</v>
      </c>
      <c r="T170" s="36">
        <v>3</v>
      </c>
      <c r="U170" s="37">
        <v>3</v>
      </c>
      <c r="AA170" s="100">
        <v>2</v>
      </c>
      <c r="AB170" s="100">
        <v>2</v>
      </c>
      <c r="BJ170" s="35">
        <v>10</v>
      </c>
      <c r="BK170" s="36">
        <v>4</v>
      </c>
      <c r="BL170" s="36">
        <v>3</v>
      </c>
      <c r="BM170" s="37">
        <v>3</v>
      </c>
      <c r="BN170" s="39">
        <v>82</v>
      </c>
    </row>
    <row r="171" spans="1:66" s="3" customFormat="1" ht="18" customHeight="1" x14ac:dyDescent="0.2">
      <c r="A171" s="35">
        <v>4</v>
      </c>
      <c r="B171" s="36">
        <v>1</v>
      </c>
      <c r="C171" s="36">
        <v>1</v>
      </c>
      <c r="D171" s="37">
        <v>1</v>
      </c>
      <c r="R171" s="35">
        <v>9</v>
      </c>
      <c r="S171" s="36">
        <v>9</v>
      </c>
      <c r="T171" s="36">
        <v>4</v>
      </c>
      <c r="U171" s="37">
        <v>3</v>
      </c>
      <c r="AA171" s="100">
        <v>2</v>
      </c>
      <c r="AB171" s="100">
        <v>3</v>
      </c>
      <c r="BJ171" s="35">
        <v>10</v>
      </c>
      <c r="BK171" s="36">
        <v>4</v>
      </c>
      <c r="BL171" s="36">
        <v>4</v>
      </c>
      <c r="BM171" s="37">
        <v>3</v>
      </c>
      <c r="BN171" s="39">
        <v>82</v>
      </c>
    </row>
    <row r="172" spans="1:66" s="3" customFormat="1" ht="18" customHeight="1" x14ac:dyDescent="0.2">
      <c r="A172" s="35">
        <v>4</v>
      </c>
      <c r="B172" s="36">
        <v>1</v>
      </c>
      <c r="C172" s="36">
        <v>1</v>
      </c>
      <c r="D172" s="37">
        <v>2</v>
      </c>
      <c r="R172" s="35">
        <v>10</v>
      </c>
      <c r="S172" s="36">
        <v>4</v>
      </c>
      <c r="T172" s="36">
        <v>3</v>
      </c>
      <c r="U172" s="37">
        <v>2</v>
      </c>
      <c r="AA172" s="100">
        <v>2</v>
      </c>
      <c r="AB172" s="100">
        <v>4</v>
      </c>
      <c r="BJ172" s="35">
        <v>11</v>
      </c>
      <c r="BK172" s="36">
        <v>1</v>
      </c>
      <c r="BL172" s="36">
        <v>3</v>
      </c>
      <c r="BM172" s="37">
        <v>3</v>
      </c>
      <c r="BN172" s="39">
        <v>7</v>
      </c>
    </row>
    <row r="173" spans="1:66" s="3" customFormat="1" ht="18" customHeight="1" x14ac:dyDescent="0.2">
      <c r="A173" s="35">
        <v>4</v>
      </c>
      <c r="B173" s="36">
        <v>1</v>
      </c>
      <c r="C173" s="36">
        <v>1</v>
      </c>
      <c r="D173" s="37">
        <v>3</v>
      </c>
      <c r="R173" s="35">
        <v>10</v>
      </c>
      <c r="S173" s="36">
        <v>4</v>
      </c>
      <c r="T173" s="36">
        <v>4</v>
      </c>
      <c r="U173" s="37">
        <v>2</v>
      </c>
      <c r="AA173" s="100">
        <v>4</v>
      </c>
      <c r="AB173" s="100">
        <v>2</v>
      </c>
      <c r="BJ173" s="35">
        <v>11</v>
      </c>
      <c r="BK173" s="36">
        <v>1</v>
      </c>
      <c r="BL173" s="36">
        <v>4</v>
      </c>
      <c r="BM173" s="37">
        <v>3</v>
      </c>
      <c r="BN173" s="39">
        <v>7</v>
      </c>
    </row>
    <row r="174" spans="1:66" s="3" customFormat="1" ht="18" customHeight="1" x14ac:dyDescent="0.2">
      <c r="A174" s="35">
        <v>4</v>
      </c>
      <c r="B174" s="36">
        <v>1</v>
      </c>
      <c r="C174" s="36">
        <v>1</v>
      </c>
      <c r="D174" s="37">
        <v>4</v>
      </c>
      <c r="R174" s="35">
        <v>11</v>
      </c>
      <c r="S174" s="36">
        <v>1</v>
      </c>
      <c r="T174" s="36">
        <v>3</v>
      </c>
      <c r="U174" s="37">
        <v>2</v>
      </c>
      <c r="AA174" s="100">
        <v>4</v>
      </c>
      <c r="AB174" s="100">
        <v>3</v>
      </c>
      <c r="BJ174" s="35">
        <v>11</v>
      </c>
      <c r="BK174" s="36">
        <v>2</v>
      </c>
      <c r="BL174" s="36">
        <v>3</v>
      </c>
      <c r="BM174" s="37">
        <v>3</v>
      </c>
      <c r="BN174" s="39">
        <v>7</v>
      </c>
    </row>
    <row r="175" spans="1:66" s="3" customFormat="1" ht="18" customHeight="1" x14ac:dyDescent="0.2">
      <c r="A175" s="35">
        <v>4</v>
      </c>
      <c r="B175" s="36">
        <v>1</v>
      </c>
      <c r="C175" s="36">
        <v>2</v>
      </c>
      <c r="D175" s="37">
        <v>1</v>
      </c>
      <c r="R175" s="35">
        <v>11</v>
      </c>
      <c r="S175" s="36">
        <v>1</v>
      </c>
      <c r="T175" s="36">
        <v>4</v>
      </c>
      <c r="U175" s="37">
        <v>2</v>
      </c>
      <c r="AA175" s="100">
        <v>4</v>
      </c>
      <c r="AB175" s="100">
        <v>4</v>
      </c>
      <c r="BJ175" s="35">
        <v>11</v>
      </c>
      <c r="BK175" s="36">
        <v>2</v>
      </c>
      <c r="BL175" s="36">
        <v>4</v>
      </c>
      <c r="BM175" s="37">
        <v>3</v>
      </c>
      <c r="BN175" s="39">
        <v>7</v>
      </c>
    </row>
    <row r="176" spans="1:66" s="3" customFormat="1" ht="18" customHeight="1" x14ac:dyDescent="0.2">
      <c r="A176" s="35">
        <v>4</v>
      </c>
      <c r="B176" s="36">
        <v>1</v>
      </c>
      <c r="C176" s="36">
        <v>2</v>
      </c>
      <c r="D176" s="37">
        <v>2</v>
      </c>
      <c r="R176" s="35">
        <v>11</v>
      </c>
      <c r="S176" s="36">
        <v>2</v>
      </c>
      <c r="T176" s="36">
        <v>3</v>
      </c>
      <c r="U176" s="37">
        <v>2</v>
      </c>
      <c r="AA176" s="100">
        <v>6</v>
      </c>
      <c r="AB176" s="100">
        <v>2</v>
      </c>
      <c r="BJ176" s="35">
        <v>11</v>
      </c>
      <c r="BK176" s="36">
        <v>3</v>
      </c>
      <c r="BL176" s="36">
        <v>3</v>
      </c>
      <c r="BM176" s="37">
        <v>3</v>
      </c>
      <c r="BN176" s="39">
        <v>7</v>
      </c>
    </row>
    <row r="177" spans="1:66" s="3" customFormat="1" ht="18" customHeight="1" x14ac:dyDescent="0.2">
      <c r="A177" s="35">
        <v>4</v>
      </c>
      <c r="B177" s="36">
        <v>1</v>
      </c>
      <c r="C177" s="36">
        <v>2</v>
      </c>
      <c r="D177" s="37">
        <v>3</v>
      </c>
      <c r="R177" s="35">
        <v>11</v>
      </c>
      <c r="S177" s="36">
        <v>2</v>
      </c>
      <c r="T177" s="36">
        <v>4</v>
      </c>
      <c r="U177" s="37">
        <v>2</v>
      </c>
      <c r="AA177" s="100">
        <v>6</v>
      </c>
      <c r="AB177" s="100">
        <v>3</v>
      </c>
      <c r="BJ177" s="35">
        <v>11</v>
      </c>
      <c r="BK177" s="36">
        <v>3</v>
      </c>
      <c r="BL177" s="36">
        <v>4</v>
      </c>
      <c r="BM177" s="37">
        <v>3</v>
      </c>
      <c r="BN177" s="39">
        <v>7</v>
      </c>
    </row>
    <row r="178" spans="1:66" s="3" customFormat="1" ht="18" customHeight="1" x14ac:dyDescent="0.2">
      <c r="A178" s="35">
        <v>4</v>
      </c>
      <c r="B178" s="36">
        <v>1</v>
      </c>
      <c r="C178" s="36">
        <v>2</v>
      </c>
      <c r="D178" s="37">
        <v>4</v>
      </c>
      <c r="R178" s="35">
        <v>11</v>
      </c>
      <c r="S178" s="36">
        <v>3</v>
      </c>
      <c r="T178" s="36">
        <v>3</v>
      </c>
      <c r="U178" s="37">
        <v>2</v>
      </c>
      <c r="AA178" s="100">
        <v>6</v>
      </c>
      <c r="AB178" s="100">
        <v>4</v>
      </c>
      <c r="BJ178" s="35">
        <v>11</v>
      </c>
      <c r="BK178" s="36">
        <v>4</v>
      </c>
      <c r="BL178" s="36">
        <v>3</v>
      </c>
      <c r="BM178" s="37">
        <v>3</v>
      </c>
      <c r="BN178" s="39">
        <v>7</v>
      </c>
    </row>
    <row r="179" spans="1:66" s="3" customFormat="1" ht="18" customHeight="1" x14ac:dyDescent="0.2">
      <c r="A179" s="35">
        <v>4</v>
      </c>
      <c r="B179" s="36">
        <v>1</v>
      </c>
      <c r="C179" s="36">
        <v>3</v>
      </c>
      <c r="D179" s="37">
        <v>1</v>
      </c>
      <c r="R179" s="35">
        <v>11</v>
      </c>
      <c r="S179" s="36">
        <v>3</v>
      </c>
      <c r="T179" s="36">
        <v>4</v>
      </c>
      <c r="U179" s="37">
        <v>2</v>
      </c>
      <c r="AA179" s="100">
        <v>7</v>
      </c>
      <c r="AB179" s="100">
        <v>2</v>
      </c>
      <c r="BJ179" s="35">
        <v>11</v>
      </c>
      <c r="BK179" s="36">
        <v>4</v>
      </c>
      <c r="BL179" s="36">
        <v>4</v>
      </c>
      <c r="BM179" s="37">
        <v>3</v>
      </c>
      <c r="BN179" s="39">
        <v>7</v>
      </c>
    </row>
    <row r="180" spans="1:66" s="3" customFormat="1" ht="18" customHeight="1" x14ac:dyDescent="0.2">
      <c r="A180" s="35">
        <v>4</v>
      </c>
      <c r="B180" s="36">
        <v>1</v>
      </c>
      <c r="C180" s="36">
        <v>3</v>
      </c>
      <c r="D180" s="37">
        <v>2</v>
      </c>
      <c r="R180" s="35">
        <v>11</v>
      </c>
      <c r="S180" s="36">
        <v>4</v>
      </c>
      <c r="T180" s="36">
        <v>3</v>
      </c>
      <c r="U180" s="37">
        <v>2</v>
      </c>
      <c r="AA180" s="100">
        <v>7</v>
      </c>
      <c r="AB180" s="100">
        <v>3</v>
      </c>
      <c r="BJ180" s="35">
        <v>11</v>
      </c>
      <c r="BK180" s="36">
        <v>5</v>
      </c>
      <c r="BL180" s="36">
        <v>3</v>
      </c>
      <c r="BM180" s="37">
        <v>3</v>
      </c>
      <c r="BN180" s="39">
        <v>7</v>
      </c>
    </row>
    <row r="181" spans="1:66" s="3" customFormat="1" ht="18" customHeight="1" x14ac:dyDescent="0.2">
      <c r="A181" s="35">
        <v>4</v>
      </c>
      <c r="B181" s="36">
        <v>1</v>
      </c>
      <c r="C181" s="36">
        <v>3</v>
      </c>
      <c r="D181" s="37">
        <v>3</v>
      </c>
      <c r="R181" s="35">
        <v>11</v>
      </c>
      <c r="S181" s="36">
        <v>4</v>
      </c>
      <c r="T181" s="36">
        <v>4</v>
      </c>
      <c r="U181" s="37">
        <v>2</v>
      </c>
      <c r="AA181" s="100">
        <v>7</v>
      </c>
      <c r="AB181" s="100">
        <v>4</v>
      </c>
      <c r="BJ181" s="35">
        <v>11</v>
      </c>
      <c r="BK181" s="36">
        <v>5</v>
      </c>
      <c r="BL181" s="36">
        <v>4</v>
      </c>
      <c r="BM181" s="37">
        <v>3</v>
      </c>
      <c r="BN181" s="39">
        <v>7</v>
      </c>
    </row>
    <row r="182" spans="1:66" s="3" customFormat="1" ht="18" customHeight="1" x14ac:dyDescent="0.2">
      <c r="A182" s="35">
        <v>4</v>
      </c>
      <c r="B182" s="36">
        <v>1</v>
      </c>
      <c r="C182" s="36">
        <v>3</v>
      </c>
      <c r="D182" s="37">
        <v>4</v>
      </c>
      <c r="R182" s="35">
        <v>11</v>
      </c>
      <c r="S182" s="36">
        <v>5</v>
      </c>
      <c r="T182" s="36">
        <v>3</v>
      </c>
      <c r="U182" s="37">
        <v>2</v>
      </c>
      <c r="AA182" s="100">
        <v>9</v>
      </c>
      <c r="AB182" s="100">
        <v>2</v>
      </c>
      <c r="BJ182" s="35">
        <v>11</v>
      </c>
      <c r="BK182" s="36">
        <v>6</v>
      </c>
      <c r="BL182" s="36">
        <v>3</v>
      </c>
      <c r="BM182" s="37">
        <v>2</v>
      </c>
      <c r="BN182" s="39">
        <v>7</v>
      </c>
    </row>
    <row r="183" spans="1:66" s="3" customFormat="1" ht="18" customHeight="1" x14ac:dyDescent="0.2">
      <c r="A183" s="35">
        <v>4</v>
      </c>
      <c r="B183" s="36">
        <v>2</v>
      </c>
      <c r="C183" s="36">
        <v>1</v>
      </c>
      <c r="D183" s="37">
        <v>1</v>
      </c>
      <c r="R183" s="35">
        <v>11</v>
      </c>
      <c r="S183" s="36">
        <v>5</v>
      </c>
      <c r="T183" s="36">
        <v>4</v>
      </c>
      <c r="U183" s="37">
        <v>2</v>
      </c>
      <c r="AA183" s="100">
        <v>9</v>
      </c>
      <c r="AB183" s="100">
        <v>3</v>
      </c>
      <c r="BJ183" s="35">
        <v>11</v>
      </c>
      <c r="BK183" s="36">
        <v>6</v>
      </c>
      <c r="BL183" s="36">
        <v>4</v>
      </c>
      <c r="BM183" s="37">
        <v>2</v>
      </c>
      <c r="BN183" s="39">
        <v>7</v>
      </c>
    </row>
    <row r="184" spans="1:66" s="3" customFormat="1" ht="18" customHeight="1" x14ac:dyDescent="0.2">
      <c r="A184" s="35">
        <v>4</v>
      </c>
      <c r="B184" s="36">
        <v>2</v>
      </c>
      <c r="C184" s="36">
        <v>1</v>
      </c>
      <c r="D184" s="37">
        <v>2</v>
      </c>
      <c r="R184" s="35">
        <v>11</v>
      </c>
      <c r="S184" s="36">
        <v>6</v>
      </c>
      <c r="T184" s="36">
        <v>3</v>
      </c>
      <c r="U184" s="37">
        <v>2</v>
      </c>
      <c r="AA184" s="100">
        <v>9</v>
      </c>
      <c r="AB184" s="100">
        <v>4</v>
      </c>
      <c r="BJ184" s="35">
        <v>11</v>
      </c>
      <c r="BK184" s="36">
        <v>7</v>
      </c>
      <c r="BL184" s="36">
        <v>3</v>
      </c>
      <c r="BM184" s="37">
        <v>2</v>
      </c>
      <c r="BN184" s="39">
        <v>7</v>
      </c>
    </row>
    <row r="185" spans="1:66" s="3" customFormat="1" ht="18" customHeight="1" x14ac:dyDescent="0.2">
      <c r="A185" s="35">
        <v>4</v>
      </c>
      <c r="B185" s="36">
        <v>2</v>
      </c>
      <c r="C185" s="36">
        <v>1</v>
      </c>
      <c r="D185" s="37">
        <v>3</v>
      </c>
      <c r="R185" s="35">
        <v>11</v>
      </c>
      <c r="S185" s="36">
        <v>6</v>
      </c>
      <c r="T185" s="36">
        <v>4</v>
      </c>
      <c r="U185" s="37">
        <v>2</v>
      </c>
      <c r="BJ185" s="35">
        <v>11</v>
      </c>
      <c r="BK185" s="36">
        <v>7</v>
      </c>
      <c r="BL185" s="36">
        <v>4</v>
      </c>
      <c r="BM185" s="37">
        <v>2</v>
      </c>
      <c r="BN185" s="39">
        <v>7</v>
      </c>
    </row>
    <row r="186" spans="1:66" s="3" customFormat="1" ht="18" customHeight="1" x14ac:dyDescent="0.2">
      <c r="A186" s="35">
        <v>4</v>
      </c>
      <c r="B186" s="36">
        <v>2</v>
      </c>
      <c r="C186" s="36">
        <v>1</v>
      </c>
      <c r="D186" s="37">
        <v>4</v>
      </c>
      <c r="R186" s="35">
        <v>11</v>
      </c>
      <c r="S186" s="36">
        <v>7</v>
      </c>
      <c r="T186" s="36">
        <v>3</v>
      </c>
      <c r="U186" s="37">
        <v>2</v>
      </c>
      <c r="BJ186" s="35">
        <v>11</v>
      </c>
      <c r="BK186" s="36">
        <v>8</v>
      </c>
      <c r="BL186" s="36">
        <v>3</v>
      </c>
      <c r="BM186" s="37">
        <v>2</v>
      </c>
      <c r="BN186" s="39">
        <v>7</v>
      </c>
    </row>
    <row r="187" spans="1:66" s="3" customFormat="1" ht="18.5" customHeight="1" x14ac:dyDescent="0.2">
      <c r="A187" s="35">
        <v>4</v>
      </c>
      <c r="B187" s="36">
        <v>2</v>
      </c>
      <c r="C187" s="36">
        <v>2</v>
      </c>
      <c r="D187" s="37">
        <v>1</v>
      </c>
      <c r="R187" s="35">
        <v>11</v>
      </c>
      <c r="S187" s="36">
        <v>7</v>
      </c>
      <c r="T187" s="36">
        <v>4</v>
      </c>
      <c r="U187" s="37">
        <v>2</v>
      </c>
      <c r="BJ187" s="35">
        <v>11</v>
      </c>
      <c r="BK187" s="36">
        <v>8</v>
      </c>
      <c r="BL187" s="36">
        <v>4</v>
      </c>
      <c r="BM187" s="37">
        <v>2</v>
      </c>
      <c r="BN187" s="39">
        <v>7</v>
      </c>
    </row>
    <row r="188" spans="1:66" s="3" customFormat="1" ht="19" customHeight="1" x14ac:dyDescent="0.2">
      <c r="A188" s="35">
        <v>4</v>
      </c>
      <c r="B188" s="36">
        <v>2</v>
      </c>
      <c r="C188" s="36">
        <v>2</v>
      </c>
      <c r="D188" s="37">
        <v>2</v>
      </c>
      <c r="R188" s="35">
        <v>11</v>
      </c>
      <c r="S188" s="36">
        <v>8</v>
      </c>
      <c r="T188" s="36">
        <v>3</v>
      </c>
      <c r="U188" s="37">
        <v>2</v>
      </c>
      <c r="Y188" s="23">
        <v>1</v>
      </c>
      <c r="Z188" s="24">
        <v>1</v>
      </c>
      <c r="AA188" s="24">
        <v>1</v>
      </c>
      <c r="AB188" s="24">
        <v>1</v>
      </c>
      <c r="AC188" s="24">
        <v>2</v>
      </c>
      <c r="AD188" s="24">
        <v>2</v>
      </c>
      <c r="AE188" s="24">
        <v>2</v>
      </c>
      <c r="AF188" s="24">
        <v>2</v>
      </c>
      <c r="AG188" s="24">
        <v>3</v>
      </c>
      <c r="AH188" s="24">
        <v>3</v>
      </c>
      <c r="AI188" s="24">
        <v>4</v>
      </c>
      <c r="AJ188" s="24">
        <v>4</v>
      </c>
      <c r="AK188" s="24">
        <v>4</v>
      </c>
      <c r="AL188" s="24">
        <v>4</v>
      </c>
      <c r="AM188" s="24">
        <v>5</v>
      </c>
      <c r="AN188" s="24">
        <v>5</v>
      </c>
      <c r="AO188" s="24">
        <v>5</v>
      </c>
      <c r="AP188" s="24">
        <v>5</v>
      </c>
      <c r="AQ188" s="24">
        <v>6</v>
      </c>
      <c r="AR188" s="24">
        <v>6</v>
      </c>
      <c r="AS188" s="24">
        <v>6</v>
      </c>
      <c r="AT188" s="24">
        <v>6</v>
      </c>
      <c r="AU188" s="24">
        <v>7</v>
      </c>
      <c r="AV188" s="24">
        <v>7</v>
      </c>
      <c r="AW188" s="24">
        <v>7</v>
      </c>
      <c r="AX188" s="24">
        <v>7</v>
      </c>
      <c r="AY188" s="24">
        <v>8</v>
      </c>
      <c r="AZ188" s="24">
        <v>8</v>
      </c>
      <c r="BA188" s="24">
        <v>9</v>
      </c>
      <c r="BB188" s="24">
        <v>9</v>
      </c>
      <c r="BC188" s="24">
        <v>9</v>
      </c>
      <c r="BD188" s="24">
        <v>9</v>
      </c>
      <c r="BE188" s="24">
        <v>10</v>
      </c>
      <c r="BF188" s="25">
        <v>10</v>
      </c>
      <c r="BJ188" s="35">
        <v>11</v>
      </c>
      <c r="BK188" s="36">
        <v>9</v>
      </c>
      <c r="BL188" s="36">
        <v>3</v>
      </c>
      <c r="BM188" s="37">
        <v>2</v>
      </c>
      <c r="BN188" s="39">
        <v>7</v>
      </c>
    </row>
    <row r="189" spans="1:66" s="3" customFormat="1" ht="19" customHeight="1" x14ac:dyDescent="0.2">
      <c r="A189" s="35">
        <v>4</v>
      </c>
      <c r="B189" s="36">
        <v>2</v>
      </c>
      <c r="C189" s="36">
        <v>2</v>
      </c>
      <c r="D189" s="37">
        <v>3</v>
      </c>
      <c r="R189" s="35">
        <v>11</v>
      </c>
      <c r="S189" s="36">
        <v>8</v>
      </c>
      <c r="T189" s="36">
        <v>4</v>
      </c>
      <c r="U189" s="37">
        <v>2</v>
      </c>
      <c r="X189" s="8" t="s">
        <v>22</v>
      </c>
      <c r="Y189" s="32">
        <v>1</v>
      </c>
      <c r="Z189" s="33">
        <v>2</v>
      </c>
      <c r="AA189" s="33">
        <v>3</v>
      </c>
      <c r="AB189" s="33">
        <v>4</v>
      </c>
      <c r="AC189" s="33">
        <v>1</v>
      </c>
      <c r="AD189" s="33">
        <v>2</v>
      </c>
      <c r="AE189" s="33">
        <v>3</v>
      </c>
      <c r="AF189" s="33">
        <v>4</v>
      </c>
      <c r="AG189" s="33">
        <v>3</v>
      </c>
      <c r="AH189" s="33">
        <v>4</v>
      </c>
      <c r="AI189" s="33">
        <v>1</v>
      </c>
      <c r="AJ189" s="33">
        <v>2</v>
      </c>
      <c r="AK189" s="33">
        <v>3</v>
      </c>
      <c r="AL189" s="33">
        <v>4</v>
      </c>
      <c r="AM189" s="33">
        <v>1</v>
      </c>
      <c r="AN189" s="33">
        <v>2</v>
      </c>
      <c r="AO189" s="33">
        <v>3</v>
      </c>
      <c r="AP189" s="33">
        <v>4</v>
      </c>
      <c r="AQ189" s="33">
        <v>1</v>
      </c>
      <c r="AR189" s="33">
        <v>2</v>
      </c>
      <c r="AS189" s="33">
        <v>3</v>
      </c>
      <c r="AT189" s="33">
        <v>4</v>
      </c>
      <c r="AU189" s="33">
        <v>1</v>
      </c>
      <c r="AV189" s="33">
        <v>2</v>
      </c>
      <c r="AW189" s="33">
        <v>3</v>
      </c>
      <c r="AX189" s="33">
        <v>4</v>
      </c>
      <c r="AY189" s="33">
        <v>3</v>
      </c>
      <c r="AZ189" s="33">
        <v>4</v>
      </c>
      <c r="BA189" s="33">
        <v>1</v>
      </c>
      <c r="BB189" s="33">
        <v>2</v>
      </c>
      <c r="BC189" s="33">
        <v>3</v>
      </c>
      <c r="BD189" s="33">
        <v>4</v>
      </c>
      <c r="BE189" s="33">
        <v>3</v>
      </c>
      <c r="BF189" s="34">
        <v>4</v>
      </c>
      <c r="BG189" s="8" t="s">
        <v>74</v>
      </c>
      <c r="BJ189" s="35">
        <v>11</v>
      </c>
      <c r="BK189" s="36">
        <v>9</v>
      </c>
      <c r="BL189" s="36">
        <v>4</v>
      </c>
      <c r="BM189" s="37">
        <v>2</v>
      </c>
      <c r="BN189" s="39">
        <v>7</v>
      </c>
    </row>
    <row r="190" spans="1:66" s="3" customFormat="1" ht="18.5" customHeight="1" x14ac:dyDescent="0.2">
      <c r="A190" s="35">
        <v>4</v>
      </c>
      <c r="B190" s="36">
        <v>2</v>
      </c>
      <c r="C190" s="36">
        <v>2</v>
      </c>
      <c r="D190" s="37">
        <v>4</v>
      </c>
      <c r="R190" s="35">
        <v>11</v>
      </c>
      <c r="S190" s="36">
        <v>9</v>
      </c>
      <c r="T190" s="36">
        <v>3</v>
      </c>
      <c r="U190" s="37">
        <v>2</v>
      </c>
      <c r="X190" s="28">
        <v>15</v>
      </c>
      <c r="Y190" s="23">
        <v>0</v>
      </c>
      <c r="Z190" s="24">
        <v>0</v>
      </c>
      <c r="AA190" s="24">
        <v>1</v>
      </c>
      <c r="AB190" s="24">
        <v>1</v>
      </c>
      <c r="AC190" s="24">
        <v>0</v>
      </c>
      <c r="AD190" s="24">
        <v>0</v>
      </c>
      <c r="AE190" s="24">
        <v>1</v>
      </c>
      <c r="AF190" s="24">
        <v>1</v>
      </c>
      <c r="AG190" s="24">
        <v>0</v>
      </c>
      <c r="AH190" s="24">
        <v>0</v>
      </c>
      <c r="AI190" s="24">
        <v>0</v>
      </c>
      <c r="AJ190" s="24">
        <v>0</v>
      </c>
      <c r="AK190" s="24">
        <v>1</v>
      </c>
      <c r="AL190" s="24">
        <v>1</v>
      </c>
      <c r="AM190" s="24">
        <v>0</v>
      </c>
      <c r="AN190" s="24">
        <v>0</v>
      </c>
      <c r="AO190" s="24">
        <v>0</v>
      </c>
      <c r="AP190" s="24">
        <v>0</v>
      </c>
      <c r="AQ190" s="24">
        <v>0</v>
      </c>
      <c r="AR190" s="24">
        <v>0</v>
      </c>
      <c r="AS190" s="24">
        <v>1</v>
      </c>
      <c r="AT190" s="24">
        <v>1</v>
      </c>
      <c r="AU190" s="24">
        <v>0</v>
      </c>
      <c r="AV190" s="24">
        <v>0</v>
      </c>
      <c r="AW190" s="24">
        <v>1</v>
      </c>
      <c r="AX190" s="24">
        <v>1</v>
      </c>
      <c r="AY190" s="24">
        <v>0</v>
      </c>
      <c r="AZ190" s="24">
        <v>0</v>
      </c>
      <c r="BA190" s="24">
        <v>0</v>
      </c>
      <c r="BB190" s="24">
        <v>0</v>
      </c>
      <c r="BC190" s="24">
        <v>1</v>
      </c>
      <c r="BD190" s="24">
        <v>1</v>
      </c>
      <c r="BE190" s="24">
        <v>0</v>
      </c>
      <c r="BF190" s="25">
        <v>0</v>
      </c>
      <c r="BG190" s="28">
        <v>12</v>
      </c>
      <c r="BJ190" s="35">
        <v>11</v>
      </c>
      <c r="BK190" s="36">
        <v>10</v>
      </c>
      <c r="BL190" s="36">
        <v>3</v>
      </c>
      <c r="BM190" s="37">
        <v>2</v>
      </c>
      <c r="BN190" s="39">
        <v>7</v>
      </c>
    </row>
    <row r="191" spans="1:66" s="3" customFormat="1" ht="18" customHeight="1" x14ac:dyDescent="0.2">
      <c r="A191" s="35">
        <v>4</v>
      </c>
      <c r="B191" s="36">
        <v>2</v>
      </c>
      <c r="C191" s="36">
        <v>3</v>
      </c>
      <c r="D191" s="37">
        <v>1</v>
      </c>
      <c r="R191" s="35">
        <v>11</v>
      </c>
      <c r="S191" s="36">
        <v>9</v>
      </c>
      <c r="T191" s="36">
        <v>4</v>
      </c>
      <c r="U191" s="37">
        <v>2</v>
      </c>
      <c r="X191" s="39">
        <v>20</v>
      </c>
      <c r="Y191" s="35">
        <v>0</v>
      </c>
      <c r="Z191" s="36">
        <v>0</v>
      </c>
      <c r="AA191" s="36">
        <v>1</v>
      </c>
      <c r="AB191" s="36">
        <v>1</v>
      </c>
      <c r="AC191" s="36">
        <v>0</v>
      </c>
      <c r="AD191" s="36">
        <v>0</v>
      </c>
      <c r="AE191" s="36">
        <v>1</v>
      </c>
      <c r="AF191" s="36">
        <v>1</v>
      </c>
      <c r="AG191" s="36">
        <v>0</v>
      </c>
      <c r="AH191" s="36">
        <v>0</v>
      </c>
      <c r="AI191" s="36">
        <v>0</v>
      </c>
      <c r="AJ191" s="36">
        <v>0</v>
      </c>
      <c r="AK191" s="36">
        <v>1</v>
      </c>
      <c r="AL191" s="36">
        <v>1</v>
      </c>
      <c r="AM191" s="36">
        <v>0</v>
      </c>
      <c r="AN191" s="36">
        <v>0</v>
      </c>
      <c r="AO191" s="36">
        <v>0</v>
      </c>
      <c r="AP191" s="36">
        <v>0</v>
      </c>
      <c r="AQ191" s="36">
        <v>0</v>
      </c>
      <c r="AR191" s="36">
        <v>0</v>
      </c>
      <c r="AS191" s="36">
        <v>1</v>
      </c>
      <c r="AT191" s="36">
        <v>1</v>
      </c>
      <c r="AU191" s="36">
        <v>0</v>
      </c>
      <c r="AV191" s="36">
        <v>0</v>
      </c>
      <c r="AW191" s="36">
        <v>1</v>
      </c>
      <c r="AX191" s="36">
        <v>1</v>
      </c>
      <c r="AY191" s="36">
        <v>0</v>
      </c>
      <c r="AZ191" s="36">
        <v>0</v>
      </c>
      <c r="BA191" s="36">
        <v>0</v>
      </c>
      <c r="BB191" s="36">
        <v>0</v>
      </c>
      <c r="BC191" s="36">
        <v>1</v>
      </c>
      <c r="BD191" s="36">
        <v>1</v>
      </c>
      <c r="BE191" s="36">
        <v>0</v>
      </c>
      <c r="BF191" s="37">
        <v>0</v>
      </c>
      <c r="BG191" s="39">
        <v>12</v>
      </c>
      <c r="BJ191" s="35">
        <v>11</v>
      </c>
      <c r="BK191" s="36">
        <v>10</v>
      </c>
      <c r="BL191" s="36">
        <v>4</v>
      </c>
      <c r="BM191" s="37">
        <v>2</v>
      </c>
      <c r="BN191" s="39">
        <v>7</v>
      </c>
    </row>
    <row r="192" spans="1:66" s="3" customFormat="1" ht="18" customHeight="1" x14ac:dyDescent="0.2">
      <c r="A192" s="35">
        <v>4</v>
      </c>
      <c r="B192" s="36">
        <v>2</v>
      </c>
      <c r="C192" s="36">
        <v>3</v>
      </c>
      <c r="D192" s="37">
        <v>2</v>
      </c>
      <c r="R192" s="35">
        <v>11</v>
      </c>
      <c r="S192" s="36">
        <v>10</v>
      </c>
      <c r="T192" s="36">
        <v>3</v>
      </c>
      <c r="U192" s="37">
        <v>2</v>
      </c>
      <c r="X192" s="39">
        <v>23</v>
      </c>
      <c r="Y192" s="35">
        <v>0</v>
      </c>
      <c r="Z192" s="36">
        <v>0</v>
      </c>
      <c r="AA192" s="36">
        <v>1</v>
      </c>
      <c r="AB192" s="36">
        <v>1</v>
      </c>
      <c r="AC192" s="36">
        <v>0</v>
      </c>
      <c r="AD192" s="36">
        <v>0</v>
      </c>
      <c r="AE192" s="36">
        <v>1</v>
      </c>
      <c r="AF192" s="36">
        <v>1</v>
      </c>
      <c r="AG192" s="36">
        <v>0</v>
      </c>
      <c r="AH192" s="36">
        <v>0</v>
      </c>
      <c r="AI192" s="36">
        <v>0</v>
      </c>
      <c r="AJ192" s="36">
        <v>0</v>
      </c>
      <c r="AK192" s="36">
        <v>1</v>
      </c>
      <c r="AL192" s="36">
        <v>1</v>
      </c>
      <c r="AM192" s="36">
        <v>0</v>
      </c>
      <c r="AN192" s="36">
        <v>0</v>
      </c>
      <c r="AO192" s="36">
        <v>0</v>
      </c>
      <c r="AP192" s="36">
        <v>0</v>
      </c>
      <c r="AQ192" s="36">
        <v>0</v>
      </c>
      <c r="AR192" s="36">
        <v>0</v>
      </c>
      <c r="AS192" s="36">
        <v>1</v>
      </c>
      <c r="AT192" s="36">
        <v>1</v>
      </c>
      <c r="AU192" s="36">
        <v>0</v>
      </c>
      <c r="AV192" s="36">
        <v>0</v>
      </c>
      <c r="AW192" s="36">
        <v>1</v>
      </c>
      <c r="AX192" s="36">
        <v>1</v>
      </c>
      <c r="AY192" s="36">
        <v>0</v>
      </c>
      <c r="AZ192" s="36">
        <v>0</v>
      </c>
      <c r="BA192" s="36">
        <v>0</v>
      </c>
      <c r="BB192" s="36">
        <v>0</v>
      </c>
      <c r="BC192" s="36">
        <v>1</v>
      </c>
      <c r="BD192" s="36">
        <v>1</v>
      </c>
      <c r="BE192" s="36">
        <v>0</v>
      </c>
      <c r="BF192" s="37">
        <v>0</v>
      </c>
      <c r="BG192" s="39">
        <v>12</v>
      </c>
      <c r="BJ192" s="35">
        <v>12</v>
      </c>
      <c r="BK192" s="36">
        <v>4</v>
      </c>
      <c r="BL192" s="36">
        <v>3</v>
      </c>
      <c r="BM192" s="37">
        <v>3</v>
      </c>
      <c r="BN192" s="39">
        <v>82</v>
      </c>
    </row>
    <row r="193" spans="1:66" s="3" customFormat="1" ht="18" customHeight="1" x14ac:dyDescent="0.2">
      <c r="A193" s="35">
        <v>4</v>
      </c>
      <c r="B193" s="36">
        <v>2</v>
      </c>
      <c r="C193" s="36">
        <v>3</v>
      </c>
      <c r="D193" s="37">
        <v>3</v>
      </c>
      <c r="R193" s="35">
        <v>11</v>
      </c>
      <c r="S193" s="36">
        <v>10</v>
      </c>
      <c r="T193" s="36">
        <v>4</v>
      </c>
      <c r="U193" s="37">
        <v>2</v>
      </c>
      <c r="X193" s="39">
        <v>27</v>
      </c>
      <c r="Y193" s="35">
        <v>0</v>
      </c>
      <c r="Z193" s="36">
        <v>0</v>
      </c>
      <c r="AA193" s="36">
        <v>1</v>
      </c>
      <c r="AB193" s="36">
        <v>1</v>
      </c>
      <c r="AC193" s="36">
        <v>0</v>
      </c>
      <c r="AD193" s="36">
        <v>0</v>
      </c>
      <c r="AE193" s="36">
        <v>1</v>
      </c>
      <c r="AF193" s="36">
        <v>1</v>
      </c>
      <c r="AG193" s="36">
        <v>0</v>
      </c>
      <c r="AH193" s="36">
        <v>0</v>
      </c>
      <c r="AI193" s="36">
        <v>0</v>
      </c>
      <c r="AJ193" s="36">
        <v>0</v>
      </c>
      <c r="AK193" s="36">
        <v>1</v>
      </c>
      <c r="AL193" s="36">
        <v>1</v>
      </c>
      <c r="AM193" s="36">
        <v>0</v>
      </c>
      <c r="AN193" s="36">
        <v>0</v>
      </c>
      <c r="AO193" s="36">
        <v>0</v>
      </c>
      <c r="AP193" s="36">
        <v>0</v>
      </c>
      <c r="AQ193" s="36">
        <v>0</v>
      </c>
      <c r="AR193" s="36">
        <v>0</v>
      </c>
      <c r="AS193" s="36">
        <v>1</v>
      </c>
      <c r="AT193" s="36">
        <v>1</v>
      </c>
      <c r="AU193" s="36">
        <v>0</v>
      </c>
      <c r="AV193" s="36">
        <v>0</v>
      </c>
      <c r="AW193" s="36">
        <v>1</v>
      </c>
      <c r="AX193" s="36">
        <v>1</v>
      </c>
      <c r="AY193" s="36">
        <v>0</v>
      </c>
      <c r="AZ193" s="36">
        <v>0</v>
      </c>
      <c r="BA193" s="36">
        <v>0</v>
      </c>
      <c r="BB193" s="36">
        <v>0</v>
      </c>
      <c r="BC193" s="36">
        <v>1</v>
      </c>
      <c r="BD193" s="36">
        <v>1</v>
      </c>
      <c r="BE193" s="36">
        <v>0</v>
      </c>
      <c r="BF193" s="37">
        <v>0</v>
      </c>
      <c r="BG193" s="39">
        <v>12</v>
      </c>
      <c r="BJ193" s="35">
        <v>12</v>
      </c>
      <c r="BK193" s="36">
        <v>4</v>
      </c>
      <c r="BL193" s="36">
        <v>4</v>
      </c>
      <c r="BM193" s="37">
        <v>3</v>
      </c>
      <c r="BN193" s="39">
        <v>82</v>
      </c>
    </row>
    <row r="194" spans="1:66" s="3" customFormat="1" ht="18.5" customHeight="1" x14ac:dyDescent="0.2">
      <c r="A194" s="35">
        <v>4</v>
      </c>
      <c r="B194" s="36">
        <v>2</v>
      </c>
      <c r="C194" s="36">
        <v>3</v>
      </c>
      <c r="D194" s="37">
        <v>4</v>
      </c>
      <c r="R194" s="35">
        <v>12</v>
      </c>
      <c r="S194" s="36">
        <v>4</v>
      </c>
      <c r="T194" s="36">
        <v>3</v>
      </c>
      <c r="U194" s="37">
        <v>2</v>
      </c>
      <c r="X194" s="56">
        <v>29</v>
      </c>
      <c r="Y194" s="32">
        <v>0</v>
      </c>
      <c r="Z194" s="33">
        <v>0</v>
      </c>
      <c r="AA194" s="33">
        <v>1</v>
      </c>
      <c r="AB194" s="33">
        <v>1</v>
      </c>
      <c r="AC194" s="33">
        <v>0</v>
      </c>
      <c r="AD194" s="33">
        <v>0</v>
      </c>
      <c r="AE194" s="33">
        <v>1</v>
      </c>
      <c r="AF194" s="33">
        <v>1</v>
      </c>
      <c r="AG194" s="33">
        <v>0</v>
      </c>
      <c r="AH194" s="33">
        <v>0</v>
      </c>
      <c r="AI194" s="33">
        <v>0</v>
      </c>
      <c r="AJ194" s="33">
        <v>0</v>
      </c>
      <c r="AK194" s="33">
        <v>1</v>
      </c>
      <c r="AL194" s="33">
        <v>1</v>
      </c>
      <c r="AM194" s="33">
        <v>0</v>
      </c>
      <c r="AN194" s="33">
        <v>0</v>
      </c>
      <c r="AO194" s="33">
        <v>0</v>
      </c>
      <c r="AP194" s="33">
        <v>0</v>
      </c>
      <c r="AQ194" s="33">
        <v>0</v>
      </c>
      <c r="AR194" s="33">
        <v>0</v>
      </c>
      <c r="AS194" s="33">
        <v>1</v>
      </c>
      <c r="AT194" s="33">
        <v>1</v>
      </c>
      <c r="AU194" s="33">
        <v>0</v>
      </c>
      <c r="AV194" s="33">
        <v>0</v>
      </c>
      <c r="AW194" s="33">
        <v>1</v>
      </c>
      <c r="AX194" s="33">
        <v>1</v>
      </c>
      <c r="AY194" s="33">
        <v>0</v>
      </c>
      <c r="AZ194" s="33">
        <v>0</v>
      </c>
      <c r="BA194" s="33">
        <v>0</v>
      </c>
      <c r="BB194" s="33">
        <v>0</v>
      </c>
      <c r="BC194" s="33">
        <v>1</v>
      </c>
      <c r="BD194" s="33">
        <v>1</v>
      </c>
      <c r="BE194" s="33">
        <v>0</v>
      </c>
      <c r="BF194" s="34">
        <v>0</v>
      </c>
      <c r="BG194" s="56">
        <v>12</v>
      </c>
      <c r="BJ194" s="35">
        <v>13</v>
      </c>
      <c r="BK194" s="36">
        <v>1</v>
      </c>
      <c r="BL194" s="36">
        <v>3</v>
      </c>
      <c r="BM194" s="37">
        <v>3</v>
      </c>
      <c r="BN194" s="39">
        <v>7</v>
      </c>
    </row>
    <row r="195" spans="1:66" s="3" customFormat="1" ht="19" customHeight="1" x14ac:dyDescent="0.2">
      <c r="A195" s="35">
        <v>4</v>
      </c>
      <c r="B195" s="36">
        <v>4</v>
      </c>
      <c r="C195" s="36">
        <v>1</v>
      </c>
      <c r="D195" s="37">
        <v>1</v>
      </c>
      <c r="R195" s="35">
        <v>12</v>
      </c>
      <c r="S195" s="36">
        <v>4</v>
      </c>
      <c r="T195" s="36">
        <v>4</v>
      </c>
      <c r="U195" s="37">
        <v>2</v>
      </c>
      <c r="X195" s="8" t="s">
        <v>74</v>
      </c>
      <c r="Y195" s="96">
        <f t="shared" ref="Y195:BG195" si="4">SUM(Y191:Y194)</f>
        <v>0</v>
      </c>
      <c r="Z195" s="97">
        <f t="shared" si="4"/>
        <v>0</v>
      </c>
      <c r="AA195" s="97">
        <f t="shared" si="4"/>
        <v>4</v>
      </c>
      <c r="AB195" s="97">
        <f t="shared" si="4"/>
        <v>4</v>
      </c>
      <c r="AC195" s="97">
        <f t="shared" si="4"/>
        <v>0</v>
      </c>
      <c r="AD195" s="97">
        <f t="shared" si="4"/>
        <v>0</v>
      </c>
      <c r="AE195" s="97">
        <f t="shared" si="4"/>
        <v>4</v>
      </c>
      <c r="AF195" s="97">
        <f t="shared" si="4"/>
        <v>4</v>
      </c>
      <c r="AG195" s="97">
        <f t="shared" si="4"/>
        <v>0</v>
      </c>
      <c r="AH195" s="97">
        <f t="shared" si="4"/>
        <v>0</v>
      </c>
      <c r="AI195" s="97">
        <f t="shared" si="4"/>
        <v>0</v>
      </c>
      <c r="AJ195" s="97">
        <f t="shared" si="4"/>
        <v>0</v>
      </c>
      <c r="AK195" s="97">
        <f t="shared" si="4"/>
        <v>4</v>
      </c>
      <c r="AL195" s="97">
        <f t="shared" si="4"/>
        <v>4</v>
      </c>
      <c r="AM195" s="97">
        <f t="shared" si="4"/>
        <v>0</v>
      </c>
      <c r="AN195" s="97">
        <f t="shared" si="4"/>
        <v>0</v>
      </c>
      <c r="AO195" s="97">
        <f t="shared" si="4"/>
        <v>0</v>
      </c>
      <c r="AP195" s="97">
        <f t="shared" si="4"/>
        <v>0</v>
      </c>
      <c r="AQ195" s="97">
        <f t="shared" si="4"/>
        <v>0</v>
      </c>
      <c r="AR195" s="97">
        <f t="shared" si="4"/>
        <v>0</v>
      </c>
      <c r="AS195" s="97">
        <f t="shared" si="4"/>
        <v>4</v>
      </c>
      <c r="AT195" s="97">
        <f t="shared" si="4"/>
        <v>4</v>
      </c>
      <c r="AU195" s="97">
        <f t="shared" si="4"/>
        <v>0</v>
      </c>
      <c r="AV195" s="97">
        <f t="shared" si="4"/>
        <v>0</v>
      </c>
      <c r="AW195" s="97">
        <f t="shared" si="4"/>
        <v>4</v>
      </c>
      <c r="AX195" s="97">
        <f t="shared" si="4"/>
        <v>4</v>
      </c>
      <c r="AY195" s="97">
        <f t="shared" si="4"/>
        <v>0</v>
      </c>
      <c r="AZ195" s="97">
        <f t="shared" si="4"/>
        <v>0</v>
      </c>
      <c r="BA195" s="97">
        <f t="shared" si="4"/>
        <v>0</v>
      </c>
      <c r="BB195" s="97">
        <f t="shared" si="4"/>
        <v>0</v>
      </c>
      <c r="BC195" s="97">
        <f t="shared" si="4"/>
        <v>4</v>
      </c>
      <c r="BD195" s="97">
        <f t="shared" si="4"/>
        <v>4</v>
      </c>
      <c r="BE195" s="97">
        <f t="shared" si="4"/>
        <v>0</v>
      </c>
      <c r="BF195" s="98">
        <f t="shared" si="4"/>
        <v>0</v>
      </c>
      <c r="BG195" s="95">
        <f t="shared" si="4"/>
        <v>48</v>
      </c>
      <c r="BJ195" s="35">
        <v>13</v>
      </c>
      <c r="BK195" s="36">
        <v>1</v>
      </c>
      <c r="BL195" s="36">
        <v>4</v>
      </c>
      <c r="BM195" s="37">
        <v>3</v>
      </c>
      <c r="BN195" s="39">
        <v>7</v>
      </c>
    </row>
    <row r="196" spans="1:66" s="3" customFormat="1" ht="19" customHeight="1" x14ac:dyDescent="0.2">
      <c r="A196" s="35">
        <v>4</v>
      </c>
      <c r="B196" s="36">
        <v>4</v>
      </c>
      <c r="C196" s="36">
        <v>1</v>
      </c>
      <c r="D196" s="37">
        <v>2</v>
      </c>
      <c r="R196" s="35">
        <v>13</v>
      </c>
      <c r="S196" s="36">
        <v>1</v>
      </c>
      <c r="T196" s="36">
        <v>3</v>
      </c>
      <c r="U196" s="37">
        <v>2</v>
      </c>
      <c r="BJ196" s="35">
        <v>13</v>
      </c>
      <c r="BK196" s="36">
        <v>2</v>
      </c>
      <c r="BL196" s="36">
        <v>3</v>
      </c>
      <c r="BM196" s="37">
        <v>3</v>
      </c>
      <c r="BN196" s="39">
        <v>7</v>
      </c>
    </row>
    <row r="197" spans="1:66" s="3" customFormat="1" ht="19" customHeight="1" x14ac:dyDescent="0.2">
      <c r="A197" s="35">
        <v>4</v>
      </c>
      <c r="B197" s="36">
        <v>4</v>
      </c>
      <c r="C197" s="36">
        <v>1</v>
      </c>
      <c r="D197" s="37">
        <v>3</v>
      </c>
      <c r="R197" s="35">
        <v>13</v>
      </c>
      <c r="S197" s="36">
        <v>1</v>
      </c>
      <c r="T197" s="36">
        <v>4</v>
      </c>
      <c r="U197" s="37">
        <v>2</v>
      </c>
      <c r="AA197" s="8" t="s">
        <v>4</v>
      </c>
      <c r="BJ197" s="35">
        <v>13</v>
      </c>
      <c r="BK197" s="36">
        <v>2</v>
      </c>
      <c r="BL197" s="36">
        <v>4</v>
      </c>
      <c r="BM197" s="37">
        <v>3</v>
      </c>
      <c r="BN197" s="39">
        <v>7</v>
      </c>
    </row>
    <row r="198" spans="1:66" s="3" customFormat="1" ht="19" customHeight="1" x14ac:dyDescent="0.2">
      <c r="A198" s="35">
        <v>4</v>
      </c>
      <c r="B198" s="36">
        <v>4</v>
      </c>
      <c r="C198" s="36">
        <v>1</v>
      </c>
      <c r="D198" s="37">
        <v>4</v>
      </c>
      <c r="R198" s="35">
        <v>13</v>
      </c>
      <c r="S198" s="36">
        <v>2</v>
      </c>
      <c r="T198" s="36">
        <v>3</v>
      </c>
      <c r="U198" s="37">
        <v>2</v>
      </c>
      <c r="X198" s="8" t="s">
        <v>22</v>
      </c>
      <c r="BJ198" s="35">
        <v>13</v>
      </c>
      <c r="BK198" s="36">
        <v>3</v>
      </c>
      <c r="BL198" s="36">
        <v>3</v>
      </c>
      <c r="BM198" s="37">
        <v>3</v>
      </c>
      <c r="BN198" s="39">
        <v>7</v>
      </c>
    </row>
    <row r="199" spans="1:66" s="3" customFormat="1" ht="18.5" customHeight="1" x14ac:dyDescent="0.2">
      <c r="A199" s="35">
        <v>4</v>
      </c>
      <c r="B199" s="36">
        <v>4</v>
      </c>
      <c r="C199" s="36">
        <v>2</v>
      </c>
      <c r="D199" s="37">
        <v>1</v>
      </c>
      <c r="R199" s="35">
        <v>13</v>
      </c>
      <c r="S199" s="36">
        <v>2</v>
      </c>
      <c r="T199" s="36">
        <v>4</v>
      </c>
      <c r="U199" s="37">
        <v>2</v>
      </c>
      <c r="X199" s="28">
        <v>15</v>
      </c>
      <c r="AA199" s="100">
        <v>1</v>
      </c>
      <c r="AB199" s="100">
        <v>3</v>
      </c>
      <c r="BJ199" s="35">
        <v>13</v>
      </c>
      <c r="BK199" s="36">
        <v>3</v>
      </c>
      <c r="BL199" s="36">
        <v>4</v>
      </c>
      <c r="BM199" s="37">
        <v>3</v>
      </c>
      <c r="BN199" s="39">
        <v>7</v>
      </c>
    </row>
    <row r="200" spans="1:66" s="3" customFormat="1" ht="18" customHeight="1" x14ac:dyDescent="0.2">
      <c r="A200" s="35">
        <v>4</v>
      </c>
      <c r="B200" s="36">
        <v>4</v>
      </c>
      <c r="C200" s="36">
        <v>2</v>
      </c>
      <c r="D200" s="37">
        <v>2</v>
      </c>
      <c r="R200" s="35">
        <v>13</v>
      </c>
      <c r="S200" s="36">
        <v>3</v>
      </c>
      <c r="T200" s="36">
        <v>3</v>
      </c>
      <c r="U200" s="37">
        <v>2</v>
      </c>
      <c r="X200" s="39">
        <v>20</v>
      </c>
      <c r="AA200" s="100">
        <v>1</v>
      </c>
      <c r="AB200" s="100">
        <v>4</v>
      </c>
      <c r="BJ200" s="35">
        <v>13</v>
      </c>
      <c r="BK200" s="36">
        <v>4</v>
      </c>
      <c r="BL200" s="36">
        <v>3</v>
      </c>
      <c r="BM200" s="37">
        <v>3</v>
      </c>
      <c r="BN200" s="39">
        <v>7</v>
      </c>
    </row>
    <row r="201" spans="1:66" s="3" customFormat="1" ht="18" customHeight="1" x14ac:dyDescent="0.2">
      <c r="A201" s="35">
        <v>4</v>
      </c>
      <c r="B201" s="36">
        <v>4</v>
      </c>
      <c r="C201" s="36">
        <v>2</v>
      </c>
      <c r="D201" s="37">
        <v>3</v>
      </c>
      <c r="R201" s="35">
        <v>13</v>
      </c>
      <c r="S201" s="36">
        <v>3</v>
      </c>
      <c r="T201" s="36">
        <v>4</v>
      </c>
      <c r="U201" s="37">
        <v>2</v>
      </c>
      <c r="X201" s="39">
        <v>23</v>
      </c>
      <c r="AA201" s="100">
        <v>2</v>
      </c>
      <c r="AB201" s="100">
        <v>3</v>
      </c>
      <c r="BJ201" s="35">
        <v>13</v>
      </c>
      <c r="BK201" s="36">
        <v>4</v>
      </c>
      <c r="BL201" s="36">
        <v>4</v>
      </c>
      <c r="BM201" s="37">
        <v>3</v>
      </c>
      <c r="BN201" s="39">
        <v>7</v>
      </c>
    </row>
    <row r="202" spans="1:66" s="3" customFormat="1" ht="18" customHeight="1" x14ac:dyDescent="0.2">
      <c r="A202" s="35">
        <v>4</v>
      </c>
      <c r="B202" s="36">
        <v>4</v>
      </c>
      <c r="C202" s="36">
        <v>2</v>
      </c>
      <c r="D202" s="37">
        <v>4</v>
      </c>
      <c r="R202" s="35">
        <v>13</v>
      </c>
      <c r="S202" s="36">
        <v>4</v>
      </c>
      <c r="T202" s="36">
        <v>3</v>
      </c>
      <c r="U202" s="37">
        <v>2</v>
      </c>
      <c r="X202" s="39">
        <v>27</v>
      </c>
      <c r="AA202" s="100">
        <v>2</v>
      </c>
      <c r="AB202" s="100">
        <v>4</v>
      </c>
      <c r="BJ202" s="35">
        <v>13</v>
      </c>
      <c r="BK202" s="36">
        <v>5</v>
      </c>
      <c r="BL202" s="36">
        <v>3</v>
      </c>
      <c r="BM202" s="37">
        <v>3</v>
      </c>
      <c r="BN202" s="39">
        <v>7</v>
      </c>
    </row>
    <row r="203" spans="1:66" s="3" customFormat="1" ht="18.5" customHeight="1" x14ac:dyDescent="0.2">
      <c r="A203" s="35">
        <v>4</v>
      </c>
      <c r="B203" s="36">
        <v>4</v>
      </c>
      <c r="C203" s="36">
        <v>3</v>
      </c>
      <c r="D203" s="37">
        <v>1</v>
      </c>
      <c r="R203" s="35">
        <v>13</v>
      </c>
      <c r="S203" s="36">
        <v>4</v>
      </c>
      <c r="T203" s="36">
        <v>4</v>
      </c>
      <c r="U203" s="37">
        <v>2</v>
      </c>
      <c r="X203" s="56">
        <v>29</v>
      </c>
      <c r="AA203" s="100">
        <v>4</v>
      </c>
      <c r="AB203" s="100">
        <v>3</v>
      </c>
      <c r="BJ203" s="35">
        <v>13</v>
      </c>
      <c r="BK203" s="36">
        <v>5</v>
      </c>
      <c r="BL203" s="36">
        <v>4</v>
      </c>
      <c r="BM203" s="37">
        <v>3</v>
      </c>
      <c r="BN203" s="39">
        <v>7</v>
      </c>
    </row>
    <row r="204" spans="1:66" s="3" customFormat="1" ht="18.5" customHeight="1" x14ac:dyDescent="0.2">
      <c r="A204" s="35">
        <v>4</v>
      </c>
      <c r="B204" s="36">
        <v>4</v>
      </c>
      <c r="C204" s="36">
        <v>3</v>
      </c>
      <c r="D204" s="37">
        <v>2</v>
      </c>
      <c r="R204" s="35">
        <v>13</v>
      </c>
      <c r="S204" s="36">
        <v>5</v>
      </c>
      <c r="T204" s="36">
        <v>3</v>
      </c>
      <c r="U204" s="37">
        <v>2</v>
      </c>
      <c r="AA204" s="100">
        <v>4</v>
      </c>
      <c r="AB204" s="100">
        <v>4</v>
      </c>
      <c r="BJ204" s="35">
        <v>13</v>
      </c>
      <c r="BK204" s="36">
        <v>6</v>
      </c>
      <c r="BL204" s="36">
        <v>3</v>
      </c>
      <c r="BM204" s="37">
        <v>2</v>
      </c>
      <c r="BN204" s="39">
        <v>7</v>
      </c>
    </row>
    <row r="205" spans="1:66" s="3" customFormat="1" ht="18" customHeight="1" x14ac:dyDescent="0.2">
      <c r="A205" s="35">
        <v>4</v>
      </c>
      <c r="B205" s="36">
        <v>4</v>
      </c>
      <c r="C205" s="36">
        <v>3</v>
      </c>
      <c r="D205" s="37">
        <v>3</v>
      </c>
      <c r="R205" s="35">
        <v>13</v>
      </c>
      <c r="S205" s="36">
        <v>5</v>
      </c>
      <c r="T205" s="36">
        <v>4</v>
      </c>
      <c r="U205" s="37">
        <v>2</v>
      </c>
      <c r="AA205" s="100">
        <v>6</v>
      </c>
      <c r="AB205" s="100">
        <v>3</v>
      </c>
      <c r="BJ205" s="35">
        <v>13</v>
      </c>
      <c r="BK205" s="36">
        <v>6</v>
      </c>
      <c r="BL205" s="36">
        <v>4</v>
      </c>
      <c r="BM205" s="37">
        <v>2</v>
      </c>
      <c r="BN205" s="39">
        <v>7</v>
      </c>
    </row>
    <row r="206" spans="1:66" s="3" customFormat="1" ht="18" customHeight="1" x14ac:dyDescent="0.2">
      <c r="A206" s="35">
        <v>4</v>
      </c>
      <c r="B206" s="36">
        <v>4</v>
      </c>
      <c r="C206" s="36">
        <v>3</v>
      </c>
      <c r="D206" s="37">
        <v>4</v>
      </c>
      <c r="R206" s="35">
        <v>13</v>
      </c>
      <c r="S206" s="36">
        <v>6</v>
      </c>
      <c r="T206" s="36">
        <v>3</v>
      </c>
      <c r="U206" s="37">
        <v>2</v>
      </c>
      <c r="AA206" s="100">
        <v>6</v>
      </c>
      <c r="AB206" s="100">
        <v>4</v>
      </c>
      <c r="BJ206" s="35">
        <v>13</v>
      </c>
      <c r="BK206" s="36">
        <v>7</v>
      </c>
      <c r="BL206" s="36">
        <v>3</v>
      </c>
      <c r="BM206" s="37">
        <v>2</v>
      </c>
      <c r="BN206" s="39">
        <v>7</v>
      </c>
    </row>
    <row r="207" spans="1:66" s="3" customFormat="1" ht="18" customHeight="1" x14ac:dyDescent="0.2">
      <c r="A207" s="35">
        <v>4</v>
      </c>
      <c r="B207" s="36">
        <v>6</v>
      </c>
      <c r="C207" s="36">
        <v>1</v>
      </c>
      <c r="D207" s="37">
        <v>1</v>
      </c>
      <c r="R207" s="35">
        <v>13</v>
      </c>
      <c r="S207" s="36">
        <v>6</v>
      </c>
      <c r="T207" s="36">
        <v>4</v>
      </c>
      <c r="U207" s="37">
        <v>2</v>
      </c>
      <c r="AA207" s="100">
        <v>7</v>
      </c>
      <c r="AB207" s="100">
        <v>3</v>
      </c>
      <c r="BJ207" s="35">
        <v>13</v>
      </c>
      <c r="BK207" s="36">
        <v>7</v>
      </c>
      <c r="BL207" s="36">
        <v>4</v>
      </c>
      <c r="BM207" s="37">
        <v>2</v>
      </c>
      <c r="BN207" s="39">
        <v>7</v>
      </c>
    </row>
    <row r="208" spans="1:66" s="3" customFormat="1" ht="18" customHeight="1" x14ac:dyDescent="0.2">
      <c r="A208" s="35">
        <v>4</v>
      </c>
      <c r="B208" s="36">
        <v>6</v>
      </c>
      <c r="C208" s="36">
        <v>1</v>
      </c>
      <c r="D208" s="37">
        <v>2</v>
      </c>
      <c r="R208" s="35">
        <v>13</v>
      </c>
      <c r="S208" s="36">
        <v>7</v>
      </c>
      <c r="T208" s="36">
        <v>3</v>
      </c>
      <c r="U208" s="37">
        <v>2</v>
      </c>
      <c r="AA208" s="100">
        <v>7</v>
      </c>
      <c r="AB208" s="100">
        <v>4</v>
      </c>
      <c r="BJ208" s="35">
        <v>13</v>
      </c>
      <c r="BK208" s="36">
        <v>8</v>
      </c>
      <c r="BL208" s="36">
        <v>3</v>
      </c>
      <c r="BM208" s="37">
        <v>2</v>
      </c>
      <c r="BN208" s="39">
        <v>7</v>
      </c>
    </row>
    <row r="209" spans="1:66" s="3" customFormat="1" ht="18" customHeight="1" x14ac:dyDescent="0.2">
      <c r="A209" s="35">
        <v>4</v>
      </c>
      <c r="B209" s="36">
        <v>6</v>
      </c>
      <c r="C209" s="36">
        <v>1</v>
      </c>
      <c r="D209" s="37">
        <v>3</v>
      </c>
      <c r="R209" s="35">
        <v>13</v>
      </c>
      <c r="S209" s="36">
        <v>7</v>
      </c>
      <c r="T209" s="36">
        <v>4</v>
      </c>
      <c r="U209" s="37">
        <v>2</v>
      </c>
      <c r="AA209" s="100">
        <v>9</v>
      </c>
      <c r="AB209" s="100">
        <v>3</v>
      </c>
      <c r="BJ209" s="35">
        <v>13</v>
      </c>
      <c r="BK209" s="36">
        <v>8</v>
      </c>
      <c r="BL209" s="36">
        <v>4</v>
      </c>
      <c r="BM209" s="37">
        <v>2</v>
      </c>
      <c r="BN209" s="39">
        <v>7</v>
      </c>
    </row>
    <row r="210" spans="1:66" s="3" customFormat="1" ht="18" customHeight="1" x14ac:dyDescent="0.2">
      <c r="A210" s="35">
        <v>4</v>
      </c>
      <c r="B210" s="36">
        <v>6</v>
      </c>
      <c r="C210" s="36">
        <v>1</v>
      </c>
      <c r="D210" s="37">
        <v>4</v>
      </c>
      <c r="R210" s="35">
        <v>13</v>
      </c>
      <c r="S210" s="36">
        <v>8</v>
      </c>
      <c r="T210" s="36">
        <v>3</v>
      </c>
      <c r="U210" s="37">
        <v>2</v>
      </c>
      <c r="AA210" s="100">
        <v>9</v>
      </c>
      <c r="AB210" s="100">
        <v>4</v>
      </c>
      <c r="BJ210" s="35">
        <v>13</v>
      </c>
      <c r="BK210" s="36">
        <v>9</v>
      </c>
      <c r="BL210" s="36">
        <v>3</v>
      </c>
      <c r="BM210" s="37">
        <v>2</v>
      </c>
      <c r="BN210" s="39">
        <v>7</v>
      </c>
    </row>
    <row r="211" spans="1:66" s="3" customFormat="1" ht="18" customHeight="1" x14ac:dyDescent="0.2">
      <c r="A211" s="35">
        <v>4</v>
      </c>
      <c r="B211" s="36">
        <v>6</v>
      </c>
      <c r="C211" s="36">
        <v>2</v>
      </c>
      <c r="D211" s="37">
        <v>1</v>
      </c>
      <c r="R211" s="35">
        <v>13</v>
      </c>
      <c r="S211" s="36">
        <v>8</v>
      </c>
      <c r="T211" s="36">
        <v>4</v>
      </c>
      <c r="U211" s="37">
        <v>2</v>
      </c>
      <c r="BJ211" s="35">
        <v>13</v>
      </c>
      <c r="BK211" s="36">
        <v>9</v>
      </c>
      <c r="BL211" s="36">
        <v>4</v>
      </c>
      <c r="BM211" s="37">
        <v>2</v>
      </c>
      <c r="BN211" s="39">
        <v>7</v>
      </c>
    </row>
    <row r="212" spans="1:66" s="3" customFormat="1" ht="18" customHeight="1" x14ac:dyDescent="0.2">
      <c r="A212" s="35">
        <v>4</v>
      </c>
      <c r="B212" s="36">
        <v>6</v>
      </c>
      <c r="C212" s="36">
        <v>2</v>
      </c>
      <c r="D212" s="37">
        <v>2</v>
      </c>
      <c r="R212" s="35">
        <v>13</v>
      </c>
      <c r="S212" s="36">
        <v>9</v>
      </c>
      <c r="T212" s="36">
        <v>3</v>
      </c>
      <c r="U212" s="37">
        <v>2</v>
      </c>
      <c r="BJ212" s="35">
        <v>13</v>
      </c>
      <c r="BK212" s="36">
        <v>10</v>
      </c>
      <c r="BL212" s="36">
        <v>3</v>
      </c>
      <c r="BM212" s="37">
        <v>2</v>
      </c>
      <c r="BN212" s="39">
        <v>7</v>
      </c>
    </row>
    <row r="213" spans="1:66" s="3" customFormat="1" ht="18" customHeight="1" x14ac:dyDescent="0.2">
      <c r="A213" s="35">
        <v>4</v>
      </c>
      <c r="B213" s="36">
        <v>6</v>
      </c>
      <c r="C213" s="36">
        <v>2</v>
      </c>
      <c r="D213" s="37">
        <v>3</v>
      </c>
      <c r="R213" s="35">
        <v>13</v>
      </c>
      <c r="S213" s="36">
        <v>9</v>
      </c>
      <c r="T213" s="36">
        <v>4</v>
      </c>
      <c r="U213" s="37">
        <v>2</v>
      </c>
      <c r="BJ213" s="35">
        <v>13</v>
      </c>
      <c r="BK213" s="36">
        <v>10</v>
      </c>
      <c r="BL213" s="36">
        <v>4</v>
      </c>
      <c r="BM213" s="37">
        <v>2</v>
      </c>
      <c r="BN213" s="39">
        <v>7</v>
      </c>
    </row>
    <row r="214" spans="1:66" s="3" customFormat="1" ht="18.5" customHeight="1" x14ac:dyDescent="0.2">
      <c r="A214" s="35">
        <v>4</v>
      </c>
      <c r="B214" s="36">
        <v>6</v>
      </c>
      <c r="C214" s="36">
        <v>2</v>
      </c>
      <c r="D214" s="37">
        <v>4</v>
      </c>
      <c r="R214" s="35">
        <v>13</v>
      </c>
      <c r="S214" s="36">
        <v>10</v>
      </c>
      <c r="T214" s="36">
        <v>3</v>
      </c>
      <c r="U214" s="37">
        <v>2</v>
      </c>
      <c r="BJ214" s="35">
        <v>14</v>
      </c>
      <c r="BK214" s="36">
        <v>4</v>
      </c>
      <c r="BL214" s="36">
        <v>3</v>
      </c>
      <c r="BM214" s="37">
        <v>3</v>
      </c>
      <c r="BN214" s="39">
        <v>34</v>
      </c>
    </row>
    <row r="215" spans="1:66" s="3" customFormat="1" ht="19" customHeight="1" x14ac:dyDescent="0.2">
      <c r="A215" s="35">
        <v>4</v>
      </c>
      <c r="B215" s="36">
        <v>6</v>
      </c>
      <c r="C215" s="36">
        <v>3</v>
      </c>
      <c r="D215" s="37">
        <v>1</v>
      </c>
      <c r="R215" s="35">
        <v>13</v>
      </c>
      <c r="S215" s="36">
        <v>10</v>
      </c>
      <c r="T215" s="36">
        <v>4</v>
      </c>
      <c r="U215" s="37">
        <v>2</v>
      </c>
      <c r="Y215" s="23">
        <v>1</v>
      </c>
      <c r="Z215" s="24">
        <v>1</v>
      </c>
      <c r="AA215" s="24">
        <v>1</v>
      </c>
      <c r="AB215" s="24">
        <v>1</v>
      </c>
      <c r="AC215" s="24">
        <v>2</v>
      </c>
      <c r="AD215" s="24">
        <v>2</v>
      </c>
      <c r="AE215" s="24">
        <v>2</v>
      </c>
      <c r="AF215" s="24">
        <v>2</v>
      </c>
      <c r="AG215" s="24">
        <v>3</v>
      </c>
      <c r="AH215" s="24">
        <v>3</v>
      </c>
      <c r="AI215" s="24">
        <v>4</v>
      </c>
      <c r="AJ215" s="24">
        <v>4</v>
      </c>
      <c r="AK215" s="24">
        <v>4</v>
      </c>
      <c r="AL215" s="24">
        <v>4</v>
      </c>
      <c r="AM215" s="24">
        <v>5</v>
      </c>
      <c r="AN215" s="24">
        <v>5</v>
      </c>
      <c r="AO215" s="24">
        <v>5</v>
      </c>
      <c r="AP215" s="24">
        <v>5</v>
      </c>
      <c r="AQ215" s="24">
        <v>6</v>
      </c>
      <c r="AR215" s="24">
        <v>6</v>
      </c>
      <c r="AS215" s="24">
        <v>6</v>
      </c>
      <c r="AT215" s="24">
        <v>6</v>
      </c>
      <c r="AU215" s="24">
        <v>7</v>
      </c>
      <c r="AV215" s="24">
        <v>7</v>
      </c>
      <c r="AW215" s="24">
        <v>7</v>
      </c>
      <c r="AX215" s="24">
        <v>7</v>
      </c>
      <c r="AY215" s="24">
        <v>8</v>
      </c>
      <c r="AZ215" s="24">
        <v>8</v>
      </c>
      <c r="BA215" s="24">
        <v>9</v>
      </c>
      <c r="BB215" s="24">
        <v>9</v>
      </c>
      <c r="BC215" s="24">
        <v>9</v>
      </c>
      <c r="BD215" s="24">
        <v>9</v>
      </c>
      <c r="BE215" s="24">
        <v>10</v>
      </c>
      <c r="BF215" s="25">
        <v>10</v>
      </c>
      <c r="BJ215" s="35">
        <v>14</v>
      </c>
      <c r="BK215" s="36">
        <v>4</v>
      </c>
      <c r="BL215" s="36">
        <v>4</v>
      </c>
      <c r="BM215" s="37">
        <v>3</v>
      </c>
      <c r="BN215" s="39">
        <v>34</v>
      </c>
    </row>
    <row r="216" spans="1:66" s="3" customFormat="1" ht="19" customHeight="1" x14ac:dyDescent="0.2">
      <c r="A216" s="35">
        <v>4</v>
      </c>
      <c r="B216" s="36">
        <v>6</v>
      </c>
      <c r="C216" s="36">
        <v>3</v>
      </c>
      <c r="D216" s="37">
        <v>2</v>
      </c>
      <c r="R216" s="35">
        <v>14</v>
      </c>
      <c r="S216" s="36">
        <v>4</v>
      </c>
      <c r="T216" s="36">
        <v>3</v>
      </c>
      <c r="U216" s="37">
        <v>2</v>
      </c>
      <c r="X216" s="8" t="s">
        <v>22</v>
      </c>
      <c r="Y216" s="32">
        <v>1</v>
      </c>
      <c r="Z216" s="33">
        <v>2</v>
      </c>
      <c r="AA216" s="33">
        <v>3</v>
      </c>
      <c r="AB216" s="33">
        <v>4</v>
      </c>
      <c r="AC216" s="33">
        <v>1</v>
      </c>
      <c r="AD216" s="33">
        <v>2</v>
      </c>
      <c r="AE216" s="33">
        <v>3</v>
      </c>
      <c r="AF216" s="33">
        <v>4</v>
      </c>
      <c r="AG216" s="33">
        <v>3</v>
      </c>
      <c r="AH216" s="33">
        <v>4</v>
      </c>
      <c r="AI216" s="33">
        <v>1</v>
      </c>
      <c r="AJ216" s="33">
        <v>2</v>
      </c>
      <c r="AK216" s="33">
        <v>3</v>
      </c>
      <c r="AL216" s="33">
        <v>4</v>
      </c>
      <c r="AM216" s="33">
        <v>1</v>
      </c>
      <c r="AN216" s="33">
        <v>2</v>
      </c>
      <c r="AO216" s="33">
        <v>3</v>
      </c>
      <c r="AP216" s="33">
        <v>4</v>
      </c>
      <c r="AQ216" s="33">
        <v>1</v>
      </c>
      <c r="AR216" s="33">
        <v>2</v>
      </c>
      <c r="AS216" s="33">
        <v>3</v>
      </c>
      <c r="AT216" s="33">
        <v>4</v>
      </c>
      <c r="AU216" s="33">
        <v>1</v>
      </c>
      <c r="AV216" s="33">
        <v>2</v>
      </c>
      <c r="AW216" s="33">
        <v>3</v>
      </c>
      <c r="AX216" s="33">
        <v>4</v>
      </c>
      <c r="AY216" s="33">
        <v>3</v>
      </c>
      <c r="AZ216" s="33">
        <v>4</v>
      </c>
      <c r="BA216" s="33">
        <v>1</v>
      </c>
      <c r="BB216" s="33">
        <v>2</v>
      </c>
      <c r="BC216" s="33">
        <v>3</v>
      </c>
      <c r="BD216" s="33">
        <v>4</v>
      </c>
      <c r="BE216" s="33">
        <v>3</v>
      </c>
      <c r="BF216" s="34">
        <v>4</v>
      </c>
      <c r="BG216" s="8" t="s">
        <v>74</v>
      </c>
      <c r="BJ216" s="35">
        <v>14</v>
      </c>
      <c r="BK216" s="36">
        <v>7</v>
      </c>
      <c r="BL216" s="36">
        <v>3</v>
      </c>
      <c r="BM216" s="37">
        <v>2</v>
      </c>
      <c r="BN216" s="39">
        <v>34</v>
      </c>
    </row>
    <row r="217" spans="1:66" s="3" customFormat="1" ht="19" customHeight="1" x14ac:dyDescent="0.2">
      <c r="A217" s="35">
        <v>4</v>
      </c>
      <c r="B217" s="36">
        <v>6</v>
      </c>
      <c r="C217" s="36">
        <v>3</v>
      </c>
      <c r="D217" s="37">
        <v>3</v>
      </c>
      <c r="R217" s="35">
        <v>14</v>
      </c>
      <c r="S217" s="36">
        <v>4</v>
      </c>
      <c r="T217" s="36">
        <v>4</v>
      </c>
      <c r="U217" s="37">
        <v>2</v>
      </c>
      <c r="X217" s="94">
        <v>30</v>
      </c>
      <c r="Y217" s="9">
        <v>0</v>
      </c>
      <c r="Z217" s="10">
        <v>0</v>
      </c>
      <c r="AA217" s="10">
        <v>1</v>
      </c>
      <c r="AB217" s="10">
        <v>1</v>
      </c>
      <c r="AC217" s="10">
        <v>0</v>
      </c>
      <c r="AD217" s="10">
        <v>0</v>
      </c>
      <c r="AE217" s="10">
        <v>1</v>
      </c>
      <c r="AF217" s="10">
        <v>1</v>
      </c>
      <c r="AG217" s="10">
        <v>0</v>
      </c>
      <c r="AH217" s="10">
        <v>0</v>
      </c>
      <c r="AI217" s="10">
        <v>0</v>
      </c>
      <c r="AJ217" s="10">
        <v>0</v>
      </c>
      <c r="AK217" s="10">
        <v>1</v>
      </c>
      <c r="AL217" s="10">
        <v>1</v>
      </c>
      <c r="AM217" s="10">
        <v>0</v>
      </c>
      <c r="AN217" s="10">
        <v>0</v>
      </c>
      <c r="AO217" s="10">
        <v>0</v>
      </c>
      <c r="AP217" s="10">
        <v>0</v>
      </c>
      <c r="AQ217" s="10">
        <v>0</v>
      </c>
      <c r="AR217" s="10">
        <v>0</v>
      </c>
      <c r="AS217" s="10">
        <v>0</v>
      </c>
      <c r="AT217" s="10">
        <v>0</v>
      </c>
      <c r="AU217" s="10">
        <v>0</v>
      </c>
      <c r="AV217" s="10">
        <v>0</v>
      </c>
      <c r="AW217" s="10">
        <v>1</v>
      </c>
      <c r="AX217" s="10">
        <v>1</v>
      </c>
      <c r="AY217" s="10">
        <v>0</v>
      </c>
      <c r="AZ217" s="10">
        <v>0</v>
      </c>
      <c r="BA217" s="10">
        <v>0</v>
      </c>
      <c r="BB217" s="10">
        <v>0</v>
      </c>
      <c r="BC217" s="10">
        <v>1</v>
      </c>
      <c r="BD217" s="10">
        <v>1</v>
      </c>
      <c r="BE217" s="10">
        <v>0</v>
      </c>
      <c r="BF217" s="11">
        <v>0</v>
      </c>
      <c r="BG217" s="94">
        <v>10</v>
      </c>
      <c r="BJ217" s="35">
        <v>14</v>
      </c>
      <c r="BK217" s="36">
        <v>7</v>
      </c>
      <c r="BL217" s="36">
        <v>4</v>
      </c>
      <c r="BM217" s="37">
        <v>2</v>
      </c>
      <c r="BN217" s="39">
        <v>34</v>
      </c>
    </row>
    <row r="218" spans="1:66" s="3" customFormat="1" ht="19" customHeight="1" x14ac:dyDescent="0.2">
      <c r="A218" s="35">
        <v>4</v>
      </c>
      <c r="B218" s="36">
        <v>6</v>
      </c>
      <c r="C218" s="36">
        <v>3</v>
      </c>
      <c r="D218" s="37">
        <v>4</v>
      </c>
      <c r="R218" s="35">
        <v>14</v>
      </c>
      <c r="S218" s="36">
        <v>7</v>
      </c>
      <c r="T218" s="36">
        <v>3</v>
      </c>
      <c r="U218" s="37">
        <v>2</v>
      </c>
      <c r="X218" s="8" t="s">
        <v>74</v>
      </c>
      <c r="Y218" s="96">
        <f t="shared" ref="Y218:BG218" si="5">SUM(Y217:Y217)</f>
        <v>0</v>
      </c>
      <c r="Z218" s="97">
        <f t="shared" si="5"/>
        <v>0</v>
      </c>
      <c r="AA218" s="97">
        <f t="shared" si="5"/>
        <v>1</v>
      </c>
      <c r="AB218" s="97">
        <f t="shared" si="5"/>
        <v>1</v>
      </c>
      <c r="AC218" s="97">
        <f t="shared" si="5"/>
        <v>0</v>
      </c>
      <c r="AD218" s="97">
        <f t="shared" si="5"/>
        <v>0</v>
      </c>
      <c r="AE218" s="97">
        <f t="shared" si="5"/>
        <v>1</v>
      </c>
      <c r="AF218" s="97">
        <f t="shared" si="5"/>
        <v>1</v>
      </c>
      <c r="AG218" s="97">
        <f t="shared" si="5"/>
        <v>0</v>
      </c>
      <c r="AH218" s="97">
        <f t="shared" si="5"/>
        <v>0</v>
      </c>
      <c r="AI218" s="97">
        <f t="shared" si="5"/>
        <v>0</v>
      </c>
      <c r="AJ218" s="97">
        <f t="shared" si="5"/>
        <v>0</v>
      </c>
      <c r="AK218" s="97">
        <f t="shared" si="5"/>
        <v>1</v>
      </c>
      <c r="AL218" s="97">
        <f t="shared" si="5"/>
        <v>1</v>
      </c>
      <c r="AM218" s="97">
        <f t="shared" si="5"/>
        <v>0</v>
      </c>
      <c r="AN218" s="97">
        <f t="shared" si="5"/>
        <v>0</v>
      </c>
      <c r="AO218" s="97">
        <f t="shared" si="5"/>
        <v>0</v>
      </c>
      <c r="AP218" s="97">
        <f t="shared" si="5"/>
        <v>0</v>
      </c>
      <c r="AQ218" s="97">
        <f t="shared" si="5"/>
        <v>0</v>
      </c>
      <c r="AR218" s="97">
        <f t="shared" si="5"/>
        <v>0</v>
      </c>
      <c r="AS218" s="97">
        <f t="shared" si="5"/>
        <v>0</v>
      </c>
      <c r="AT218" s="97">
        <f t="shared" si="5"/>
        <v>0</v>
      </c>
      <c r="AU218" s="97">
        <f t="shared" si="5"/>
        <v>0</v>
      </c>
      <c r="AV218" s="97">
        <f t="shared" si="5"/>
        <v>0</v>
      </c>
      <c r="AW218" s="97">
        <f t="shared" si="5"/>
        <v>1</v>
      </c>
      <c r="AX218" s="97">
        <f t="shared" si="5"/>
        <v>1</v>
      </c>
      <c r="AY218" s="97">
        <f t="shared" si="5"/>
        <v>0</v>
      </c>
      <c r="AZ218" s="97">
        <f t="shared" si="5"/>
        <v>0</v>
      </c>
      <c r="BA218" s="97">
        <f t="shared" si="5"/>
        <v>0</v>
      </c>
      <c r="BB218" s="97">
        <f t="shared" si="5"/>
        <v>0</v>
      </c>
      <c r="BC218" s="97">
        <f t="shared" si="5"/>
        <v>1</v>
      </c>
      <c r="BD218" s="97">
        <f t="shared" si="5"/>
        <v>1</v>
      </c>
      <c r="BE218" s="97">
        <f t="shared" si="5"/>
        <v>0</v>
      </c>
      <c r="BF218" s="98">
        <f t="shared" si="5"/>
        <v>0</v>
      </c>
      <c r="BG218" s="95">
        <f t="shared" si="5"/>
        <v>10</v>
      </c>
      <c r="BJ218" s="35">
        <v>14</v>
      </c>
      <c r="BK218" s="36">
        <v>9</v>
      </c>
      <c r="BL218" s="36">
        <v>3</v>
      </c>
      <c r="BM218" s="37">
        <v>2</v>
      </c>
      <c r="BN218" s="39">
        <v>34</v>
      </c>
    </row>
    <row r="219" spans="1:66" s="3" customFormat="1" ht="18.5" customHeight="1" x14ac:dyDescent="0.2">
      <c r="A219" s="35">
        <v>4</v>
      </c>
      <c r="B219" s="36">
        <v>7</v>
      </c>
      <c r="C219" s="36">
        <v>1</v>
      </c>
      <c r="D219" s="37">
        <v>1</v>
      </c>
      <c r="R219" s="35">
        <v>14</v>
      </c>
      <c r="S219" s="36">
        <v>7</v>
      </c>
      <c r="T219" s="36">
        <v>4</v>
      </c>
      <c r="U219" s="37">
        <v>2</v>
      </c>
      <c r="BJ219" s="35">
        <v>14</v>
      </c>
      <c r="BK219" s="36">
        <v>9</v>
      </c>
      <c r="BL219" s="36">
        <v>4</v>
      </c>
      <c r="BM219" s="37">
        <v>2</v>
      </c>
      <c r="BN219" s="39">
        <v>34</v>
      </c>
    </row>
    <row r="220" spans="1:66" s="3" customFormat="1" ht="18" customHeight="1" x14ac:dyDescent="0.2">
      <c r="A220" s="35">
        <v>4</v>
      </c>
      <c r="B220" s="36">
        <v>7</v>
      </c>
      <c r="C220" s="36">
        <v>1</v>
      </c>
      <c r="D220" s="37">
        <v>2</v>
      </c>
      <c r="R220" s="35">
        <v>14</v>
      </c>
      <c r="S220" s="36">
        <v>9</v>
      </c>
      <c r="T220" s="36">
        <v>3</v>
      </c>
      <c r="U220" s="37">
        <v>2</v>
      </c>
      <c r="BJ220" s="35">
        <v>15</v>
      </c>
      <c r="BK220" s="36">
        <v>1</v>
      </c>
      <c r="BL220" s="36">
        <v>3</v>
      </c>
      <c r="BM220" s="37">
        <v>3</v>
      </c>
      <c r="BN220" s="39">
        <v>1</v>
      </c>
    </row>
    <row r="221" spans="1:66" s="3" customFormat="1" ht="18.5" customHeight="1" x14ac:dyDescent="0.2">
      <c r="A221" s="35">
        <v>4</v>
      </c>
      <c r="B221" s="36">
        <v>7</v>
      </c>
      <c r="C221" s="36">
        <v>1</v>
      </c>
      <c r="D221" s="37">
        <v>3</v>
      </c>
      <c r="R221" s="35">
        <v>14</v>
      </c>
      <c r="S221" s="36">
        <v>9</v>
      </c>
      <c r="T221" s="36">
        <v>4</v>
      </c>
      <c r="U221" s="37">
        <v>2</v>
      </c>
      <c r="BJ221" s="35">
        <v>15</v>
      </c>
      <c r="BK221" s="36">
        <v>1</v>
      </c>
      <c r="BL221" s="36">
        <v>4</v>
      </c>
      <c r="BM221" s="37">
        <v>3</v>
      </c>
      <c r="BN221" s="39">
        <v>1</v>
      </c>
    </row>
    <row r="222" spans="1:66" s="3" customFormat="1" ht="19" customHeight="1" x14ac:dyDescent="0.2">
      <c r="A222" s="35">
        <v>4</v>
      </c>
      <c r="B222" s="36">
        <v>7</v>
      </c>
      <c r="C222" s="36">
        <v>1</v>
      </c>
      <c r="D222" s="37">
        <v>4</v>
      </c>
      <c r="R222" s="35">
        <v>15</v>
      </c>
      <c r="S222" s="36">
        <v>1</v>
      </c>
      <c r="T222" s="36">
        <v>3</v>
      </c>
      <c r="U222" s="37">
        <v>2</v>
      </c>
      <c r="AA222" s="8" t="s">
        <v>4</v>
      </c>
      <c r="BJ222" s="35">
        <v>15</v>
      </c>
      <c r="BK222" s="36">
        <v>2</v>
      </c>
      <c r="BL222" s="36">
        <v>3</v>
      </c>
      <c r="BM222" s="37">
        <v>3</v>
      </c>
      <c r="BN222" s="39">
        <v>1</v>
      </c>
    </row>
    <row r="223" spans="1:66" s="3" customFormat="1" ht="19" customHeight="1" x14ac:dyDescent="0.2">
      <c r="A223" s="35">
        <v>4</v>
      </c>
      <c r="B223" s="36">
        <v>7</v>
      </c>
      <c r="C223" s="36">
        <v>2</v>
      </c>
      <c r="D223" s="37">
        <v>1</v>
      </c>
      <c r="R223" s="35">
        <v>15</v>
      </c>
      <c r="S223" s="36">
        <v>1</v>
      </c>
      <c r="T223" s="36">
        <v>4</v>
      </c>
      <c r="U223" s="37">
        <v>2</v>
      </c>
      <c r="X223" s="8" t="s">
        <v>22</v>
      </c>
      <c r="BJ223" s="35">
        <v>15</v>
      </c>
      <c r="BK223" s="36">
        <v>2</v>
      </c>
      <c r="BL223" s="36">
        <v>4</v>
      </c>
      <c r="BM223" s="37">
        <v>3</v>
      </c>
      <c r="BN223" s="39">
        <v>1</v>
      </c>
    </row>
    <row r="224" spans="1:66" s="3" customFormat="1" ht="19" customHeight="1" x14ac:dyDescent="0.2">
      <c r="A224" s="35">
        <v>4</v>
      </c>
      <c r="B224" s="36">
        <v>7</v>
      </c>
      <c r="C224" s="36">
        <v>2</v>
      </c>
      <c r="D224" s="37">
        <v>2</v>
      </c>
      <c r="R224" s="35">
        <v>15</v>
      </c>
      <c r="S224" s="36">
        <v>2</v>
      </c>
      <c r="T224" s="36">
        <v>3</v>
      </c>
      <c r="U224" s="37">
        <v>2</v>
      </c>
      <c r="X224" s="94">
        <v>30</v>
      </c>
      <c r="AA224" s="100">
        <v>1</v>
      </c>
      <c r="AB224" s="100">
        <v>3</v>
      </c>
      <c r="BJ224" s="35">
        <v>15</v>
      </c>
      <c r="BK224" s="36">
        <v>4</v>
      </c>
      <c r="BL224" s="36">
        <v>3</v>
      </c>
      <c r="BM224" s="37">
        <v>3</v>
      </c>
      <c r="BN224" s="39">
        <v>1</v>
      </c>
    </row>
    <row r="225" spans="1:66" s="3" customFormat="1" ht="18.5" customHeight="1" x14ac:dyDescent="0.2">
      <c r="A225" s="35">
        <v>4</v>
      </c>
      <c r="B225" s="36">
        <v>7</v>
      </c>
      <c r="C225" s="36">
        <v>2</v>
      </c>
      <c r="D225" s="37">
        <v>3</v>
      </c>
      <c r="R225" s="35">
        <v>15</v>
      </c>
      <c r="S225" s="36">
        <v>2</v>
      </c>
      <c r="T225" s="36">
        <v>4</v>
      </c>
      <c r="U225" s="37">
        <v>2</v>
      </c>
      <c r="AA225" s="100">
        <v>1</v>
      </c>
      <c r="AB225" s="100">
        <v>4</v>
      </c>
      <c r="BJ225" s="35">
        <v>15</v>
      </c>
      <c r="BK225" s="36">
        <v>4</v>
      </c>
      <c r="BL225" s="36">
        <v>4</v>
      </c>
      <c r="BM225" s="37">
        <v>3</v>
      </c>
      <c r="BN225" s="39">
        <v>1</v>
      </c>
    </row>
    <row r="226" spans="1:66" s="3" customFormat="1" ht="18" customHeight="1" x14ac:dyDescent="0.2">
      <c r="A226" s="35">
        <v>4</v>
      </c>
      <c r="B226" s="36">
        <v>7</v>
      </c>
      <c r="C226" s="36">
        <v>2</v>
      </c>
      <c r="D226" s="37">
        <v>4</v>
      </c>
      <c r="R226" s="35">
        <v>15</v>
      </c>
      <c r="S226" s="36">
        <v>4</v>
      </c>
      <c r="T226" s="36">
        <v>3</v>
      </c>
      <c r="U226" s="37">
        <v>2</v>
      </c>
      <c r="AA226" s="100">
        <v>2</v>
      </c>
      <c r="AB226" s="100">
        <v>3</v>
      </c>
      <c r="BJ226" s="35">
        <v>15</v>
      </c>
      <c r="BK226" s="36">
        <v>6</v>
      </c>
      <c r="BL226" s="36">
        <v>3</v>
      </c>
      <c r="BM226" s="37">
        <v>2</v>
      </c>
      <c r="BN226" s="39">
        <v>1</v>
      </c>
    </row>
    <row r="227" spans="1:66" s="3" customFormat="1" ht="18" customHeight="1" x14ac:dyDescent="0.2">
      <c r="A227" s="35">
        <v>4</v>
      </c>
      <c r="B227" s="36">
        <v>7</v>
      </c>
      <c r="C227" s="36">
        <v>3</v>
      </c>
      <c r="D227" s="37">
        <v>1</v>
      </c>
      <c r="R227" s="35">
        <v>15</v>
      </c>
      <c r="S227" s="36">
        <v>4</v>
      </c>
      <c r="T227" s="36">
        <v>4</v>
      </c>
      <c r="U227" s="37">
        <v>2</v>
      </c>
      <c r="AA227" s="100">
        <v>2</v>
      </c>
      <c r="AB227" s="100">
        <v>4</v>
      </c>
      <c r="BJ227" s="35">
        <v>15</v>
      </c>
      <c r="BK227" s="36">
        <v>6</v>
      </c>
      <c r="BL227" s="36">
        <v>4</v>
      </c>
      <c r="BM227" s="37">
        <v>2</v>
      </c>
      <c r="BN227" s="39">
        <v>1</v>
      </c>
    </row>
    <row r="228" spans="1:66" s="3" customFormat="1" ht="18" customHeight="1" x14ac:dyDescent="0.2">
      <c r="A228" s="35">
        <v>4</v>
      </c>
      <c r="B228" s="36">
        <v>7</v>
      </c>
      <c r="C228" s="36">
        <v>3</v>
      </c>
      <c r="D228" s="37">
        <v>2</v>
      </c>
      <c r="R228" s="35">
        <v>15</v>
      </c>
      <c r="S228" s="36">
        <v>6</v>
      </c>
      <c r="T228" s="36">
        <v>3</v>
      </c>
      <c r="U228" s="37">
        <v>2</v>
      </c>
      <c r="AA228" s="100">
        <v>4</v>
      </c>
      <c r="AB228" s="100">
        <v>3</v>
      </c>
      <c r="BJ228" s="35">
        <v>15</v>
      </c>
      <c r="BK228" s="36">
        <v>7</v>
      </c>
      <c r="BL228" s="36">
        <v>3</v>
      </c>
      <c r="BM228" s="37">
        <v>2</v>
      </c>
      <c r="BN228" s="39">
        <v>1</v>
      </c>
    </row>
    <row r="229" spans="1:66" s="3" customFormat="1" ht="18" customHeight="1" x14ac:dyDescent="0.2">
      <c r="A229" s="35">
        <v>4</v>
      </c>
      <c r="B229" s="36">
        <v>7</v>
      </c>
      <c r="C229" s="36">
        <v>3</v>
      </c>
      <c r="D229" s="37">
        <v>3</v>
      </c>
      <c r="R229" s="35">
        <v>15</v>
      </c>
      <c r="S229" s="36">
        <v>6</v>
      </c>
      <c r="T229" s="36">
        <v>4</v>
      </c>
      <c r="U229" s="37">
        <v>2</v>
      </c>
      <c r="AA229" s="100">
        <v>4</v>
      </c>
      <c r="AB229" s="100">
        <v>4</v>
      </c>
      <c r="BJ229" s="35">
        <v>15</v>
      </c>
      <c r="BK229" s="36">
        <v>7</v>
      </c>
      <c r="BL229" s="36">
        <v>4</v>
      </c>
      <c r="BM229" s="37">
        <v>2</v>
      </c>
      <c r="BN229" s="39">
        <v>1</v>
      </c>
    </row>
    <row r="230" spans="1:66" s="3" customFormat="1" ht="18" customHeight="1" x14ac:dyDescent="0.2">
      <c r="A230" s="35">
        <v>4</v>
      </c>
      <c r="B230" s="36">
        <v>7</v>
      </c>
      <c r="C230" s="36">
        <v>3</v>
      </c>
      <c r="D230" s="37">
        <v>4</v>
      </c>
      <c r="R230" s="35">
        <v>15</v>
      </c>
      <c r="S230" s="36">
        <v>7</v>
      </c>
      <c r="T230" s="36">
        <v>3</v>
      </c>
      <c r="U230" s="37">
        <v>2</v>
      </c>
      <c r="AA230" s="100">
        <v>7</v>
      </c>
      <c r="AB230" s="100">
        <v>3</v>
      </c>
      <c r="BJ230" s="35">
        <v>15</v>
      </c>
      <c r="BK230" s="36">
        <v>9</v>
      </c>
      <c r="BL230" s="36">
        <v>3</v>
      </c>
      <c r="BM230" s="37">
        <v>2</v>
      </c>
      <c r="BN230" s="39">
        <v>1</v>
      </c>
    </row>
    <row r="231" spans="1:66" s="3" customFormat="1" ht="18" customHeight="1" x14ac:dyDescent="0.2">
      <c r="A231" s="35">
        <v>4</v>
      </c>
      <c r="B231" s="36">
        <v>9</v>
      </c>
      <c r="C231" s="36">
        <v>1</v>
      </c>
      <c r="D231" s="37">
        <v>1</v>
      </c>
      <c r="R231" s="35">
        <v>15</v>
      </c>
      <c r="S231" s="36">
        <v>7</v>
      </c>
      <c r="T231" s="36">
        <v>4</v>
      </c>
      <c r="U231" s="37">
        <v>2</v>
      </c>
      <c r="AA231" s="100">
        <v>7</v>
      </c>
      <c r="AB231" s="100">
        <v>4</v>
      </c>
      <c r="BJ231" s="35">
        <v>15</v>
      </c>
      <c r="BK231" s="36">
        <v>9</v>
      </c>
      <c r="BL231" s="36">
        <v>4</v>
      </c>
      <c r="BM231" s="37">
        <v>2</v>
      </c>
      <c r="BN231" s="39">
        <v>1</v>
      </c>
    </row>
    <row r="232" spans="1:66" s="3" customFormat="1" ht="18" customHeight="1" x14ac:dyDescent="0.2">
      <c r="A232" s="35">
        <v>4</v>
      </c>
      <c r="B232" s="36">
        <v>9</v>
      </c>
      <c r="C232" s="36">
        <v>1</v>
      </c>
      <c r="D232" s="37">
        <v>2</v>
      </c>
      <c r="R232" s="35">
        <v>15</v>
      </c>
      <c r="S232" s="36">
        <v>9</v>
      </c>
      <c r="T232" s="36">
        <v>3</v>
      </c>
      <c r="U232" s="37">
        <v>2</v>
      </c>
      <c r="AA232" s="100">
        <v>9</v>
      </c>
      <c r="AB232" s="100">
        <v>3</v>
      </c>
      <c r="BJ232" s="35">
        <v>16</v>
      </c>
      <c r="BK232" s="36">
        <v>1</v>
      </c>
      <c r="BL232" s="36">
        <v>3</v>
      </c>
      <c r="BM232" s="37">
        <v>3</v>
      </c>
      <c r="BN232" s="39">
        <v>7</v>
      </c>
    </row>
    <row r="233" spans="1:66" s="3" customFormat="1" ht="18" customHeight="1" x14ac:dyDescent="0.2">
      <c r="A233" s="35">
        <v>4</v>
      </c>
      <c r="B233" s="36">
        <v>9</v>
      </c>
      <c r="C233" s="36">
        <v>1</v>
      </c>
      <c r="D233" s="37">
        <v>3</v>
      </c>
      <c r="R233" s="35">
        <v>15</v>
      </c>
      <c r="S233" s="36">
        <v>9</v>
      </c>
      <c r="T233" s="36">
        <v>4</v>
      </c>
      <c r="U233" s="37">
        <v>2</v>
      </c>
      <c r="AA233" s="100">
        <v>9</v>
      </c>
      <c r="AB233" s="100">
        <v>4</v>
      </c>
      <c r="BJ233" s="35">
        <v>16</v>
      </c>
      <c r="BK233" s="36">
        <v>1</v>
      </c>
      <c r="BL233" s="36">
        <v>4</v>
      </c>
      <c r="BM233" s="37">
        <v>3</v>
      </c>
      <c r="BN233" s="39">
        <v>7</v>
      </c>
    </row>
    <row r="234" spans="1:66" s="3" customFormat="1" ht="18" customHeight="1" x14ac:dyDescent="0.2">
      <c r="A234" s="35">
        <v>4</v>
      </c>
      <c r="B234" s="36">
        <v>9</v>
      </c>
      <c r="C234" s="36">
        <v>1</v>
      </c>
      <c r="D234" s="37">
        <v>4</v>
      </c>
      <c r="R234" s="35">
        <v>16</v>
      </c>
      <c r="S234" s="36">
        <v>1</v>
      </c>
      <c r="T234" s="36">
        <v>3</v>
      </c>
      <c r="U234" s="37">
        <v>2</v>
      </c>
      <c r="BJ234" s="35">
        <v>16</v>
      </c>
      <c r="BK234" s="36">
        <v>2</v>
      </c>
      <c r="BL234" s="36">
        <v>3</v>
      </c>
      <c r="BM234" s="37">
        <v>3</v>
      </c>
      <c r="BN234" s="39">
        <v>7</v>
      </c>
    </row>
    <row r="235" spans="1:66" s="3" customFormat="1" ht="18" customHeight="1" x14ac:dyDescent="0.2">
      <c r="A235" s="35">
        <v>4</v>
      </c>
      <c r="B235" s="36">
        <v>9</v>
      </c>
      <c r="C235" s="36">
        <v>2</v>
      </c>
      <c r="D235" s="37">
        <v>1</v>
      </c>
      <c r="R235" s="35">
        <v>16</v>
      </c>
      <c r="S235" s="36">
        <v>1</v>
      </c>
      <c r="T235" s="36">
        <v>4</v>
      </c>
      <c r="U235" s="37">
        <v>2</v>
      </c>
      <c r="BJ235" s="35">
        <v>16</v>
      </c>
      <c r="BK235" s="36">
        <v>2</v>
      </c>
      <c r="BL235" s="36">
        <v>4</v>
      </c>
      <c r="BM235" s="37">
        <v>3</v>
      </c>
      <c r="BN235" s="39">
        <v>7</v>
      </c>
    </row>
    <row r="236" spans="1:66" s="3" customFormat="1" ht="18" customHeight="1" x14ac:dyDescent="0.2">
      <c r="A236" s="35">
        <v>4</v>
      </c>
      <c r="B236" s="36">
        <v>9</v>
      </c>
      <c r="C236" s="36">
        <v>2</v>
      </c>
      <c r="D236" s="37">
        <v>2</v>
      </c>
      <c r="R236" s="35">
        <v>16</v>
      </c>
      <c r="S236" s="36">
        <v>2</v>
      </c>
      <c r="T236" s="36">
        <v>3</v>
      </c>
      <c r="U236" s="37">
        <v>2</v>
      </c>
      <c r="BJ236" s="35">
        <v>16</v>
      </c>
      <c r="BK236" s="36">
        <v>3</v>
      </c>
      <c r="BL236" s="36">
        <v>3</v>
      </c>
      <c r="BM236" s="37">
        <v>3</v>
      </c>
      <c r="BN236" s="39">
        <v>7</v>
      </c>
    </row>
    <row r="237" spans="1:66" s="3" customFormat="1" ht="18.5" customHeight="1" x14ac:dyDescent="0.2">
      <c r="A237" s="35">
        <v>4</v>
      </c>
      <c r="B237" s="36">
        <v>9</v>
      </c>
      <c r="C237" s="36">
        <v>2</v>
      </c>
      <c r="D237" s="37">
        <v>3</v>
      </c>
      <c r="R237" s="35">
        <v>16</v>
      </c>
      <c r="S237" s="36">
        <v>2</v>
      </c>
      <c r="T237" s="36">
        <v>4</v>
      </c>
      <c r="U237" s="37">
        <v>2</v>
      </c>
      <c r="BJ237" s="35">
        <v>16</v>
      </c>
      <c r="BK237" s="36">
        <v>3</v>
      </c>
      <c r="BL237" s="36">
        <v>4</v>
      </c>
      <c r="BM237" s="37">
        <v>3</v>
      </c>
      <c r="BN237" s="39">
        <v>7</v>
      </c>
    </row>
    <row r="238" spans="1:66" s="3" customFormat="1" ht="19" customHeight="1" x14ac:dyDescent="0.2">
      <c r="A238" s="35">
        <v>4</v>
      </c>
      <c r="B238" s="36">
        <v>9</v>
      </c>
      <c r="C238" s="36">
        <v>2</v>
      </c>
      <c r="D238" s="37">
        <v>4</v>
      </c>
      <c r="R238" s="35">
        <v>16</v>
      </c>
      <c r="S238" s="36">
        <v>3</v>
      </c>
      <c r="T238" s="36">
        <v>3</v>
      </c>
      <c r="U238" s="37">
        <v>2</v>
      </c>
      <c r="Y238" s="23">
        <v>1</v>
      </c>
      <c r="Z238" s="24">
        <v>1</v>
      </c>
      <c r="AA238" s="24">
        <v>1</v>
      </c>
      <c r="AB238" s="24">
        <v>1</v>
      </c>
      <c r="AC238" s="24">
        <v>2</v>
      </c>
      <c r="AD238" s="24">
        <v>2</v>
      </c>
      <c r="AE238" s="24">
        <v>2</v>
      </c>
      <c r="AF238" s="24">
        <v>2</v>
      </c>
      <c r="AG238" s="24">
        <v>3</v>
      </c>
      <c r="AH238" s="24">
        <v>3</v>
      </c>
      <c r="AI238" s="24">
        <v>4</v>
      </c>
      <c r="AJ238" s="24">
        <v>4</v>
      </c>
      <c r="AK238" s="24">
        <v>4</v>
      </c>
      <c r="AL238" s="24">
        <v>4</v>
      </c>
      <c r="AM238" s="24">
        <v>5</v>
      </c>
      <c r="AN238" s="24">
        <v>5</v>
      </c>
      <c r="AO238" s="24">
        <v>5</v>
      </c>
      <c r="AP238" s="24">
        <v>5</v>
      </c>
      <c r="AQ238" s="24">
        <v>6</v>
      </c>
      <c r="AR238" s="24">
        <v>6</v>
      </c>
      <c r="AS238" s="24">
        <v>6</v>
      </c>
      <c r="AT238" s="24">
        <v>6</v>
      </c>
      <c r="AU238" s="24">
        <v>7</v>
      </c>
      <c r="AV238" s="24">
        <v>7</v>
      </c>
      <c r="AW238" s="24">
        <v>7</v>
      </c>
      <c r="AX238" s="24">
        <v>7</v>
      </c>
      <c r="AY238" s="24">
        <v>8</v>
      </c>
      <c r="AZ238" s="24">
        <v>8</v>
      </c>
      <c r="BA238" s="24">
        <v>9</v>
      </c>
      <c r="BB238" s="24">
        <v>9</v>
      </c>
      <c r="BC238" s="24">
        <v>9</v>
      </c>
      <c r="BD238" s="24">
        <v>9</v>
      </c>
      <c r="BE238" s="24">
        <v>10</v>
      </c>
      <c r="BF238" s="25">
        <v>10</v>
      </c>
      <c r="BJ238" s="35">
        <v>16</v>
      </c>
      <c r="BK238" s="36">
        <v>4</v>
      </c>
      <c r="BL238" s="36">
        <v>3</v>
      </c>
      <c r="BM238" s="37">
        <v>3</v>
      </c>
      <c r="BN238" s="39">
        <v>7</v>
      </c>
    </row>
    <row r="239" spans="1:66" s="3" customFormat="1" ht="19" customHeight="1" x14ac:dyDescent="0.2">
      <c r="A239" s="35">
        <v>4</v>
      </c>
      <c r="B239" s="36">
        <v>9</v>
      </c>
      <c r="C239" s="36">
        <v>3</v>
      </c>
      <c r="D239" s="37">
        <v>1</v>
      </c>
      <c r="R239" s="35">
        <v>16</v>
      </c>
      <c r="S239" s="36">
        <v>3</v>
      </c>
      <c r="T239" s="36">
        <v>4</v>
      </c>
      <c r="U239" s="37">
        <v>2</v>
      </c>
      <c r="X239" s="8" t="s">
        <v>22</v>
      </c>
      <c r="Y239" s="32">
        <v>1</v>
      </c>
      <c r="Z239" s="33">
        <v>2</v>
      </c>
      <c r="AA239" s="33">
        <v>3</v>
      </c>
      <c r="AB239" s="33">
        <v>4</v>
      </c>
      <c r="AC239" s="33">
        <v>1</v>
      </c>
      <c r="AD239" s="33">
        <v>2</v>
      </c>
      <c r="AE239" s="33">
        <v>3</v>
      </c>
      <c r="AF239" s="33">
        <v>4</v>
      </c>
      <c r="AG239" s="33">
        <v>3</v>
      </c>
      <c r="AH239" s="33">
        <v>4</v>
      </c>
      <c r="AI239" s="33">
        <v>1</v>
      </c>
      <c r="AJ239" s="33">
        <v>2</v>
      </c>
      <c r="AK239" s="33">
        <v>3</v>
      </c>
      <c r="AL239" s="33">
        <v>4</v>
      </c>
      <c r="AM239" s="33">
        <v>1</v>
      </c>
      <c r="AN239" s="33">
        <v>2</v>
      </c>
      <c r="AO239" s="33">
        <v>3</v>
      </c>
      <c r="AP239" s="33">
        <v>4</v>
      </c>
      <c r="AQ239" s="33">
        <v>1</v>
      </c>
      <c r="AR239" s="33">
        <v>2</v>
      </c>
      <c r="AS239" s="33">
        <v>3</v>
      </c>
      <c r="AT239" s="33">
        <v>4</v>
      </c>
      <c r="AU239" s="33">
        <v>1</v>
      </c>
      <c r="AV239" s="33">
        <v>2</v>
      </c>
      <c r="AW239" s="33">
        <v>3</v>
      </c>
      <c r="AX239" s="33">
        <v>4</v>
      </c>
      <c r="AY239" s="33">
        <v>3</v>
      </c>
      <c r="AZ239" s="33">
        <v>4</v>
      </c>
      <c r="BA239" s="33">
        <v>1</v>
      </c>
      <c r="BB239" s="33">
        <v>2</v>
      </c>
      <c r="BC239" s="33">
        <v>3</v>
      </c>
      <c r="BD239" s="33">
        <v>4</v>
      </c>
      <c r="BE239" s="33">
        <v>3</v>
      </c>
      <c r="BF239" s="34">
        <v>4</v>
      </c>
      <c r="BG239" s="8" t="s">
        <v>74</v>
      </c>
      <c r="BJ239" s="35">
        <v>16</v>
      </c>
      <c r="BK239" s="36">
        <v>4</v>
      </c>
      <c r="BL239" s="36">
        <v>4</v>
      </c>
      <c r="BM239" s="37">
        <v>3</v>
      </c>
      <c r="BN239" s="39">
        <v>7</v>
      </c>
    </row>
    <row r="240" spans="1:66" s="3" customFormat="1" ht="19" customHeight="1" x14ac:dyDescent="0.2">
      <c r="A240" s="35">
        <v>4</v>
      </c>
      <c r="B240" s="36">
        <v>9</v>
      </c>
      <c r="C240" s="36">
        <v>3</v>
      </c>
      <c r="D240" s="37">
        <v>2</v>
      </c>
      <c r="R240" s="35">
        <v>16</v>
      </c>
      <c r="S240" s="36">
        <v>4</v>
      </c>
      <c r="T240" s="36">
        <v>3</v>
      </c>
      <c r="U240" s="37">
        <v>2</v>
      </c>
      <c r="X240" s="94">
        <v>9</v>
      </c>
      <c r="Y240" s="9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1</v>
      </c>
      <c r="AK240" s="10">
        <v>1</v>
      </c>
      <c r="AL240" s="10">
        <v>1</v>
      </c>
      <c r="AM240" s="10">
        <v>0</v>
      </c>
      <c r="AN240" s="10">
        <v>0</v>
      </c>
      <c r="AO240" s="10">
        <v>0</v>
      </c>
      <c r="AP240" s="10">
        <v>0</v>
      </c>
      <c r="AQ240" s="10">
        <v>0</v>
      </c>
      <c r="AR240" s="10">
        <v>0</v>
      </c>
      <c r="AS240" s="10">
        <v>0</v>
      </c>
      <c r="AT240" s="10">
        <v>0</v>
      </c>
      <c r="AU240" s="10">
        <v>0</v>
      </c>
      <c r="AV240" s="10">
        <v>1</v>
      </c>
      <c r="AW240" s="10">
        <v>1</v>
      </c>
      <c r="AX240" s="10">
        <v>1</v>
      </c>
      <c r="AY240" s="10">
        <v>0</v>
      </c>
      <c r="AZ240" s="10">
        <v>0</v>
      </c>
      <c r="BA240" s="10">
        <v>0</v>
      </c>
      <c r="BB240" s="10">
        <v>1</v>
      </c>
      <c r="BC240" s="10">
        <v>1</v>
      </c>
      <c r="BD240" s="10">
        <v>1</v>
      </c>
      <c r="BE240" s="10">
        <v>0</v>
      </c>
      <c r="BF240" s="11">
        <v>0</v>
      </c>
      <c r="BG240" s="94">
        <v>9</v>
      </c>
      <c r="BJ240" s="35">
        <v>16</v>
      </c>
      <c r="BK240" s="36">
        <v>5</v>
      </c>
      <c r="BL240" s="36">
        <v>3</v>
      </c>
      <c r="BM240" s="37">
        <v>3</v>
      </c>
      <c r="BN240" s="39">
        <v>7</v>
      </c>
    </row>
    <row r="241" spans="1:66" s="3" customFormat="1" ht="19" customHeight="1" x14ac:dyDescent="0.2">
      <c r="A241" s="35">
        <v>4</v>
      </c>
      <c r="B241" s="36">
        <v>9</v>
      </c>
      <c r="C241" s="36">
        <v>3</v>
      </c>
      <c r="D241" s="37">
        <v>3</v>
      </c>
      <c r="R241" s="35">
        <v>16</v>
      </c>
      <c r="S241" s="36">
        <v>4</v>
      </c>
      <c r="T241" s="36">
        <v>4</v>
      </c>
      <c r="U241" s="37">
        <v>2</v>
      </c>
      <c r="X241" s="8" t="s">
        <v>74</v>
      </c>
      <c r="Y241" s="96">
        <f t="shared" ref="Y241:BG241" si="6">SUM(Y240)</f>
        <v>0</v>
      </c>
      <c r="Z241" s="97">
        <f t="shared" si="6"/>
        <v>0</v>
      </c>
      <c r="AA241" s="97">
        <f t="shared" si="6"/>
        <v>0</v>
      </c>
      <c r="AB241" s="97">
        <f t="shared" si="6"/>
        <v>0</v>
      </c>
      <c r="AC241" s="97">
        <f t="shared" si="6"/>
        <v>0</v>
      </c>
      <c r="AD241" s="97">
        <f t="shared" si="6"/>
        <v>0</v>
      </c>
      <c r="AE241" s="97">
        <f t="shared" si="6"/>
        <v>0</v>
      </c>
      <c r="AF241" s="97">
        <f t="shared" si="6"/>
        <v>0</v>
      </c>
      <c r="AG241" s="97">
        <f t="shared" si="6"/>
        <v>0</v>
      </c>
      <c r="AH241" s="97">
        <f t="shared" si="6"/>
        <v>0</v>
      </c>
      <c r="AI241" s="97">
        <f t="shared" si="6"/>
        <v>0</v>
      </c>
      <c r="AJ241" s="97">
        <f t="shared" si="6"/>
        <v>1</v>
      </c>
      <c r="AK241" s="97">
        <f t="shared" si="6"/>
        <v>1</v>
      </c>
      <c r="AL241" s="97">
        <f t="shared" si="6"/>
        <v>1</v>
      </c>
      <c r="AM241" s="97">
        <f t="shared" si="6"/>
        <v>0</v>
      </c>
      <c r="AN241" s="97">
        <f t="shared" si="6"/>
        <v>0</v>
      </c>
      <c r="AO241" s="97">
        <f t="shared" si="6"/>
        <v>0</v>
      </c>
      <c r="AP241" s="97">
        <f t="shared" si="6"/>
        <v>0</v>
      </c>
      <c r="AQ241" s="97">
        <f t="shared" si="6"/>
        <v>0</v>
      </c>
      <c r="AR241" s="97">
        <f t="shared" si="6"/>
        <v>0</v>
      </c>
      <c r="AS241" s="97">
        <f t="shared" si="6"/>
        <v>0</v>
      </c>
      <c r="AT241" s="97">
        <f t="shared" si="6"/>
        <v>0</v>
      </c>
      <c r="AU241" s="97">
        <f t="shared" si="6"/>
        <v>0</v>
      </c>
      <c r="AV241" s="97">
        <f t="shared" si="6"/>
        <v>1</v>
      </c>
      <c r="AW241" s="97">
        <f t="shared" si="6"/>
        <v>1</v>
      </c>
      <c r="AX241" s="97">
        <f t="shared" si="6"/>
        <v>1</v>
      </c>
      <c r="AY241" s="97">
        <f t="shared" si="6"/>
        <v>0</v>
      </c>
      <c r="AZ241" s="97">
        <f t="shared" si="6"/>
        <v>0</v>
      </c>
      <c r="BA241" s="97">
        <f t="shared" si="6"/>
        <v>0</v>
      </c>
      <c r="BB241" s="97">
        <f t="shared" si="6"/>
        <v>1</v>
      </c>
      <c r="BC241" s="97">
        <f t="shared" si="6"/>
        <v>1</v>
      </c>
      <c r="BD241" s="97">
        <f t="shared" si="6"/>
        <v>1</v>
      </c>
      <c r="BE241" s="97">
        <f t="shared" si="6"/>
        <v>0</v>
      </c>
      <c r="BF241" s="98">
        <f t="shared" si="6"/>
        <v>0</v>
      </c>
      <c r="BG241" s="95">
        <f t="shared" si="6"/>
        <v>9</v>
      </c>
      <c r="BJ241" s="35">
        <v>16</v>
      </c>
      <c r="BK241" s="36">
        <v>5</v>
      </c>
      <c r="BL241" s="36">
        <v>4</v>
      </c>
      <c r="BM241" s="37">
        <v>3</v>
      </c>
      <c r="BN241" s="39">
        <v>7</v>
      </c>
    </row>
    <row r="242" spans="1:66" s="3" customFormat="1" ht="18.5" customHeight="1" x14ac:dyDescent="0.2">
      <c r="A242" s="35">
        <v>4</v>
      </c>
      <c r="B242" s="36">
        <v>9</v>
      </c>
      <c r="C242" s="36">
        <v>3</v>
      </c>
      <c r="D242" s="37">
        <v>4</v>
      </c>
      <c r="R242" s="35">
        <v>16</v>
      </c>
      <c r="S242" s="36">
        <v>5</v>
      </c>
      <c r="T242" s="36">
        <v>3</v>
      </c>
      <c r="U242" s="37">
        <v>2</v>
      </c>
      <c r="BJ242" s="35">
        <v>16</v>
      </c>
      <c r="BK242" s="36">
        <v>6</v>
      </c>
      <c r="BL242" s="36">
        <v>3</v>
      </c>
      <c r="BM242" s="37">
        <v>2</v>
      </c>
      <c r="BN242" s="39">
        <v>7</v>
      </c>
    </row>
    <row r="243" spans="1:66" s="3" customFormat="1" ht="18" customHeight="1" x14ac:dyDescent="0.2">
      <c r="A243" s="35">
        <v>5</v>
      </c>
      <c r="B243" s="36">
        <v>1</v>
      </c>
      <c r="C243" s="36">
        <v>1</v>
      </c>
      <c r="D243" s="37">
        <v>1</v>
      </c>
      <c r="R243" s="35">
        <v>16</v>
      </c>
      <c r="S243" s="36">
        <v>5</v>
      </c>
      <c r="T243" s="36">
        <v>4</v>
      </c>
      <c r="U243" s="37">
        <v>2</v>
      </c>
      <c r="BJ243" s="35">
        <v>16</v>
      </c>
      <c r="BK243" s="36">
        <v>6</v>
      </c>
      <c r="BL243" s="36">
        <v>4</v>
      </c>
      <c r="BM243" s="37">
        <v>2</v>
      </c>
      <c r="BN243" s="39">
        <v>7</v>
      </c>
    </row>
    <row r="244" spans="1:66" s="3" customFormat="1" ht="18" customHeight="1" x14ac:dyDescent="0.2">
      <c r="A244" s="35">
        <v>5</v>
      </c>
      <c r="B244" s="36">
        <v>1</v>
      </c>
      <c r="C244" s="36">
        <v>1</v>
      </c>
      <c r="D244" s="37">
        <v>2</v>
      </c>
      <c r="R244" s="35">
        <v>16</v>
      </c>
      <c r="S244" s="36">
        <v>6</v>
      </c>
      <c r="T244" s="36">
        <v>3</v>
      </c>
      <c r="U244" s="37">
        <v>2</v>
      </c>
      <c r="BJ244" s="35">
        <v>16</v>
      </c>
      <c r="BK244" s="36">
        <v>7</v>
      </c>
      <c r="BL244" s="36">
        <v>3</v>
      </c>
      <c r="BM244" s="37">
        <v>2</v>
      </c>
      <c r="BN244" s="39">
        <v>7</v>
      </c>
    </row>
    <row r="245" spans="1:66" s="3" customFormat="1" ht="18.5" customHeight="1" x14ac:dyDescent="0.2">
      <c r="A245" s="35">
        <v>5</v>
      </c>
      <c r="B245" s="36">
        <v>1</v>
      </c>
      <c r="C245" s="36">
        <v>1</v>
      </c>
      <c r="D245" s="37">
        <v>3</v>
      </c>
      <c r="R245" s="35">
        <v>16</v>
      </c>
      <c r="S245" s="36">
        <v>6</v>
      </c>
      <c r="T245" s="36">
        <v>4</v>
      </c>
      <c r="U245" s="37">
        <v>2</v>
      </c>
      <c r="BJ245" s="35">
        <v>16</v>
      </c>
      <c r="BK245" s="36">
        <v>7</v>
      </c>
      <c r="BL245" s="36">
        <v>4</v>
      </c>
      <c r="BM245" s="37">
        <v>2</v>
      </c>
      <c r="BN245" s="39">
        <v>7</v>
      </c>
    </row>
    <row r="246" spans="1:66" s="3" customFormat="1" ht="19" customHeight="1" x14ac:dyDescent="0.2">
      <c r="A246" s="35">
        <v>5</v>
      </c>
      <c r="B246" s="36">
        <v>1</v>
      </c>
      <c r="C246" s="36">
        <v>1</v>
      </c>
      <c r="D246" s="37">
        <v>4</v>
      </c>
      <c r="R246" s="35">
        <v>16</v>
      </c>
      <c r="S246" s="36">
        <v>7</v>
      </c>
      <c r="T246" s="36">
        <v>3</v>
      </c>
      <c r="U246" s="37">
        <v>2</v>
      </c>
      <c r="AA246" s="8" t="s">
        <v>4</v>
      </c>
      <c r="BJ246" s="35">
        <v>16</v>
      </c>
      <c r="BK246" s="36">
        <v>8</v>
      </c>
      <c r="BL246" s="36">
        <v>3</v>
      </c>
      <c r="BM246" s="37">
        <v>2</v>
      </c>
      <c r="BN246" s="39">
        <v>7</v>
      </c>
    </row>
    <row r="247" spans="1:66" s="3" customFormat="1" ht="19" customHeight="1" x14ac:dyDescent="0.2">
      <c r="A247" s="35">
        <v>5</v>
      </c>
      <c r="B247" s="36">
        <v>1</v>
      </c>
      <c r="C247" s="36">
        <v>2</v>
      </c>
      <c r="D247" s="37">
        <v>1</v>
      </c>
      <c r="R247" s="35">
        <v>16</v>
      </c>
      <c r="S247" s="36">
        <v>7</v>
      </c>
      <c r="T247" s="36">
        <v>4</v>
      </c>
      <c r="U247" s="37">
        <v>2</v>
      </c>
      <c r="X247" s="8" t="s">
        <v>22</v>
      </c>
      <c r="BJ247" s="35">
        <v>16</v>
      </c>
      <c r="BK247" s="36">
        <v>8</v>
      </c>
      <c r="BL247" s="36">
        <v>4</v>
      </c>
      <c r="BM247" s="37">
        <v>2</v>
      </c>
      <c r="BN247" s="39">
        <v>7</v>
      </c>
    </row>
    <row r="248" spans="1:66" s="3" customFormat="1" ht="18.5" customHeight="1" x14ac:dyDescent="0.2">
      <c r="A248" s="35">
        <v>5</v>
      </c>
      <c r="B248" s="36">
        <v>1</v>
      </c>
      <c r="C248" s="36">
        <v>2</v>
      </c>
      <c r="D248" s="37">
        <v>2</v>
      </c>
      <c r="R248" s="35">
        <v>16</v>
      </c>
      <c r="S248" s="36">
        <v>8</v>
      </c>
      <c r="T248" s="36">
        <v>3</v>
      </c>
      <c r="U248" s="37">
        <v>2</v>
      </c>
      <c r="X248" s="28">
        <v>9</v>
      </c>
      <c r="AA248" s="100">
        <v>4</v>
      </c>
      <c r="AB248" s="100">
        <v>2</v>
      </c>
      <c r="AC248" s="21"/>
      <c r="BJ248" s="35">
        <v>16</v>
      </c>
      <c r="BK248" s="36">
        <v>9</v>
      </c>
      <c r="BL248" s="36">
        <v>3</v>
      </c>
      <c r="BM248" s="37">
        <v>2</v>
      </c>
      <c r="BN248" s="39">
        <v>7</v>
      </c>
    </row>
    <row r="249" spans="1:66" s="3" customFormat="1" ht="18" customHeight="1" x14ac:dyDescent="0.2">
      <c r="A249" s="35">
        <v>5</v>
      </c>
      <c r="B249" s="36">
        <v>1</v>
      </c>
      <c r="C249" s="36">
        <v>2</v>
      </c>
      <c r="D249" s="37">
        <v>3</v>
      </c>
      <c r="R249" s="35">
        <v>16</v>
      </c>
      <c r="S249" s="36">
        <v>8</v>
      </c>
      <c r="T249" s="36">
        <v>4</v>
      </c>
      <c r="U249" s="37">
        <v>2</v>
      </c>
      <c r="AA249" s="100">
        <v>4</v>
      </c>
      <c r="AB249" s="100">
        <v>3</v>
      </c>
      <c r="AC249" s="21"/>
      <c r="BJ249" s="35">
        <v>16</v>
      </c>
      <c r="BK249" s="36">
        <v>9</v>
      </c>
      <c r="BL249" s="36">
        <v>4</v>
      </c>
      <c r="BM249" s="37">
        <v>2</v>
      </c>
      <c r="BN249" s="39">
        <v>7</v>
      </c>
    </row>
    <row r="250" spans="1:66" s="3" customFormat="1" ht="18" customHeight="1" x14ac:dyDescent="0.2">
      <c r="A250" s="35">
        <v>5</v>
      </c>
      <c r="B250" s="36">
        <v>1</v>
      </c>
      <c r="C250" s="36">
        <v>2</v>
      </c>
      <c r="D250" s="37">
        <v>4</v>
      </c>
      <c r="R250" s="35">
        <v>16</v>
      </c>
      <c r="S250" s="36">
        <v>9</v>
      </c>
      <c r="T250" s="36">
        <v>3</v>
      </c>
      <c r="U250" s="37">
        <v>2</v>
      </c>
      <c r="AA250" s="100">
        <v>4</v>
      </c>
      <c r="AB250" s="100">
        <v>4</v>
      </c>
      <c r="AC250" s="21"/>
      <c r="BJ250" s="35">
        <v>16</v>
      </c>
      <c r="BK250" s="36">
        <v>10</v>
      </c>
      <c r="BL250" s="36">
        <v>3</v>
      </c>
      <c r="BM250" s="37">
        <v>2</v>
      </c>
      <c r="BN250" s="39">
        <v>7</v>
      </c>
    </row>
    <row r="251" spans="1:66" s="3" customFormat="1" ht="18" customHeight="1" x14ac:dyDescent="0.2">
      <c r="A251" s="35">
        <v>5</v>
      </c>
      <c r="B251" s="36">
        <v>1</v>
      </c>
      <c r="C251" s="36">
        <v>3</v>
      </c>
      <c r="D251" s="37">
        <v>1</v>
      </c>
      <c r="R251" s="35">
        <v>16</v>
      </c>
      <c r="S251" s="36">
        <v>9</v>
      </c>
      <c r="T251" s="36">
        <v>4</v>
      </c>
      <c r="U251" s="37">
        <v>2</v>
      </c>
      <c r="AA251" s="100">
        <v>7</v>
      </c>
      <c r="AB251" s="100">
        <v>2</v>
      </c>
      <c r="AC251" s="21"/>
      <c r="BJ251" s="35">
        <v>16</v>
      </c>
      <c r="BK251" s="36">
        <v>10</v>
      </c>
      <c r="BL251" s="36">
        <v>4</v>
      </c>
      <c r="BM251" s="37">
        <v>2</v>
      </c>
      <c r="BN251" s="39">
        <v>7</v>
      </c>
    </row>
    <row r="252" spans="1:66" s="3" customFormat="1" ht="18" customHeight="1" x14ac:dyDescent="0.2">
      <c r="A252" s="35">
        <v>5</v>
      </c>
      <c r="B252" s="36">
        <v>1</v>
      </c>
      <c r="C252" s="36">
        <v>3</v>
      </c>
      <c r="D252" s="37">
        <v>2</v>
      </c>
      <c r="R252" s="35">
        <v>16</v>
      </c>
      <c r="S252" s="36">
        <v>10</v>
      </c>
      <c r="T252" s="36">
        <v>3</v>
      </c>
      <c r="U252" s="37">
        <v>2</v>
      </c>
      <c r="AA252" s="100">
        <v>7</v>
      </c>
      <c r="AB252" s="100">
        <v>3</v>
      </c>
      <c r="AC252" s="21"/>
      <c r="BJ252" s="35">
        <v>17</v>
      </c>
      <c r="BK252" s="36">
        <v>1</v>
      </c>
      <c r="BL252" s="36">
        <v>3</v>
      </c>
      <c r="BM252" s="37">
        <v>3</v>
      </c>
      <c r="BN252" s="39">
        <v>7</v>
      </c>
    </row>
    <row r="253" spans="1:66" s="3" customFormat="1" ht="18" customHeight="1" x14ac:dyDescent="0.2">
      <c r="A253" s="35">
        <v>5</v>
      </c>
      <c r="B253" s="36">
        <v>1</v>
      </c>
      <c r="C253" s="36">
        <v>3</v>
      </c>
      <c r="D253" s="37">
        <v>3</v>
      </c>
      <c r="R253" s="35">
        <v>16</v>
      </c>
      <c r="S253" s="36">
        <v>10</v>
      </c>
      <c r="T253" s="36">
        <v>4</v>
      </c>
      <c r="U253" s="37">
        <v>2</v>
      </c>
      <c r="AA253" s="100">
        <v>7</v>
      </c>
      <c r="AB253" s="100">
        <v>4</v>
      </c>
      <c r="AC253" s="21"/>
      <c r="BJ253" s="35">
        <v>17</v>
      </c>
      <c r="BK253" s="36">
        <v>1</v>
      </c>
      <c r="BL253" s="36">
        <v>4</v>
      </c>
      <c r="BM253" s="37">
        <v>3</v>
      </c>
      <c r="BN253" s="39">
        <v>7</v>
      </c>
    </row>
    <row r="254" spans="1:66" s="3" customFormat="1" ht="18" customHeight="1" x14ac:dyDescent="0.2">
      <c r="A254" s="35">
        <v>5</v>
      </c>
      <c r="B254" s="36">
        <v>1</v>
      </c>
      <c r="C254" s="36">
        <v>3</v>
      </c>
      <c r="D254" s="37">
        <v>4</v>
      </c>
      <c r="R254" s="35">
        <v>17</v>
      </c>
      <c r="S254" s="36">
        <v>1</v>
      </c>
      <c r="T254" s="36">
        <v>3</v>
      </c>
      <c r="U254" s="37">
        <v>2</v>
      </c>
      <c r="AA254" s="100">
        <v>9</v>
      </c>
      <c r="AB254" s="100">
        <v>2</v>
      </c>
      <c r="AC254" s="21"/>
      <c r="BJ254" s="35">
        <v>17</v>
      </c>
      <c r="BK254" s="36">
        <v>2</v>
      </c>
      <c r="BL254" s="36">
        <v>3</v>
      </c>
      <c r="BM254" s="37">
        <v>3</v>
      </c>
      <c r="BN254" s="39">
        <v>7</v>
      </c>
    </row>
    <row r="255" spans="1:66" s="3" customFormat="1" ht="18" customHeight="1" x14ac:dyDescent="0.2">
      <c r="A255" s="35">
        <v>5</v>
      </c>
      <c r="B255" s="36">
        <v>2</v>
      </c>
      <c r="C255" s="36">
        <v>1</v>
      </c>
      <c r="D255" s="37">
        <v>1</v>
      </c>
      <c r="R255" s="35">
        <v>17</v>
      </c>
      <c r="S255" s="36">
        <v>1</v>
      </c>
      <c r="T255" s="36">
        <v>4</v>
      </c>
      <c r="U255" s="37">
        <v>2</v>
      </c>
      <c r="AA255" s="100">
        <v>9</v>
      </c>
      <c r="AB255" s="100">
        <v>3</v>
      </c>
      <c r="AC255" s="21"/>
      <c r="BJ255" s="35">
        <v>17</v>
      </c>
      <c r="BK255" s="36">
        <v>2</v>
      </c>
      <c r="BL255" s="36">
        <v>4</v>
      </c>
      <c r="BM255" s="37">
        <v>3</v>
      </c>
      <c r="BN255" s="39">
        <v>7</v>
      </c>
    </row>
    <row r="256" spans="1:66" s="3" customFormat="1" ht="18" customHeight="1" x14ac:dyDescent="0.2">
      <c r="A256" s="35">
        <v>5</v>
      </c>
      <c r="B256" s="36">
        <v>2</v>
      </c>
      <c r="C256" s="36">
        <v>1</v>
      </c>
      <c r="D256" s="37">
        <v>2</v>
      </c>
      <c r="R256" s="35">
        <v>17</v>
      </c>
      <c r="S256" s="36">
        <v>2</v>
      </c>
      <c r="T256" s="36">
        <v>3</v>
      </c>
      <c r="U256" s="37">
        <v>2</v>
      </c>
      <c r="AA256" s="100">
        <v>9</v>
      </c>
      <c r="AB256" s="100">
        <v>4</v>
      </c>
      <c r="AC256" s="21"/>
      <c r="BJ256" s="35">
        <v>17</v>
      </c>
      <c r="BK256" s="36">
        <v>3</v>
      </c>
      <c r="BL256" s="36">
        <v>3</v>
      </c>
      <c r="BM256" s="37">
        <v>3</v>
      </c>
      <c r="BN256" s="39">
        <v>7</v>
      </c>
    </row>
    <row r="257" spans="1:66" s="3" customFormat="1" ht="18" customHeight="1" x14ac:dyDescent="0.2">
      <c r="A257" s="35">
        <v>5</v>
      </c>
      <c r="B257" s="36">
        <v>2</v>
      </c>
      <c r="C257" s="36">
        <v>1</v>
      </c>
      <c r="D257" s="37">
        <v>3</v>
      </c>
      <c r="R257" s="35">
        <v>17</v>
      </c>
      <c r="S257" s="36">
        <v>2</v>
      </c>
      <c r="T257" s="36">
        <v>4</v>
      </c>
      <c r="U257" s="37">
        <v>2</v>
      </c>
      <c r="AA257" s="21"/>
      <c r="AB257" s="21"/>
      <c r="AC257" s="21"/>
      <c r="BJ257" s="35">
        <v>17</v>
      </c>
      <c r="BK257" s="36">
        <v>3</v>
      </c>
      <c r="BL257" s="36">
        <v>4</v>
      </c>
      <c r="BM257" s="37">
        <v>3</v>
      </c>
      <c r="BN257" s="39">
        <v>7</v>
      </c>
    </row>
    <row r="258" spans="1:66" s="3" customFormat="1" ht="18" customHeight="1" x14ac:dyDescent="0.2">
      <c r="A258" s="35">
        <v>5</v>
      </c>
      <c r="B258" s="36">
        <v>2</v>
      </c>
      <c r="C258" s="36">
        <v>1</v>
      </c>
      <c r="D258" s="37">
        <v>4</v>
      </c>
      <c r="R258" s="35">
        <v>17</v>
      </c>
      <c r="S258" s="36">
        <v>3</v>
      </c>
      <c r="T258" s="36">
        <v>3</v>
      </c>
      <c r="U258" s="37">
        <v>2</v>
      </c>
      <c r="AA258" s="21"/>
      <c r="AB258" s="21"/>
      <c r="AC258" s="21"/>
      <c r="BJ258" s="35">
        <v>17</v>
      </c>
      <c r="BK258" s="36">
        <v>4</v>
      </c>
      <c r="BL258" s="36">
        <v>3</v>
      </c>
      <c r="BM258" s="37">
        <v>3</v>
      </c>
      <c r="BN258" s="39">
        <v>7</v>
      </c>
    </row>
    <row r="259" spans="1:66" s="3" customFormat="1" ht="18" customHeight="1" x14ac:dyDescent="0.2">
      <c r="A259" s="35">
        <v>5</v>
      </c>
      <c r="B259" s="36">
        <v>2</v>
      </c>
      <c r="C259" s="36">
        <v>2</v>
      </c>
      <c r="D259" s="37">
        <v>1</v>
      </c>
      <c r="R259" s="35">
        <v>17</v>
      </c>
      <c r="S259" s="36">
        <v>3</v>
      </c>
      <c r="T259" s="36">
        <v>4</v>
      </c>
      <c r="U259" s="37">
        <v>2</v>
      </c>
      <c r="BJ259" s="35">
        <v>17</v>
      </c>
      <c r="BK259" s="36">
        <v>4</v>
      </c>
      <c r="BL259" s="36">
        <v>4</v>
      </c>
      <c r="BM259" s="37">
        <v>3</v>
      </c>
      <c r="BN259" s="39">
        <v>7</v>
      </c>
    </row>
    <row r="260" spans="1:66" s="3" customFormat="1" ht="18.5" customHeight="1" x14ac:dyDescent="0.2">
      <c r="A260" s="35">
        <v>5</v>
      </c>
      <c r="B260" s="36">
        <v>2</v>
      </c>
      <c r="C260" s="36">
        <v>2</v>
      </c>
      <c r="D260" s="37">
        <v>2</v>
      </c>
      <c r="R260" s="35">
        <v>17</v>
      </c>
      <c r="S260" s="36">
        <v>4</v>
      </c>
      <c r="T260" s="36">
        <v>3</v>
      </c>
      <c r="U260" s="37">
        <v>2</v>
      </c>
      <c r="BJ260" s="35">
        <v>17</v>
      </c>
      <c r="BK260" s="36">
        <v>5</v>
      </c>
      <c r="BL260" s="36">
        <v>3</v>
      </c>
      <c r="BM260" s="37">
        <v>3</v>
      </c>
      <c r="BN260" s="39">
        <v>7</v>
      </c>
    </row>
    <row r="261" spans="1:66" s="3" customFormat="1" ht="19" customHeight="1" x14ac:dyDescent="0.2">
      <c r="A261" s="35">
        <v>5</v>
      </c>
      <c r="B261" s="36">
        <v>2</v>
      </c>
      <c r="C261" s="36">
        <v>2</v>
      </c>
      <c r="D261" s="37">
        <v>3</v>
      </c>
      <c r="R261" s="35">
        <v>17</v>
      </c>
      <c r="S261" s="36">
        <v>4</v>
      </c>
      <c r="T261" s="36">
        <v>4</v>
      </c>
      <c r="U261" s="37">
        <v>2</v>
      </c>
      <c r="Y261" s="23">
        <v>1</v>
      </c>
      <c r="Z261" s="24">
        <v>1</v>
      </c>
      <c r="AA261" s="24">
        <v>1</v>
      </c>
      <c r="AB261" s="24">
        <v>1</v>
      </c>
      <c r="AC261" s="24">
        <v>2</v>
      </c>
      <c r="AD261" s="24">
        <v>2</v>
      </c>
      <c r="AE261" s="24">
        <v>2</v>
      </c>
      <c r="AF261" s="24">
        <v>2</v>
      </c>
      <c r="AG261" s="24">
        <v>3</v>
      </c>
      <c r="AH261" s="24">
        <v>3</v>
      </c>
      <c r="AI261" s="24">
        <v>4</v>
      </c>
      <c r="AJ261" s="24">
        <v>4</v>
      </c>
      <c r="AK261" s="24">
        <v>4</v>
      </c>
      <c r="AL261" s="24">
        <v>4</v>
      </c>
      <c r="AM261" s="24">
        <v>5</v>
      </c>
      <c r="AN261" s="24">
        <v>5</v>
      </c>
      <c r="AO261" s="24">
        <v>5</v>
      </c>
      <c r="AP261" s="24">
        <v>5</v>
      </c>
      <c r="AQ261" s="24">
        <v>6</v>
      </c>
      <c r="AR261" s="24">
        <v>6</v>
      </c>
      <c r="AS261" s="24">
        <v>6</v>
      </c>
      <c r="AT261" s="24">
        <v>6</v>
      </c>
      <c r="AU261" s="24">
        <v>7</v>
      </c>
      <c r="AV261" s="24">
        <v>7</v>
      </c>
      <c r="AW261" s="24">
        <v>7</v>
      </c>
      <c r="AX261" s="24">
        <v>7</v>
      </c>
      <c r="AY261" s="24">
        <v>8</v>
      </c>
      <c r="AZ261" s="24">
        <v>8</v>
      </c>
      <c r="BA261" s="24">
        <v>9</v>
      </c>
      <c r="BB261" s="24">
        <v>9</v>
      </c>
      <c r="BC261" s="24">
        <v>9</v>
      </c>
      <c r="BD261" s="24">
        <v>9</v>
      </c>
      <c r="BE261" s="24">
        <v>10</v>
      </c>
      <c r="BF261" s="25">
        <v>10</v>
      </c>
      <c r="BJ261" s="35">
        <v>17</v>
      </c>
      <c r="BK261" s="36">
        <v>5</v>
      </c>
      <c r="BL261" s="36">
        <v>4</v>
      </c>
      <c r="BM261" s="37">
        <v>3</v>
      </c>
      <c r="BN261" s="39">
        <v>7</v>
      </c>
    </row>
    <row r="262" spans="1:66" s="3" customFormat="1" ht="19" customHeight="1" x14ac:dyDescent="0.2">
      <c r="A262" s="35">
        <v>5</v>
      </c>
      <c r="B262" s="36">
        <v>2</v>
      </c>
      <c r="C262" s="36">
        <v>2</v>
      </c>
      <c r="D262" s="37">
        <v>4</v>
      </c>
      <c r="R262" s="35">
        <v>17</v>
      </c>
      <c r="S262" s="36">
        <v>5</v>
      </c>
      <c r="T262" s="36">
        <v>3</v>
      </c>
      <c r="U262" s="37">
        <v>2</v>
      </c>
      <c r="X262" s="8" t="s">
        <v>22</v>
      </c>
      <c r="Y262" s="32">
        <v>1</v>
      </c>
      <c r="Z262" s="33">
        <v>2</v>
      </c>
      <c r="AA262" s="33">
        <v>3</v>
      </c>
      <c r="AB262" s="33">
        <v>4</v>
      </c>
      <c r="AC262" s="33">
        <v>1</v>
      </c>
      <c r="AD262" s="33">
        <v>2</v>
      </c>
      <c r="AE262" s="33">
        <v>3</v>
      </c>
      <c r="AF262" s="33">
        <v>4</v>
      </c>
      <c r="AG262" s="33">
        <v>3</v>
      </c>
      <c r="AH262" s="33">
        <v>4</v>
      </c>
      <c r="AI262" s="33">
        <v>1</v>
      </c>
      <c r="AJ262" s="33">
        <v>2</v>
      </c>
      <c r="AK262" s="33">
        <v>3</v>
      </c>
      <c r="AL262" s="33">
        <v>4</v>
      </c>
      <c r="AM262" s="33">
        <v>1</v>
      </c>
      <c r="AN262" s="33">
        <v>2</v>
      </c>
      <c r="AO262" s="33">
        <v>3</v>
      </c>
      <c r="AP262" s="33">
        <v>4</v>
      </c>
      <c r="AQ262" s="33">
        <v>1</v>
      </c>
      <c r="AR262" s="33">
        <v>2</v>
      </c>
      <c r="AS262" s="33">
        <v>3</v>
      </c>
      <c r="AT262" s="33">
        <v>4</v>
      </c>
      <c r="AU262" s="33">
        <v>1</v>
      </c>
      <c r="AV262" s="33">
        <v>2</v>
      </c>
      <c r="AW262" s="33">
        <v>3</v>
      </c>
      <c r="AX262" s="33">
        <v>4</v>
      </c>
      <c r="AY262" s="33">
        <v>3</v>
      </c>
      <c r="AZ262" s="33">
        <v>4</v>
      </c>
      <c r="BA262" s="33">
        <v>1</v>
      </c>
      <c r="BB262" s="33">
        <v>2</v>
      </c>
      <c r="BC262" s="33">
        <v>3</v>
      </c>
      <c r="BD262" s="33">
        <v>4</v>
      </c>
      <c r="BE262" s="33">
        <v>3</v>
      </c>
      <c r="BF262" s="34">
        <v>4</v>
      </c>
      <c r="BG262" s="8" t="s">
        <v>74</v>
      </c>
      <c r="BJ262" s="35">
        <v>17</v>
      </c>
      <c r="BK262" s="36">
        <v>6</v>
      </c>
      <c r="BL262" s="36">
        <v>3</v>
      </c>
      <c r="BM262" s="37">
        <v>2</v>
      </c>
      <c r="BN262" s="39">
        <v>7</v>
      </c>
    </row>
    <row r="263" spans="1:66" s="3" customFormat="1" ht="18.5" customHeight="1" x14ac:dyDescent="0.2">
      <c r="A263" s="35">
        <v>5</v>
      </c>
      <c r="B263" s="36">
        <v>2</v>
      </c>
      <c r="C263" s="36">
        <v>3</v>
      </c>
      <c r="D263" s="37">
        <v>1</v>
      </c>
      <c r="R263" s="35">
        <v>17</v>
      </c>
      <c r="S263" s="36">
        <v>5</v>
      </c>
      <c r="T263" s="36">
        <v>4</v>
      </c>
      <c r="U263" s="37">
        <v>2</v>
      </c>
      <c r="X263" s="28">
        <v>14</v>
      </c>
      <c r="Y263" s="23">
        <v>0</v>
      </c>
      <c r="Z263" s="24">
        <v>0</v>
      </c>
      <c r="AA263" s="24">
        <v>0</v>
      </c>
      <c r="AB263" s="24">
        <v>0</v>
      </c>
      <c r="AC263" s="24">
        <v>0</v>
      </c>
      <c r="AD263" s="24">
        <v>0</v>
      </c>
      <c r="AE263" s="24">
        <v>0</v>
      </c>
      <c r="AF263" s="24">
        <v>0</v>
      </c>
      <c r="AG263" s="24">
        <v>0</v>
      </c>
      <c r="AH263" s="24">
        <v>0</v>
      </c>
      <c r="AI263" s="24">
        <v>0</v>
      </c>
      <c r="AJ263" s="24">
        <v>0</v>
      </c>
      <c r="AK263" s="24">
        <v>1</v>
      </c>
      <c r="AL263" s="24">
        <v>1</v>
      </c>
      <c r="AM263" s="24">
        <v>0</v>
      </c>
      <c r="AN263" s="24">
        <v>0</v>
      </c>
      <c r="AO263" s="24">
        <v>0</v>
      </c>
      <c r="AP263" s="24">
        <v>0</v>
      </c>
      <c r="AQ263" s="24">
        <v>0</v>
      </c>
      <c r="AR263" s="24">
        <v>0</v>
      </c>
      <c r="AS263" s="24">
        <v>0</v>
      </c>
      <c r="AT263" s="24">
        <v>0</v>
      </c>
      <c r="AU263" s="24">
        <v>0</v>
      </c>
      <c r="AV263" s="24">
        <v>0</v>
      </c>
      <c r="AW263" s="24">
        <v>1</v>
      </c>
      <c r="AX263" s="24">
        <v>1</v>
      </c>
      <c r="AY263" s="24">
        <v>0</v>
      </c>
      <c r="AZ263" s="24">
        <v>0</v>
      </c>
      <c r="BA263" s="24">
        <v>0</v>
      </c>
      <c r="BB263" s="24">
        <v>0</v>
      </c>
      <c r="BC263" s="24">
        <v>1</v>
      </c>
      <c r="BD263" s="24">
        <v>1</v>
      </c>
      <c r="BE263" s="24">
        <v>0</v>
      </c>
      <c r="BF263" s="25">
        <v>0</v>
      </c>
      <c r="BG263" s="28">
        <v>6</v>
      </c>
      <c r="BJ263" s="35">
        <v>17</v>
      </c>
      <c r="BK263" s="36">
        <v>6</v>
      </c>
      <c r="BL263" s="36">
        <v>4</v>
      </c>
      <c r="BM263" s="37">
        <v>2</v>
      </c>
      <c r="BN263" s="39">
        <v>7</v>
      </c>
    </row>
    <row r="264" spans="1:66" s="3" customFormat="1" ht="18.5" customHeight="1" x14ac:dyDescent="0.2">
      <c r="A264" s="35">
        <v>5</v>
      </c>
      <c r="B264" s="36">
        <v>2</v>
      </c>
      <c r="C264" s="36">
        <v>3</v>
      </c>
      <c r="D264" s="37">
        <v>2</v>
      </c>
      <c r="R264" s="35">
        <v>17</v>
      </c>
      <c r="S264" s="36">
        <v>6</v>
      </c>
      <c r="T264" s="36">
        <v>3</v>
      </c>
      <c r="U264" s="37">
        <v>2</v>
      </c>
      <c r="X264" s="56">
        <v>28</v>
      </c>
      <c r="Y264" s="32">
        <v>0</v>
      </c>
      <c r="Z264" s="33">
        <v>0</v>
      </c>
      <c r="AA264" s="33">
        <v>0</v>
      </c>
      <c r="AB264" s="33">
        <v>0</v>
      </c>
      <c r="AC264" s="33">
        <v>0</v>
      </c>
      <c r="AD264" s="33">
        <v>0</v>
      </c>
      <c r="AE264" s="33">
        <v>0</v>
      </c>
      <c r="AF264" s="33">
        <v>0</v>
      </c>
      <c r="AG264" s="33">
        <v>0</v>
      </c>
      <c r="AH264" s="33">
        <v>0</v>
      </c>
      <c r="AI264" s="33">
        <v>0</v>
      </c>
      <c r="AJ264" s="33">
        <v>0</v>
      </c>
      <c r="AK264" s="33">
        <v>1</v>
      </c>
      <c r="AL264" s="33">
        <v>1</v>
      </c>
      <c r="AM264" s="33">
        <v>0</v>
      </c>
      <c r="AN264" s="33">
        <v>0</v>
      </c>
      <c r="AO264" s="33">
        <v>0</v>
      </c>
      <c r="AP264" s="33">
        <v>0</v>
      </c>
      <c r="AQ264" s="33">
        <v>0</v>
      </c>
      <c r="AR264" s="33">
        <v>0</v>
      </c>
      <c r="AS264" s="33">
        <v>0</v>
      </c>
      <c r="AT264" s="33">
        <v>0</v>
      </c>
      <c r="AU264" s="33">
        <v>0</v>
      </c>
      <c r="AV264" s="33">
        <v>0</v>
      </c>
      <c r="AW264" s="33">
        <v>1</v>
      </c>
      <c r="AX264" s="33">
        <v>1</v>
      </c>
      <c r="AY264" s="33">
        <v>0</v>
      </c>
      <c r="AZ264" s="33">
        <v>0</v>
      </c>
      <c r="BA264" s="33">
        <v>0</v>
      </c>
      <c r="BB264" s="33">
        <v>0</v>
      </c>
      <c r="BC264" s="33">
        <v>1</v>
      </c>
      <c r="BD264" s="33">
        <v>1</v>
      </c>
      <c r="BE264" s="33">
        <v>0</v>
      </c>
      <c r="BF264" s="34">
        <v>0</v>
      </c>
      <c r="BG264" s="56">
        <v>6</v>
      </c>
      <c r="BJ264" s="35">
        <v>17</v>
      </c>
      <c r="BK264" s="36">
        <v>7</v>
      </c>
      <c r="BL264" s="36">
        <v>3</v>
      </c>
      <c r="BM264" s="37">
        <v>2</v>
      </c>
      <c r="BN264" s="39">
        <v>7</v>
      </c>
    </row>
    <row r="265" spans="1:66" s="3" customFormat="1" ht="19" customHeight="1" x14ac:dyDescent="0.2">
      <c r="A265" s="35">
        <v>5</v>
      </c>
      <c r="B265" s="36">
        <v>2</v>
      </c>
      <c r="C265" s="36">
        <v>3</v>
      </c>
      <c r="D265" s="37">
        <v>3</v>
      </c>
      <c r="R265" s="35">
        <v>17</v>
      </c>
      <c r="S265" s="36">
        <v>6</v>
      </c>
      <c r="T265" s="36">
        <v>4</v>
      </c>
      <c r="U265" s="37">
        <v>2</v>
      </c>
      <c r="X265" s="8" t="s">
        <v>74</v>
      </c>
      <c r="Y265" s="9">
        <f t="shared" ref="Y265:BG265" si="7">SUM(Y263:Y264)</f>
        <v>0</v>
      </c>
      <c r="Z265" s="10">
        <f t="shared" si="7"/>
        <v>0</v>
      </c>
      <c r="AA265" s="10">
        <f t="shared" si="7"/>
        <v>0</v>
      </c>
      <c r="AB265" s="10">
        <f t="shared" si="7"/>
        <v>0</v>
      </c>
      <c r="AC265" s="10">
        <f t="shared" si="7"/>
        <v>0</v>
      </c>
      <c r="AD265" s="10">
        <f t="shared" si="7"/>
        <v>0</v>
      </c>
      <c r="AE265" s="10">
        <f t="shared" si="7"/>
        <v>0</v>
      </c>
      <c r="AF265" s="10">
        <f t="shared" si="7"/>
        <v>0</v>
      </c>
      <c r="AG265" s="10">
        <f t="shared" si="7"/>
        <v>0</v>
      </c>
      <c r="AH265" s="10">
        <f t="shared" si="7"/>
        <v>0</v>
      </c>
      <c r="AI265" s="10">
        <f t="shared" si="7"/>
        <v>0</v>
      </c>
      <c r="AJ265" s="10">
        <f t="shared" si="7"/>
        <v>0</v>
      </c>
      <c r="AK265" s="10">
        <f t="shared" si="7"/>
        <v>2</v>
      </c>
      <c r="AL265" s="10">
        <f t="shared" si="7"/>
        <v>2</v>
      </c>
      <c r="AM265" s="10">
        <f t="shared" si="7"/>
        <v>0</v>
      </c>
      <c r="AN265" s="10">
        <f t="shared" si="7"/>
        <v>0</v>
      </c>
      <c r="AO265" s="10">
        <f t="shared" si="7"/>
        <v>0</v>
      </c>
      <c r="AP265" s="10">
        <f t="shared" si="7"/>
        <v>0</v>
      </c>
      <c r="AQ265" s="10">
        <f t="shared" si="7"/>
        <v>0</v>
      </c>
      <c r="AR265" s="10">
        <f t="shared" si="7"/>
        <v>0</v>
      </c>
      <c r="AS265" s="10">
        <f t="shared" si="7"/>
        <v>0</v>
      </c>
      <c r="AT265" s="10">
        <f t="shared" si="7"/>
        <v>0</v>
      </c>
      <c r="AU265" s="10">
        <f t="shared" si="7"/>
        <v>0</v>
      </c>
      <c r="AV265" s="10">
        <f t="shared" si="7"/>
        <v>0</v>
      </c>
      <c r="AW265" s="10">
        <f t="shared" si="7"/>
        <v>2</v>
      </c>
      <c r="AX265" s="10">
        <f t="shared" si="7"/>
        <v>2</v>
      </c>
      <c r="AY265" s="10">
        <f t="shared" si="7"/>
        <v>0</v>
      </c>
      <c r="AZ265" s="10">
        <f t="shared" si="7"/>
        <v>0</v>
      </c>
      <c r="BA265" s="10">
        <f t="shared" si="7"/>
        <v>0</v>
      </c>
      <c r="BB265" s="10">
        <f t="shared" si="7"/>
        <v>0</v>
      </c>
      <c r="BC265" s="10">
        <f t="shared" si="7"/>
        <v>2</v>
      </c>
      <c r="BD265" s="10">
        <f t="shared" si="7"/>
        <v>2</v>
      </c>
      <c r="BE265" s="10">
        <f t="shared" si="7"/>
        <v>0</v>
      </c>
      <c r="BF265" s="11">
        <f t="shared" si="7"/>
        <v>0</v>
      </c>
      <c r="BG265" s="94">
        <f t="shared" si="7"/>
        <v>12</v>
      </c>
      <c r="BJ265" s="35">
        <v>17</v>
      </c>
      <c r="BK265" s="36">
        <v>7</v>
      </c>
      <c r="BL265" s="36">
        <v>4</v>
      </c>
      <c r="BM265" s="37">
        <v>2</v>
      </c>
      <c r="BN265" s="39">
        <v>7</v>
      </c>
    </row>
    <row r="266" spans="1:66" s="3" customFormat="1" ht="18.5" customHeight="1" x14ac:dyDescent="0.2">
      <c r="A266" s="35">
        <v>5</v>
      </c>
      <c r="B266" s="36">
        <v>2</v>
      </c>
      <c r="C266" s="36">
        <v>3</v>
      </c>
      <c r="D266" s="37">
        <v>4</v>
      </c>
      <c r="R266" s="35">
        <v>17</v>
      </c>
      <c r="S266" s="36">
        <v>7</v>
      </c>
      <c r="T266" s="36">
        <v>3</v>
      </c>
      <c r="U266" s="37">
        <v>2</v>
      </c>
      <c r="BJ266" s="35">
        <v>17</v>
      </c>
      <c r="BK266" s="36">
        <v>8</v>
      </c>
      <c r="BL266" s="36">
        <v>3</v>
      </c>
      <c r="BM266" s="37">
        <v>2</v>
      </c>
      <c r="BN266" s="39">
        <v>7</v>
      </c>
    </row>
    <row r="267" spans="1:66" s="3" customFormat="1" ht="18" customHeight="1" x14ac:dyDescent="0.2">
      <c r="A267" s="35">
        <v>5</v>
      </c>
      <c r="B267" s="36">
        <v>4</v>
      </c>
      <c r="C267" s="36">
        <v>1</v>
      </c>
      <c r="D267" s="37">
        <v>1</v>
      </c>
      <c r="R267" s="35">
        <v>17</v>
      </c>
      <c r="S267" s="36">
        <v>7</v>
      </c>
      <c r="T267" s="36">
        <v>4</v>
      </c>
      <c r="U267" s="37">
        <v>2</v>
      </c>
      <c r="BJ267" s="35">
        <v>17</v>
      </c>
      <c r="BK267" s="36">
        <v>8</v>
      </c>
      <c r="BL267" s="36">
        <v>4</v>
      </c>
      <c r="BM267" s="37">
        <v>2</v>
      </c>
      <c r="BN267" s="39">
        <v>7</v>
      </c>
    </row>
    <row r="268" spans="1:66" s="3" customFormat="1" ht="18" customHeight="1" x14ac:dyDescent="0.2">
      <c r="A268" s="35">
        <v>5</v>
      </c>
      <c r="B268" s="36">
        <v>4</v>
      </c>
      <c r="C268" s="36">
        <v>1</v>
      </c>
      <c r="D268" s="37">
        <v>2</v>
      </c>
      <c r="R268" s="35">
        <v>17</v>
      </c>
      <c r="S268" s="36">
        <v>8</v>
      </c>
      <c r="T268" s="36">
        <v>3</v>
      </c>
      <c r="U268" s="37">
        <v>2</v>
      </c>
      <c r="AA268" s="21"/>
      <c r="AB268" s="21"/>
      <c r="BJ268" s="35">
        <v>17</v>
      </c>
      <c r="BK268" s="36">
        <v>9</v>
      </c>
      <c r="BL268" s="36">
        <v>3</v>
      </c>
      <c r="BM268" s="37">
        <v>2</v>
      </c>
      <c r="BN268" s="39">
        <v>7</v>
      </c>
    </row>
    <row r="269" spans="1:66" s="3" customFormat="1" ht="18.5" customHeight="1" x14ac:dyDescent="0.2">
      <c r="A269" s="35">
        <v>5</v>
      </c>
      <c r="B269" s="36">
        <v>4</v>
      </c>
      <c r="C269" s="36">
        <v>1</v>
      </c>
      <c r="D269" s="37">
        <v>3</v>
      </c>
      <c r="R269" s="35">
        <v>17</v>
      </c>
      <c r="S269" s="36">
        <v>8</v>
      </c>
      <c r="T269" s="36">
        <v>4</v>
      </c>
      <c r="U269" s="37">
        <v>2</v>
      </c>
      <c r="AA269" s="110"/>
      <c r="AB269" s="21"/>
      <c r="BJ269" s="35">
        <v>17</v>
      </c>
      <c r="BK269" s="36">
        <v>9</v>
      </c>
      <c r="BL269" s="36">
        <v>4</v>
      </c>
      <c r="BM269" s="37">
        <v>2</v>
      </c>
      <c r="BN269" s="39">
        <v>7</v>
      </c>
    </row>
    <row r="270" spans="1:66" s="3" customFormat="1" ht="19" customHeight="1" x14ac:dyDescent="0.2">
      <c r="A270" s="35">
        <v>5</v>
      </c>
      <c r="B270" s="36">
        <v>4</v>
      </c>
      <c r="C270" s="36">
        <v>1</v>
      </c>
      <c r="D270" s="37">
        <v>4</v>
      </c>
      <c r="R270" s="35">
        <v>17</v>
      </c>
      <c r="S270" s="36">
        <v>9</v>
      </c>
      <c r="T270" s="36">
        <v>3</v>
      </c>
      <c r="U270" s="37">
        <v>2</v>
      </c>
      <c r="AA270" s="8" t="s">
        <v>4</v>
      </c>
      <c r="BJ270" s="35">
        <v>17</v>
      </c>
      <c r="BK270" s="36">
        <v>10</v>
      </c>
      <c r="BL270" s="36">
        <v>3</v>
      </c>
      <c r="BM270" s="37">
        <v>2</v>
      </c>
      <c r="BN270" s="39">
        <v>7</v>
      </c>
    </row>
    <row r="271" spans="1:66" s="3" customFormat="1" ht="19" customHeight="1" x14ac:dyDescent="0.2">
      <c r="A271" s="35">
        <v>5</v>
      </c>
      <c r="B271" s="36">
        <v>4</v>
      </c>
      <c r="C271" s="36">
        <v>2</v>
      </c>
      <c r="D271" s="37">
        <v>1</v>
      </c>
      <c r="R271" s="35">
        <v>17</v>
      </c>
      <c r="S271" s="36">
        <v>9</v>
      </c>
      <c r="T271" s="36">
        <v>4</v>
      </c>
      <c r="U271" s="37">
        <v>2</v>
      </c>
      <c r="X271" s="8" t="s">
        <v>22</v>
      </c>
      <c r="BJ271" s="35">
        <v>17</v>
      </c>
      <c r="BK271" s="36">
        <v>10</v>
      </c>
      <c r="BL271" s="36">
        <v>4</v>
      </c>
      <c r="BM271" s="37">
        <v>2</v>
      </c>
      <c r="BN271" s="39">
        <v>7</v>
      </c>
    </row>
    <row r="272" spans="1:66" s="3" customFormat="1" ht="18.5" customHeight="1" x14ac:dyDescent="0.2">
      <c r="A272" s="35">
        <v>5</v>
      </c>
      <c r="B272" s="36">
        <v>4</v>
      </c>
      <c r="C272" s="36">
        <v>2</v>
      </c>
      <c r="D272" s="37">
        <v>2</v>
      </c>
      <c r="R272" s="35">
        <v>17</v>
      </c>
      <c r="S272" s="36">
        <v>10</v>
      </c>
      <c r="T272" s="36">
        <v>3</v>
      </c>
      <c r="U272" s="37">
        <v>2</v>
      </c>
      <c r="X272" s="28">
        <v>14</v>
      </c>
      <c r="AA272" s="100">
        <v>4</v>
      </c>
      <c r="AB272" s="100">
        <v>3</v>
      </c>
      <c r="AC272" s="21"/>
      <c r="AD272" s="21"/>
      <c r="BJ272" s="35">
        <v>18</v>
      </c>
      <c r="BK272" s="36">
        <v>1</v>
      </c>
      <c r="BL272" s="36">
        <v>3</v>
      </c>
      <c r="BM272" s="37">
        <v>3</v>
      </c>
      <c r="BN272" s="39">
        <v>7</v>
      </c>
    </row>
    <row r="273" spans="1:66" s="3" customFormat="1" ht="18.5" customHeight="1" x14ac:dyDescent="0.2">
      <c r="A273" s="35">
        <v>5</v>
      </c>
      <c r="B273" s="36">
        <v>4</v>
      </c>
      <c r="C273" s="36">
        <v>2</v>
      </c>
      <c r="D273" s="37">
        <v>3</v>
      </c>
      <c r="R273" s="35">
        <v>17</v>
      </c>
      <c r="S273" s="36">
        <v>10</v>
      </c>
      <c r="T273" s="36">
        <v>4</v>
      </c>
      <c r="U273" s="37">
        <v>2</v>
      </c>
      <c r="X273" s="56">
        <v>28</v>
      </c>
      <c r="AA273" s="100">
        <v>4</v>
      </c>
      <c r="AB273" s="100">
        <v>4</v>
      </c>
      <c r="AC273" s="21"/>
      <c r="AD273" s="21"/>
      <c r="BJ273" s="35">
        <v>18</v>
      </c>
      <c r="BK273" s="36">
        <v>1</v>
      </c>
      <c r="BL273" s="36">
        <v>4</v>
      </c>
      <c r="BM273" s="37">
        <v>3</v>
      </c>
      <c r="BN273" s="39">
        <v>7</v>
      </c>
    </row>
    <row r="274" spans="1:66" s="3" customFormat="1" ht="18.5" customHeight="1" x14ac:dyDescent="0.2">
      <c r="A274" s="35">
        <v>5</v>
      </c>
      <c r="B274" s="36">
        <v>4</v>
      </c>
      <c r="C274" s="36">
        <v>2</v>
      </c>
      <c r="D274" s="37">
        <v>4</v>
      </c>
      <c r="R274" s="35">
        <v>18</v>
      </c>
      <c r="S274" s="36">
        <v>1</v>
      </c>
      <c r="T274" s="36">
        <v>3</v>
      </c>
      <c r="U274" s="37">
        <v>2</v>
      </c>
      <c r="AA274" s="100">
        <v>7</v>
      </c>
      <c r="AB274" s="100">
        <v>3</v>
      </c>
      <c r="AC274" s="21"/>
      <c r="AD274" s="21"/>
      <c r="BJ274" s="35">
        <v>18</v>
      </c>
      <c r="BK274" s="36">
        <v>2</v>
      </c>
      <c r="BL274" s="36">
        <v>3</v>
      </c>
      <c r="BM274" s="37">
        <v>3</v>
      </c>
      <c r="BN274" s="39">
        <v>7</v>
      </c>
    </row>
    <row r="275" spans="1:66" s="3" customFormat="1" ht="18" customHeight="1" x14ac:dyDescent="0.2">
      <c r="A275" s="35">
        <v>5</v>
      </c>
      <c r="B275" s="36">
        <v>4</v>
      </c>
      <c r="C275" s="36">
        <v>3</v>
      </c>
      <c r="D275" s="37">
        <v>1</v>
      </c>
      <c r="R275" s="35">
        <v>18</v>
      </c>
      <c r="S275" s="36">
        <v>1</v>
      </c>
      <c r="T275" s="36">
        <v>4</v>
      </c>
      <c r="U275" s="37">
        <v>2</v>
      </c>
      <c r="AA275" s="100">
        <v>7</v>
      </c>
      <c r="AB275" s="100">
        <v>4</v>
      </c>
      <c r="AC275" s="21"/>
      <c r="AD275" s="21"/>
      <c r="BJ275" s="35">
        <v>18</v>
      </c>
      <c r="BK275" s="36">
        <v>2</v>
      </c>
      <c r="BL275" s="36">
        <v>4</v>
      </c>
      <c r="BM275" s="37">
        <v>3</v>
      </c>
      <c r="BN275" s="39">
        <v>7</v>
      </c>
    </row>
    <row r="276" spans="1:66" s="3" customFormat="1" ht="18" customHeight="1" x14ac:dyDescent="0.2">
      <c r="A276" s="35">
        <v>5</v>
      </c>
      <c r="B276" s="36">
        <v>4</v>
      </c>
      <c r="C276" s="36">
        <v>3</v>
      </c>
      <c r="D276" s="37">
        <v>2</v>
      </c>
      <c r="R276" s="35">
        <v>18</v>
      </c>
      <c r="S276" s="36">
        <v>2</v>
      </c>
      <c r="T276" s="36">
        <v>3</v>
      </c>
      <c r="U276" s="37">
        <v>2</v>
      </c>
      <c r="AA276" s="100">
        <v>9</v>
      </c>
      <c r="AB276" s="100">
        <v>3</v>
      </c>
      <c r="AC276" s="21"/>
      <c r="AD276" s="21"/>
      <c r="BJ276" s="35">
        <v>18</v>
      </c>
      <c r="BK276" s="36">
        <v>3</v>
      </c>
      <c r="BL276" s="36">
        <v>3</v>
      </c>
      <c r="BM276" s="37">
        <v>3</v>
      </c>
      <c r="BN276" s="39">
        <v>7</v>
      </c>
    </row>
    <row r="277" spans="1:66" s="3" customFormat="1" ht="18" customHeight="1" x14ac:dyDescent="0.2">
      <c r="A277" s="35">
        <v>5</v>
      </c>
      <c r="B277" s="36">
        <v>4</v>
      </c>
      <c r="C277" s="36">
        <v>3</v>
      </c>
      <c r="D277" s="37">
        <v>3</v>
      </c>
      <c r="R277" s="35">
        <v>18</v>
      </c>
      <c r="S277" s="36">
        <v>2</v>
      </c>
      <c r="T277" s="36">
        <v>4</v>
      </c>
      <c r="U277" s="37">
        <v>2</v>
      </c>
      <c r="AA277" s="100">
        <v>9</v>
      </c>
      <c r="AB277" s="100">
        <v>4</v>
      </c>
      <c r="AC277" s="21"/>
      <c r="AD277" s="21"/>
      <c r="BJ277" s="35">
        <v>18</v>
      </c>
      <c r="BK277" s="36">
        <v>3</v>
      </c>
      <c r="BL277" s="36">
        <v>4</v>
      </c>
      <c r="BM277" s="37">
        <v>3</v>
      </c>
      <c r="BN277" s="39">
        <v>7</v>
      </c>
    </row>
    <row r="278" spans="1:66" s="3" customFormat="1" ht="18" customHeight="1" x14ac:dyDescent="0.2">
      <c r="A278" s="35">
        <v>5</v>
      </c>
      <c r="B278" s="36">
        <v>4</v>
      </c>
      <c r="C278" s="36">
        <v>3</v>
      </c>
      <c r="D278" s="37">
        <v>4</v>
      </c>
      <c r="R278" s="35">
        <v>18</v>
      </c>
      <c r="S278" s="36">
        <v>3</v>
      </c>
      <c r="T278" s="36">
        <v>3</v>
      </c>
      <c r="U278" s="37">
        <v>2</v>
      </c>
      <c r="AA278" s="21"/>
      <c r="AB278" s="21"/>
      <c r="AC278" s="21"/>
      <c r="AD278" s="21"/>
      <c r="BJ278" s="35">
        <v>18</v>
      </c>
      <c r="BK278" s="36">
        <v>4</v>
      </c>
      <c r="BL278" s="36">
        <v>3</v>
      </c>
      <c r="BM278" s="37">
        <v>3</v>
      </c>
      <c r="BN278" s="39">
        <v>7</v>
      </c>
    </row>
    <row r="279" spans="1:66" s="3" customFormat="1" ht="18" customHeight="1" x14ac:dyDescent="0.2">
      <c r="A279" s="35">
        <v>5</v>
      </c>
      <c r="B279" s="36">
        <v>6</v>
      </c>
      <c r="C279" s="36">
        <v>1</v>
      </c>
      <c r="D279" s="37">
        <v>1</v>
      </c>
      <c r="R279" s="35">
        <v>18</v>
      </c>
      <c r="S279" s="36">
        <v>3</v>
      </c>
      <c r="T279" s="36">
        <v>4</v>
      </c>
      <c r="U279" s="37">
        <v>2</v>
      </c>
      <c r="AA279" s="21"/>
      <c r="AB279" s="21"/>
      <c r="AC279" s="21"/>
      <c r="AD279" s="21"/>
      <c r="BJ279" s="35">
        <v>18</v>
      </c>
      <c r="BK279" s="36">
        <v>4</v>
      </c>
      <c r="BL279" s="36">
        <v>4</v>
      </c>
      <c r="BM279" s="37">
        <v>3</v>
      </c>
      <c r="BN279" s="39">
        <v>7</v>
      </c>
    </row>
    <row r="280" spans="1:66" s="3" customFormat="1" ht="18" customHeight="1" x14ac:dyDescent="0.2">
      <c r="A280" s="35">
        <v>5</v>
      </c>
      <c r="B280" s="36">
        <v>6</v>
      </c>
      <c r="C280" s="36">
        <v>1</v>
      </c>
      <c r="D280" s="37">
        <v>2</v>
      </c>
      <c r="R280" s="35">
        <v>18</v>
      </c>
      <c r="S280" s="36">
        <v>4</v>
      </c>
      <c r="T280" s="36">
        <v>3</v>
      </c>
      <c r="U280" s="37">
        <v>2</v>
      </c>
      <c r="AA280" s="21"/>
      <c r="AB280" s="21"/>
      <c r="AC280" s="21"/>
      <c r="AD280" s="21"/>
      <c r="BJ280" s="35">
        <v>18</v>
      </c>
      <c r="BK280" s="36">
        <v>5</v>
      </c>
      <c r="BL280" s="36">
        <v>3</v>
      </c>
      <c r="BM280" s="37">
        <v>3</v>
      </c>
      <c r="BN280" s="39">
        <v>7</v>
      </c>
    </row>
    <row r="281" spans="1:66" s="3" customFormat="1" ht="18.5" customHeight="1" x14ac:dyDescent="0.2">
      <c r="A281" s="35">
        <v>5</v>
      </c>
      <c r="B281" s="36">
        <v>6</v>
      </c>
      <c r="C281" s="36">
        <v>1</v>
      </c>
      <c r="D281" s="37">
        <v>3</v>
      </c>
      <c r="R281" s="35">
        <v>18</v>
      </c>
      <c r="S281" s="36">
        <v>4</v>
      </c>
      <c r="T281" s="36">
        <v>4</v>
      </c>
      <c r="U281" s="37">
        <v>2</v>
      </c>
      <c r="AA281" s="110"/>
      <c r="AB281" s="110"/>
      <c r="AC281" s="110"/>
      <c r="AD281" s="110"/>
      <c r="BJ281" s="35">
        <v>18</v>
      </c>
      <c r="BK281" s="36">
        <v>5</v>
      </c>
      <c r="BL281" s="36">
        <v>4</v>
      </c>
      <c r="BM281" s="37">
        <v>3</v>
      </c>
      <c r="BN281" s="39">
        <v>7</v>
      </c>
    </row>
    <row r="282" spans="1:66" s="3" customFormat="1" ht="19" customHeight="1" x14ac:dyDescent="0.2">
      <c r="A282" s="35">
        <v>5</v>
      </c>
      <c r="B282" s="36">
        <v>6</v>
      </c>
      <c r="C282" s="36">
        <v>1</v>
      </c>
      <c r="D282" s="37">
        <v>4</v>
      </c>
      <c r="R282" s="35">
        <v>18</v>
      </c>
      <c r="S282" s="36">
        <v>5</v>
      </c>
      <c r="T282" s="36">
        <v>3</v>
      </c>
      <c r="U282" s="37">
        <v>2</v>
      </c>
      <c r="Y282" s="23">
        <v>1</v>
      </c>
      <c r="Z282" s="24">
        <v>1</v>
      </c>
      <c r="AA282" s="24">
        <v>1</v>
      </c>
      <c r="AB282" s="24">
        <v>1</v>
      </c>
      <c r="AC282" s="24">
        <v>2</v>
      </c>
      <c r="AD282" s="24">
        <v>2</v>
      </c>
      <c r="AE282" s="24">
        <v>2</v>
      </c>
      <c r="AF282" s="24">
        <v>2</v>
      </c>
      <c r="AG282" s="24">
        <v>3</v>
      </c>
      <c r="AH282" s="24">
        <v>3</v>
      </c>
      <c r="AI282" s="24">
        <v>4</v>
      </c>
      <c r="AJ282" s="24">
        <v>4</v>
      </c>
      <c r="AK282" s="24">
        <v>4</v>
      </c>
      <c r="AL282" s="24">
        <v>4</v>
      </c>
      <c r="AM282" s="24">
        <v>5</v>
      </c>
      <c r="AN282" s="24">
        <v>5</v>
      </c>
      <c r="AO282" s="24">
        <v>5</v>
      </c>
      <c r="AP282" s="24">
        <v>5</v>
      </c>
      <c r="AQ282" s="24">
        <v>6</v>
      </c>
      <c r="AR282" s="24">
        <v>6</v>
      </c>
      <c r="AS282" s="24">
        <v>6</v>
      </c>
      <c r="AT282" s="24">
        <v>6</v>
      </c>
      <c r="AU282" s="24">
        <v>7</v>
      </c>
      <c r="AV282" s="24">
        <v>7</v>
      </c>
      <c r="AW282" s="24">
        <v>7</v>
      </c>
      <c r="AX282" s="24">
        <v>7</v>
      </c>
      <c r="AY282" s="24">
        <v>8</v>
      </c>
      <c r="AZ282" s="24">
        <v>8</v>
      </c>
      <c r="BA282" s="24">
        <v>9</v>
      </c>
      <c r="BB282" s="24">
        <v>9</v>
      </c>
      <c r="BC282" s="24">
        <v>9</v>
      </c>
      <c r="BD282" s="24">
        <v>9</v>
      </c>
      <c r="BE282" s="24">
        <v>10</v>
      </c>
      <c r="BF282" s="25">
        <v>10</v>
      </c>
      <c r="BJ282" s="35">
        <v>18</v>
      </c>
      <c r="BK282" s="36">
        <v>6</v>
      </c>
      <c r="BL282" s="36">
        <v>3</v>
      </c>
      <c r="BM282" s="37">
        <v>2</v>
      </c>
      <c r="BN282" s="39">
        <v>7</v>
      </c>
    </row>
    <row r="283" spans="1:66" s="3" customFormat="1" ht="19" customHeight="1" x14ac:dyDescent="0.2">
      <c r="A283" s="35">
        <v>5</v>
      </c>
      <c r="B283" s="36">
        <v>6</v>
      </c>
      <c r="C283" s="36">
        <v>2</v>
      </c>
      <c r="D283" s="37">
        <v>1</v>
      </c>
      <c r="R283" s="35">
        <v>18</v>
      </c>
      <c r="S283" s="36">
        <v>5</v>
      </c>
      <c r="T283" s="36">
        <v>4</v>
      </c>
      <c r="U283" s="37">
        <v>2</v>
      </c>
      <c r="X283" s="8" t="s">
        <v>22</v>
      </c>
      <c r="Y283" s="32">
        <v>1</v>
      </c>
      <c r="Z283" s="33">
        <v>2</v>
      </c>
      <c r="AA283" s="33">
        <v>3</v>
      </c>
      <c r="AB283" s="33">
        <v>4</v>
      </c>
      <c r="AC283" s="33">
        <v>1</v>
      </c>
      <c r="AD283" s="33">
        <v>2</v>
      </c>
      <c r="AE283" s="33">
        <v>3</v>
      </c>
      <c r="AF283" s="33">
        <v>4</v>
      </c>
      <c r="AG283" s="33">
        <v>3</v>
      </c>
      <c r="AH283" s="33">
        <v>4</v>
      </c>
      <c r="AI283" s="33">
        <v>1</v>
      </c>
      <c r="AJ283" s="33">
        <v>2</v>
      </c>
      <c r="AK283" s="33">
        <v>3</v>
      </c>
      <c r="AL283" s="33">
        <v>4</v>
      </c>
      <c r="AM283" s="33">
        <v>1</v>
      </c>
      <c r="AN283" s="33">
        <v>2</v>
      </c>
      <c r="AO283" s="33">
        <v>3</v>
      </c>
      <c r="AP283" s="33">
        <v>4</v>
      </c>
      <c r="AQ283" s="33">
        <v>1</v>
      </c>
      <c r="AR283" s="33">
        <v>2</v>
      </c>
      <c r="AS283" s="33">
        <v>3</v>
      </c>
      <c r="AT283" s="33">
        <v>4</v>
      </c>
      <c r="AU283" s="33">
        <v>1</v>
      </c>
      <c r="AV283" s="33">
        <v>2</v>
      </c>
      <c r="AW283" s="33">
        <v>3</v>
      </c>
      <c r="AX283" s="33">
        <v>4</v>
      </c>
      <c r="AY283" s="33">
        <v>3</v>
      </c>
      <c r="AZ283" s="33">
        <v>4</v>
      </c>
      <c r="BA283" s="33">
        <v>1</v>
      </c>
      <c r="BB283" s="33">
        <v>2</v>
      </c>
      <c r="BC283" s="33">
        <v>3</v>
      </c>
      <c r="BD283" s="33">
        <v>4</v>
      </c>
      <c r="BE283" s="33">
        <v>3</v>
      </c>
      <c r="BF283" s="34">
        <v>4</v>
      </c>
      <c r="BG283" s="8" t="s">
        <v>74</v>
      </c>
      <c r="BJ283" s="35">
        <v>18</v>
      </c>
      <c r="BK283" s="36">
        <v>6</v>
      </c>
      <c r="BL283" s="36">
        <v>4</v>
      </c>
      <c r="BM283" s="37">
        <v>2</v>
      </c>
      <c r="BN283" s="39">
        <v>7</v>
      </c>
    </row>
    <row r="284" spans="1:66" s="3" customFormat="1" ht="19" customHeight="1" x14ac:dyDescent="0.2">
      <c r="A284" s="35">
        <v>5</v>
      </c>
      <c r="B284" s="36">
        <v>6</v>
      </c>
      <c r="C284" s="36">
        <v>2</v>
      </c>
      <c r="D284" s="37">
        <v>2</v>
      </c>
      <c r="R284" s="35">
        <v>18</v>
      </c>
      <c r="S284" s="36">
        <v>6</v>
      </c>
      <c r="T284" s="36">
        <v>3</v>
      </c>
      <c r="U284" s="37">
        <v>2</v>
      </c>
      <c r="X284" s="94">
        <v>1</v>
      </c>
      <c r="Y284" s="9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1</v>
      </c>
      <c r="AJ284" s="10">
        <v>1</v>
      </c>
      <c r="AK284" s="10">
        <v>1</v>
      </c>
      <c r="AL284" s="10">
        <v>1</v>
      </c>
      <c r="AM284" s="10">
        <v>0</v>
      </c>
      <c r="AN284" s="10">
        <v>0</v>
      </c>
      <c r="AO284" s="10">
        <v>0</v>
      </c>
      <c r="AP284" s="10">
        <v>0</v>
      </c>
      <c r="AQ284" s="10">
        <v>0</v>
      </c>
      <c r="AR284" s="10">
        <v>0</v>
      </c>
      <c r="AS284" s="10">
        <v>0</v>
      </c>
      <c r="AT284" s="10">
        <v>0</v>
      </c>
      <c r="AU284" s="10">
        <v>0</v>
      </c>
      <c r="AV284" s="10">
        <v>0</v>
      </c>
      <c r="AW284" s="10">
        <v>0</v>
      </c>
      <c r="AX284" s="10">
        <v>0</v>
      </c>
      <c r="AY284" s="10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11">
        <v>0</v>
      </c>
      <c r="BG284" s="94">
        <v>4</v>
      </c>
      <c r="BJ284" s="35">
        <v>18</v>
      </c>
      <c r="BK284" s="36">
        <v>7</v>
      </c>
      <c r="BL284" s="36">
        <v>3</v>
      </c>
      <c r="BM284" s="37">
        <v>2</v>
      </c>
      <c r="BN284" s="39">
        <v>7</v>
      </c>
    </row>
    <row r="285" spans="1:66" s="3" customFormat="1" ht="19" customHeight="1" x14ac:dyDescent="0.2">
      <c r="A285" s="35">
        <v>5</v>
      </c>
      <c r="B285" s="36">
        <v>6</v>
      </c>
      <c r="C285" s="36">
        <v>2</v>
      </c>
      <c r="D285" s="37">
        <v>3</v>
      </c>
      <c r="R285" s="35">
        <v>18</v>
      </c>
      <c r="S285" s="36">
        <v>6</v>
      </c>
      <c r="T285" s="36">
        <v>4</v>
      </c>
      <c r="U285" s="37">
        <v>2</v>
      </c>
      <c r="X285" s="8" t="s">
        <v>74</v>
      </c>
      <c r="Y285" s="96">
        <f t="shared" ref="Y285:BG285" si="8">SUM(Y284)</f>
        <v>0</v>
      </c>
      <c r="Z285" s="97">
        <f t="shared" si="8"/>
        <v>0</v>
      </c>
      <c r="AA285" s="97">
        <f t="shared" si="8"/>
        <v>0</v>
      </c>
      <c r="AB285" s="97">
        <f t="shared" si="8"/>
        <v>0</v>
      </c>
      <c r="AC285" s="97">
        <f t="shared" si="8"/>
        <v>0</v>
      </c>
      <c r="AD285" s="97">
        <f t="shared" si="8"/>
        <v>0</v>
      </c>
      <c r="AE285" s="97">
        <f t="shared" si="8"/>
        <v>0</v>
      </c>
      <c r="AF285" s="97">
        <f t="shared" si="8"/>
        <v>0</v>
      </c>
      <c r="AG285" s="97">
        <f t="shared" si="8"/>
        <v>0</v>
      </c>
      <c r="AH285" s="97">
        <f t="shared" si="8"/>
        <v>0</v>
      </c>
      <c r="AI285" s="97">
        <f t="shared" si="8"/>
        <v>1</v>
      </c>
      <c r="AJ285" s="97">
        <f t="shared" si="8"/>
        <v>1</v>
      </c>
      <c r="AK285" s="97">
        <f t="shared" si="8"/>
        <v>1</v>
      </c>
      <c r="AL285" s="97">
        <f t="shared" si="8"/>
        <v>1</v>
      </c>
      <c r="AM285" s="97">
        <f t="shared" si="8"/>
        <v>0</v>
      </c>
      <c r="AN285" s="97">
        <f t="shared" si="8"/>
        <v>0</v>
      </c>
      <c r="AO285" s="97">
        <f t="shared" si="8"/>
        <v>0</v>
      </c>
      <c r="AP285" s="97">
        <f t="shared" si="8"/>
        <v>0</v>
      </c>
      <c r="AQ285" s="97">
        <f t="shared" si="8"/>
        <v>0</v>
      </c>
      <c r="AR285" s="97">
        <f t="shared" si="8"/>
        <v>0</v>
      </c>
      <c r="AS285" s="97">
        <f t="shared" si="8"/>
        <v>0</v>
      </c>
      <c r="AT285" s="97">
        <f t="shared" si="8"/>
        <v>0</v>
      </c>
      <c r="AU285" s="97">
        <f t="shared" si="8"/>
        <v>0</v>
      </c>
      <c r="AV285" s="97">
        <f t="shared" si="8"/>
        <v>0</v>
      </c>
      <c r="AW285" s="97">
        <f t="shared" si="8"/>
        <v>0</v>
      </c>
      <c r="AX285" s="97">
        <f t="shared" si="8"/>
        <v>0</v>
      </c>
      <c r="AY285" s="97">
        <f t="shared" si="8"/>
        <v>0</v>
      </c>
      <c r="AZ285" s="97">
        <f t="shared" si="8"/>
        <v>0</v>
      </c>
      <c r="BA285" s="97">
        <f t="shared" si="8"/>
        <v>0</v>
      </c>
      <c r="BB285" s="97">
        <f t="shared" si="8"/>
        <v>0</v>
      </c>
      <c r="BC285" s="97">
        <f t="shared" si="8"/>
        <v>0</v>
      </c>
      <c r="BD285" s="97">
        <f t="shared" si="8"/>
        <v>0</v>
      </c>
      <c r="BE285" s="97">
        <f t="shared" si="8"/>
        <v>0</v>
      </c>
      <c r="BF285" s="98">
        <f t="shared" si="8"/>
        <v>0</v>
      </c>
      <c r="BG285" s="95">
        <f t="shared" si="8"/>
        <v>4</v>
      </c>
      <c r="BJ285" s="35">
        <v>18</v>
      </c>
      <c r="BK285" s="36">
        <v>7</v>
      </c>
      <c r="BL285" s="36">
        <v>4</v>
      </c>
      <c r="BM285" s="37">
        <v>2</v>
      </c>
      <c r="BN285" s="39">
        <v>7</v>
      </c>
    </row>
    <row r="286" spans="1:66" s="3" customFormat="1" ht="18.5" customHeight="1" x14ac:dyDescent="0.2">
      <c r="A286" s="35">
        <v>5</v>
      </c>
      <c r="B286" s="36">
        <v>6</v>
      </c>
      <c r="C286" s="36">
        <v>2</v>
      </c>
      <c r="D286" s="37">
        <v>4</v>
      </c>
      <c r="R286" s="35">
        <v>18</v>
      </c>
      <c r="S286" s="36">
        <v>7</v>
      </c>
      <c r="T286" s="36">
        <v>3</v>
      </c>
      <c r="U286" s="37">
        <v>2</v>
      </c>
      <c r="AC286" s="111"/>
      <c r="AD286" s="111"/>
      <c r="BJ286" s="35">
        <v>18</v>
      </c>
      <c r="BK286" s="36">
        <v>8</v>
      </c>
      <c r="BL286" s="36">
        <v>3</v>
      </c>
      <c r="BM286" s="37">
        <v>2</v>
      </c>
      <c r="BN286" s="39">
        <v>7</v>
      </c>
    </row>
    <row r="287" spans="1:66" s="3" customFormat="1" ht="18" customHeight="1" x14ac:dyDescent="0.2">
      <c r="A287" s="35">
        <v>5</v>
      </c>
      <c r="B287" s="36">
        <v>6</v>
      </c>
      <c r="C287" s="36">
        <v>3</v>
      </c>
      <c r="D287" s="37">
        <v>1</v>
      </c>
      <c r="R287" s="35">
        <v>18</v>
      </c>
      <c r="S287" s="36">
        <v>7</v>
      </c>
      <c r="T287" s="36">
        <v>4</v>
      </c>
      <c r="U287" s="37">
        <v>2</v>
      </c>
      <c r="AC287" s="21"/>
      <c r="AD287" s="21"/>
      <c r="BJ287" s="35">
        <v>18</v>
      </c>
      <c r="BK287" s="36">
        <v>8</v>
      </c>
      <c r="BL287" s="36">
        <v>4</v>
      </c>
      <c r="BM287" s="37">
        <v>2</v>
      </c>
      <c r="BN287" s="39">
        <v>7</v>
      </c>
    </row>
    <row r="288" spans="1:66" s="3" customFormat="1" ht="18.5" customHeight="1" x14ac:dyDescent="0.2">
      <c r="A288" s="35">
        <v>5</v>
      </c>
      <c r="B288" s="36">
        <v>6</v>
      </c>
      <c r="C288" s="36">
        <v>3</v>
      </c>
      <c r="D288" s="37">
        <v>2</v>
      </c>
      <c r="R288" s="35">
        <v>18</v>
      </c>
      <c r="S288" s="36">
        <v>8</v>
      </c>
      <c r="T288" s="36">
        <v>3</v>
      </c>
      <c r="U288" s="37">
        <v>2</v>
      </c>
      <c r="AC288" s="21"/>
      <c r="AD288" s="21"/>
      <c r="BJ288" s="35">
        <v>18</v>
      </c>
      <c r="BK288" s="36">
        <v>9</v>
      </c>
      <c r="BL288" s="36">
        <v>3</v>
      </c>
      <c r="BM288" s="37">
        <v>2</v>
      </c>
      <c r="BN288" s="39">
        <v>7</v>
      </c>
    </row>
    <row r="289" spans="1:66" s="3" customFormat="1" ht="19" customHeight="1" x14ac:dyDescent="0.2">
      <c r="A289" s="35">
        <v>5</v>
      </c>
      <c r="B289" s="36">
        <v>6</v>
      </c>
      <c r="C289" s="36">
        <v>3</v>
      </c>
      <c r="D289" s="37">
        <v>3</v>
      </c>
      <c r="R289" s="35">
        <v>18</v>
      </c>
      <c r="S289" s="36">
        <v>8</v>
      </c>
      <c r="T289" s="36">
        <v>4</v>
      </c>
      <c r="U289" s="37">
        <v>2</v>
      </c>
      <c r="AA289" s="8" t="s">
        <v>4</v>
      </c>
      <c r="AC289" s="21"/>
      <c r="AD289" s="21"/>
      <c r="BJ289" s="35">
        <v>18</v>
      </c>
      <c r="BK289" s="36">
        <v>9</v>
      </c>
      <c r="BL289" s="36">
        <v>4</v>
      </c>
      <c r="BM289" s="37">
        <v>2</v>
      </c>
      <c r="BN289" s="39">
        <v>7</v>
      </c>
    </row>
    <row r="290" spans="1:66" s="3" customFormat="1" ht="19" customHeight="1" x14ac:dyDescent="0.2">
      <c r="A290" s="35">
        <v>5</v>
      </c>
      <c r="B290" s="36">
        <v>6</v>
      </c>
      <c r="C290" s="36">
        <v>3</v>
      </c>
      <c r="D290" s="37">
        <v>4</v>
      </c>
      <c r="R290" s="35">
        <v>18</v>
      </c>
      <c r="S290" s="36">
        <v>9</v>
      </c>
      <c r="T290" s="36">
        <v>3</v>
      </c>
      <c r="U290" s="37">
        <v>2</v>
      </c>
      <c r="X290" s="8" t="s">
        <v>22</v>
      </c>
      <c r="AB290" s="21"/>
      <c r="AC290" s="21"/>
      <c r="AD290" s="21"/>
      <c r="BJ290" s="35">
        <v>18</v>
      </c>
      <c r="BK290" s="36">
        <v>10</v>
      </c>
      <c r="BL290" s="36">
        <v>3</v>
      </c>
      <c r="BM290" s="37">
        <v>2</v>
      </c>
      <c r="BN290" s="39">
        <v>7</v>
      </c>
    </row>
    <row r="291" spans="1:66" s="3" customFormat="1" ht="18.5" customHeight="1" x14ac:dyDescent="0.2">
      <c r="A291" s="35">
        <v>5</v>
      </c>
      <c r="B291" s="36">
        <v>7</v>
      </c>
      <c r="C291" s="36">
        <v>1</v>
      </c>
      <c r="D291" s="37">
        <v>1</v>
      </c>
      <c r="R291" s="35">
        <v>18</v>
      </c>
      <c r="S291" s="36">
        <v>9</v>
      </c>
      <c r="T291" s="36">
        <v>4</v>
      </c>
      <c r="U291" s="37">
        <v>2</v>
      </c>
      <c r="X291" s="28">
        <v>1</v>
      </c>
      <c r="AA291" s="100">
        <v>4</v>
      </c>
      <c r="AB291" s="100">
        <v>1</v>
      </c>
      <c r="AC291" s="21"/>
      <c r="AD291" s="21"/>
      <c r="BJ291" s="35">
        <v>18</v>
      </c>
      <c r="BK291" s="36">
        <v>10</v>
      </c>
      <c r="BL291" s="36">
        <v>4</v>
      </c>
      <c r="BM291" s="37">
        <v>2</v>
      </c>
      <c r="BN291" s="39">
        <v>7</v>
      </c>
    </row>
    <row r="292" spans="1:66" s="3" customFormat="1" ht="18" customHeight="1" x14ac:dyDescent="0.2">
      <c r="A292" s="35">
        <v>5</v>
      </c>
      <c r="B292" s="36">
        <v>7</v>
      </c>
      <c r="C292" s="36">
        <v>1</v>
      </c>
      <c r="D292" s="37">
        <v>2</v>
      </c>
      <c r="R292" s="35">
        <v>18</v>
      </c>
      <c r="S292" s="36">
        <v>10</v>
      </c>
      <c r="T292" s="36">
        <v>3</v>
      </c>
      <c r="U292" s="37">
        <v>2</v>
      </c>
      <c r="AA292" s="100">
        <v>4</v>
      </c>
      <c r="AB292" s="100">
        <v>2</v>
      </c>
      <c r="AC292" s="21"/>
      <c r="AD292" s="21"/>
      <c r="BJ292" s="35">
        <v>19</v>
      </c>
      <c r="BK292" s="36">
        <v>1</v>
      </c>
      <c r="BL292" s="36">
        <v>3</v>
      </c>
      <c r="BM292" s="37">
        <v>3</v>
      </c>
      <c r="BN292" s="39">
        <v>7</v>
      </c>
    </row>
    <row r="293" spans="1:66" s="3" customFormat="1" ht="18" customHeight="1" x14ac:dyDescent="0.2">
      <c r="A293" s="35">
        <v>5</v>
      </c>
      <c r="B293" s="36">
        <v>7</v>
      </c>
      <c r="C293" s="36">
        <v>1</v>
      </c>
      <c r="D293" s="37">
        <v>3</v>
      </c>
      <c r="R293" s="35">
        <v>18</v>
      </c>
      <c r="S293" s="36">
        <v>10</v>
      </c>
      <c r="T293" s="36">
        <v>4</v>
      </c>
      <c r="U293" s="37">
        <v>2</v>
      </c>
      <c r="AA293" s="100">
        <v>4</v>
      </c>
      <c r="AB293" s="100">
        <v>3</v>
      </c>
      <c r="AC293" s="21"/>
      <c r="AD293" s="21"/>
      <c r="BJ293" s="35">
        <v>19</v>
      </c>
      <c r="BK293" s="36">
        <v>1</v>
      </c>
      <c r="BL293" s="36">
        <v>4</v>
      </c>
      <c r="BM293" s="37">
        <v>3</v>
      </c>
      <c r="BN293" s="39">
        <v>7</v>
      </c>
    </row>
    <row r="294" spans="1:66" s="3" customFormat="1" ht="18" customHeight="1" x14ac:dyDescent="0.2">
      <c r="A294" s="35">
        <v>5</v>
      </c>
      <c r="B294" s="36">
        <v>7</v>
      </c>
      <c r="C294" s="36">
        <v>1</v>
      </c>
      <c r="D294" s="37">
        <v>4</v>
      </c>
      <c r="R294" s="35">
        <v>19</v>
      </c>
      <c r="S294" s="36">
        <v>1</v>
      </c>
      <c r="T294" s="36">
        <v>3</v>
      </c>
      <c r="U294" s="37">
        <v>2</v>
      </c>
      <c r="AA294" s="100">
        <v>4</v>
      </c>
      <c r="AB294" s="100">
        <v>4</v>
      </c>
      <c r="AC294" s="21"/>
      <c r="AD294" s="21"/>
      <c r="BJ294" s="35">
        <v>19</v>
      </c>
      <c r="BK294" s="36">
        <v>2</v>
      </c>
      <c r="BL294" s="36">
        <v>3</v>
      </c>
      <c r="BM294" s="37">
        <v>3</v>
      </c>
      <c r="BN294" s="39">
        <v>7</v>
      </c>
    </row>
    <row r="295" spans="1:66" s="3" customFormat="1" ht="18" customHeight="1" x14ac:dyDescent="0.2">
      <c r="A295" s="35">
        <v>5</v>
      </c>
      <c r="B295" s="36">
        <v>7</v>
      </c>
      <c r="C295" s="36">
        <v>2</v>
      </c>
      <c r="D295" s="37">
        <v>1</v>
      </c>
      <c r="R295" s="35">
        <v>19</v>
      </c>
      <c r="S295" s="36">
        <v>1</v>
      </c>
      <c r="T295" s="36">
        <v>4</v>
      </c>
      <c r="U295" s="37">
        <v>2</v>
      </c>
      <c r="AA295" s="21"/>
      <c r="AB295" s="21"/>
      <c r="AC295" s="21"/>
      <c r="AD295" s="21"/>
      <c r="BJ295" s="35">
        <v>19</v>
      </c>
      <c r="BK295" s="36">
        <v>2</v>
      </c>
      <c r="BL295" s="36">
        <v>4</v>
      </c>
      <c r="BM295" s="37">
        <v>3</v>
      </c>
      <c r="BN295" s="39">
        <v>7</v>
      </c>
    </row>
    <row r="296" spans="1:66" s="3" customFormat="1" ht="18" customHeight="1" x14ac:dyDescent="0.2">
      <c r="A296" s="35">
        <v>5</v>
      </c>
      <c r="B296" s="36">
        <v>7</v>
      </c>
      <c r="C296" s="36">
        <v>2</v>
      </c>
      <c r="D296" s="37">
        <v>2</v>
      </c>
      <c r="R296" s="35">
        <v>19</v>
      </c>
      <c r="S296" s="36">
        <v>2</v>
      </c>
      <c r="T296" s="36">
        <v>3</v>
      </c>
      <c r="U296" s="37">
        <v>2</v>
      </c>
      <c r="AA296" s="21"/>
      <c r="AB296" s="21"/>
      <c r="AC296" s="21"/>
      <c r="AD296" s="21"/>
      <c r="BJ296" s="35">
        <v>19</v>
      </c>
      <c r="BK296" s="36">
        <v>3</v>
      </c>
      <c r="BL296" s="36">
        <v>3</v>
      </c>
      <c r="BM296" s="37">
        <v>3</v>
      </c>
      <c r="BN296" s="39">
        <v>7</v>
      </c>
    </row>
    <row r="297" spans="1:66" s="3" customFormat="1" ht="18.5" customHeight="1" x14ac:dyDescent="0.2">
      <c r="A297" s="35">
        <v>5</v>
      </c>
      <c r="B297" s="36">
        <v>7</v>
      </c>
      <c r="C297" s="36">
        <v>2</v>
      </c>
      <c r="D297" s="37">
        <v>3</v>
      </c>
      <c r="R297" s="35">
        <v>19</v>
      </c>
      <c r="S297" s="36">
        <v>2</v>
      </c>
      <c r="T297" s="36">
        <v>4</v>
      </c>
      <c r="U297" s="37">
        <v>2</v>
      </c>
      <c r="AA297" s="110"/>
      <c r="AB297" s="110"/>
      <c r="AC297" s="110"/>
      <c r="AD297" s="110"/>
      <c r="BJ297" s="35">
        <v>19</v>
      </c>
      <c r="BK297" s="36">
        <v>3</v>
      </c>
      <c r="BL297" s="36">
        <v>4</v>
      </c>
      <c r="BM297" s="37">
        <v>3</v>
      </c>
      <c r="BN297" s="39">
        <v>7</v>
      </c>
    </row>
    <row r="298" spans="1:66" s="3" customFormat="1" ht="19" customHeight="1" x14ac:dyDescent="0.2">
      <c r="A298" s="35">
        <v>5</v>
      </c>
      <c r="B298" s="36">
        <v>7</v>
      </c>
      <c r="C298" s="36">
        <v>2</v>
      </c>
      <c r="D298" s="37">
        <v>4</v>
      </c>
      <c r="R298" s="35">
        <v>19</v>
      </c>
      <c r="S298" s="36">
        <v>3</v>
      </c>
      <c r="T298" s="36">
        <v>3</v>
      </c>
      <c r="U298" s="37">
        <v>2</v>
      </c>
      <c r="Y298" s="23">
        <v>1</v>
      </c>
      <c r="Z298" s="24">
        <v>1</v>
      </c>
      <c r="AA298" s="24">
        <v>1</v>
      </c>
      <c r="AB298" s="24">
        <v>1</v>
      </c>
      <c r="AC298" s="24">
        <v>2</v>
      </c>
      <c r="AD298" s="24">
        <v>2</v>
      </c>
      <c r="AE298" s="24">
        <v>2</v>
      </c>
      <c r="AF298" s="24">
        <v>2</v>
      </c>
      <c r="AG298" s="24">
        <v>3</v>
      </c>
      <c r="AH298" s="24">
        <v>3</v>
      </c>
      <c r="AI298" s="24">
        <v>4</v>
      </c>
      <c r="AJ298" s="24">
        <v>4</v>
      </c>
      <c r="AK298" s="24">
        <v>4</v>
      </c>
      <c r="AL298" s="24">
        <v>4</v>
      </c>
      <c r="AM298" s="24">
        <v>5</v>
      </c>
      <c r="AN298" s="24">
        <v>5</v>
      </c>
      <c r="AO298" s="24">
        <v>5</v>
      </c>
      <c r="AP298" s="24">
        <v>5</v>
      </c>
      <c r="AQ298" s="24">
        <v>6</v>
      </c>
      <c r="AR298" s="24">
        <v>6</v>
      </c>
      <c r="AS298" s="24">
        <v>6</v>
      </c>
      <c r="AT298" s="24">
        <v>6</v>
      </c>
      <c r="AU298" s="24">
        <v>7</v>
      </c>
      <c r="AV298" s="24">
        <v>7</v>
      </c>
      <c r="AW298" s="24">
        <v>7</v>
      </c>
      <c r="AX298" s="24">
        <v>7</v>
      </c>
      <c r="AY298" s="24">
        <v>8</v>
      </c>
      <c r="AZ298" s="24">
        <v>8</v>
      </c>
      <c r="BA298" s="24">
        <v>9</v>
      </c>
      <c r="BB298" s="24">
        <v>9</v>
      </c>
      <c r="BC298" s="24">
        <v>9</v>
      </c>
      <c r="BD298" s="24">
        <v>9</v>
      </c>
      <c r="BE298" s="24">
        <v>10</v>
      </c>
      <c r="BF298" s="25">
        <v>10</v>
      </c>
      <c r="BJ298" s="35">
        <v>19</v>
      </c>
      <c r="BK298" s="36">
        <v>4</v>
      </c>
      <c r="BL298" s="36">
        <v>3</v>
      </c>
      <c r="BM298" s="37">
        <v>3</v>
      </c>
      <c r="BN298" s="39">
        <v>7</v>
      </c>
    </row>
    <row r="299" spans="1:66" s="3" customFormat="1" ht="19" customHeight="1" x14ac:dyDescent="0.2">
      <c r="A299" s="35">
        <v>5</v>
      </c>
      <c r="B299" s="36">
        <v>7</v>
      </c>
      <c r="C299" s="36">
        <v>3</v>
      </c>
      <c r="D299" s="37">
        <v>1</v>
      </c>
      <c r="R299" s="35">
        <v>19</v>
      </c>
      <c r="S299" s="36">
        <v>3</v>
      </c>
      <c r="T299" s="36">
        <v>4</v>
      </c>
      <c r="U299" s="37">
        <v>2</v>
      </c>
      <c r="X299" s="8" t="s">
        <v>22</v>
      </c>
      <c r="Y299" s="32">
        <v>1</v>
      </c>
      <c r="Z299" s="33">
        <v>2</v>
      </c>
      <c r="AA299" s="33">
        <v>3</v>
      </c>
      <c r="AB299" s="33">
        <v>4</v>
      </c>
      <c r="AC299" s="33">
        <v>1</v>
      </c>
      <c r="AD299" s="33">
        <v>2</v>
      </c>
      <c r="AE299" s="33">
        <v>3</v>
      </c>
      <c r="AF299" s="33">
        <v>4</v>
      </c>
      <c r="AG299" s="33">
        <v>3</v>
      </c>
      <c r="AH299" s="33">
        <v>4</v>
      </c>
      <c r="AI299" s="33">
        <v>1</v>
      </c>
      <c r="AJ299" s="33">
        <v>2</v>
      </c>
      <c r="AK299" s="33">
        <v>3</v>
      </c>
      <c r="AL299" s="33">
        <v>4</v>
      </c>
      <c r="AM299" s="33">
        <v>1</v>
      </c>
      <c r="AN299" s="33">
        <v>2</v>
      </c>
      <c r="AO299" s="33">
        <v>3</v>
      </c>
      <c r="AP299" s="33">
        <v>4</v>
      </c>
      <c r="AQ299" s="33">
        <v>1</v>
      </c>
      <c r="AR299" s="33">
        <v>2</v>
      </c>
      <c r="AS299" s="33">
        <v>3</v>
      </c>
      <c r="AT299" s="33">
        <v>4</v>
      </c>
      <c r="AU299" s="33">
        <v>1</v>
      </c>
      <c r="AV299" s="33">
        <v>2</v>
      </c>
      <c r="AW299" s="33">
        <v>3</v>
      </c>
      <c r="AX299" s="33">
        <v>4</v>
      </c>
      <c r="AY299" s="33">
        <v>3</v>
      </c>
      <c r="AZ299" s="33">
        <v>4</v>
      </c>
      <c r="BA299" s="33">
        <v>1</v>
      </c>
      <c r="BB299" s="33">
        <v>2</v>
      </c>
      <c r="BC299" s="33">
        <v>3</v>
      </c>
      <c r="BD299" s="33">
        <v>4</v>
      </c>
      <c r="BE299" s="33">
        <v>3</v>
      </c>
      <c r="BF299" s="34">
        <v>4</v>
      </c>
      <c r="BG299" s="8" t="s">
        <v>74</v>
      </c>
      <c r="BJ299" s="35">
        <v>19</v>
      </c>
      <c r="BK299" s="36">
        <v>4</v>
      </c>
      <c r="BL299" s="36">
        <v>4</v>
      </c>
      <c r="BM299" s="37">
        <v>3</v>
      </c>
      <c r="BN299" s="39">
        <v>7</v>
      </c>
    </row>
    <row r="300" spans="1:66" s="3" customFormat="1" ht="18.5" customHeight="1" x14ac:dyDescent="0.2">
      <c r="A300" s="35">
        <v>5</v>
      </c>
      <c r="B300" s="36">
        <v>7</v>
      </c>
      <c r="C300" s="36">
        <v>3</v>
      </c>
      <c r="D300" s="37">
        <v>2</v>
      </c>
      <c r="R300" s="35">
        <v>19</v>
      </c>
      <c r="S300" s="36">
        <v>4</v>
      </c>
      <c r="T300" s="36">
        <v>3</v>
      </c>
      <c r="U300" s="37">
        <v>2</v>
      </c>
      <c r="X300" s="28">
        <v>10</v>
      </c>
      <c r="Y300" s="23">
        <v>0</v>
      </c>
      <c r="Z300" s="24">
        <v>0</v>
      </c>
      <c r="AA300" s="24">
        <v>0</v>
      </c>
      <c r="AB300" s="24">
        <v>0</v>
      </c>
      <c r="AC300" s="24">
        <v>0</v>
      </c>
      <c r="AD300" s="24">
        <v>0</v>
      </c>
      <c r="AE300" s="24">
        <v>0</v>
      </c>
      <c r="AF300" s="24">
        <v>0</v>
      </c>
      <c r="AG300" s="24">
        <v>0</v>
      </c>
      <c r="AH300" s="24">
        <v>0</v>
      </c>
      <c r="AI300" s="24">
        <v>0</v>
      </c>
      <c r="AJ300" s="24">
        <v>0</v>
      </c>
      <c r="AK300" s="24">
        <v>1</v>
      </c>
      <c r="AL300" s="24">
        <v>1</v>
      </c>
      <c r="AM300" s="24">
        <v>0</v>
      </c>
      <c r="AN300" s="24">
        <v>0</v>
      </c>
      <c r="AO300" s="24">
        <v>0</v>
      </c>
      <c r="AP300" s="24">
        <v>0</v>
      </c>
      <c r="AQ300" s="24">
        <v>0</v>
      </c>
      <c r="AR300" s="24">
        <v>0</v>
      </c>
      <c r="AS300" s="24">
        <v>0</v>
      </c>
      <c r="AT300" s="24">
        <v>0</v>
      </c>
      <c r="AU300" s="24">
        <v>0</v>
      </c>
      <c r="AV300" s="24">
        <v>0</v>
      </c>
      <c r="AW300" s="24">
        <v>0</v>
      </c>
      <c r="AX300" s="24">
        <v>0</v>
      </c>
      <c r="AY300" s="24">
        <v>0</v>
      </c>
      <c r="AZ300" s="24">
        <v>0</v>
      </c>
      <c r="BA300" s="24">
        <v>0</v>
      </c>
      <c r="BB300" s="24">
        <v>0</v>
      </c>
      <c r="BC300" s="24">
        <v>0</v>
      </c>
      <c r="BD300" s="24">
        <v>0</v>
      </c>
      <c r="BE300" s="24">
        <v>0</v>
      </c>
      <c r="BF300" s="25">
        <v>0</v>
      </c>
      <c r="BG300" s="28">
        <v>2</v>
      </c>
      <c r="BJ300" s="35">
        <v>19</v>
      </c>
      <c r="BK300" s="36">
        <v>5</v>
      </c>
      <c r="BL300" s="36">
        <v>3</v>
      </c>
      <c r="BM300" s="37">
        <v>3</v>
      </c>
      <c r="BN300" s="39">
        <v>7</v>
      </c>
    </row>
    <row r="301" spans="1:66" s="3" customFormat="1" ht="18" customHeight="1" x14ac:dyDescent="0.2">
      <c r="A301" s="35">
        <v>5</v>
      </c>
      <c r="B301" s="36">
        <v>7</v>
      </c>
      <c r="C301" s="36">
        <v>3</v>
      </c>
      <c r="D301" s="37">
        <v>3</v>
      </c>
      <c r="R301" s="35">
        <v>19</v>
      </c>
      <c r="S301" s="36">
        <v>4</v>
      </c>
      <c r="T301" s="36">
        <v>4</v>
      </c>
      <c r="U301" s="37">
        <v>2</v>
      </c>
      <c r="X301" s="39">
        <v>12</v>
      </c>
      <c r="Y301" s="35">
        <v>0</v>
      </c>
      <c r="Z301" s="36">
        <v>0</v>
      </c>
      <c r="AA301" s="36">
        <v>0</v>
      </c>
      <c r="AB301" s="36">
        <v>0</v>
      </c>
      <c r="AC301" s="36">
        <v>0</v>
      </c>
      <c r="AD301" s="36">
        <v>0</v>
      </c>
      <c r="AE301" s="36">
        <v>0</v>
      </c>
      <c r="AF301" s="36">
        <v>0</v>
      </c>
      <c r="AG301" s="36">
        <v>0</v>
      </c>
      <c r="AH301" s="36">
        <v>0</v>
      </c>
      <c r="AI301" s="36">
        <v>0</v>
      </c>
      <c r="AJ301" s="36">
        <v>0</v>
      </c>
      <c r="AK301" s="36">
        <v>1</v>
      </c>
      <c r="AL301" s="36">
        <v>1</v>
      </c>
      <c r="AM301" s="36">
        <v>0</v>
      </c>
      <c r="AN301" s="36">
        <v>0</v>
      </c>
      <c r="AO301" s="36">
        <v>0</v>
      </c>
      <c r="AP301" s="36">
        <v>0</v>
      </c>
      <c r="AQ301" s="36">
        <v>0</v>
      </c>
      <c r="AR301" s="36">
        <v>0</v>
      </c>
      <c r="AS301" s="36">
        <v>0</v>
      </c>
      <c r="AT301" s="36">
        <v>0</v>
      </c>
      <c r="AU301" s="36">
        <v>0</v>
      </c>
      <c r="AV301" s="36">
        <v>0</v>
      </c>
      <c r="AW301" s="36">
        <v>0</v>
      </c>
      <c r="AX301" s="36">
        <v>0</v>
      </c>
      <c r="AY301" s="36">
        <v>0</v>
      </c>
      <c r="AZ301" s="36">
        <v>0</v>
      </c>
      <c r="BA301" s="36">
        <v>0</v>
      </c>
      <c r="BB301" s="36">
        <v>0</v>
      </c>
      <c r="BC301" s="36">
        <v>0</v>
      </c>
      <c r="BD301" s="36">
        <v>0</v>
      </c>
      <c r="BE301" s="36">
        <v>0</v>
      </c>
      <c r="BF301" s="37">
        <v>0</v>
      </c>
      <c r="BG301" s="39">
        <v>2</v>
      </c>
      <c r="BJ301" s="35">
        <v>19</v>
      </c>
      <c r="BK301" s="36">
        <v>5</v>
      </c>
      <c r="BL301" s="36">
        <v>4</v>
      </c>
      <c r="BM301" s="37">
        <v>3</v>
      </c>
      <c r="BN301" s="39">
        <v>7</v>
      </c>
    </row>
    <row r="302" spans="1:66" s="3" customFormat="1" ht="18.5" customHeight="1" x14ac:dyDescent="0.2">
      <c r="A302" s="35">
        <v>5</v>
      </c>
      <c r="B302" s="36">
        <v>7</v>
      </c>
      <c r="C302" s="36">
        <v>3</v>
      </c>
      <c r="D302" s="37">
        <v>4</v>
      </c>
      <c r="R302" s="35">
        <v>19</v>
      </c>
      <c r="S302" s="36">
        <v>5</v>
      </c>
      <c r="T302" s="36">
        <v>3</v>
      </c>
      <c r="U302" s="37">
        <v>2</v>
      </c>
      <c r="X302" s="56">
        <v>26</v>
      </c>
      <c r="Y302" s="32">
        <v>0</v>
      </c>
      <c r="Z302" s="33">
        <v>0</v>
      </c>
      <c r="AA302" s="33">
        <v>0</v>
      </c>
      <c r="AB302" s="33">
        <v>0</v>
      </c>
      <c r="AC302" s="33">
        <v>0</v>
      </c>
      <c r="AD302" s="33">
        <v>0</v>
      </c>
      <c r="AE302" s="33">
        <v>0</v>
      </c>
      <c r="AF302" s="33">
        <v>0</v>
      </c>
      <c r="AG302" s="33">
        <v>0</v>
      </c>
      <c r="AH302" s="33">
        <v>0</v>
      </c>
      <c r="AI302" s="33">
        <v>0</v>
      </c>
      <c r="AJ302" s="33">
        <v>0</v>
      </c>
      <c r="AK302" s="33">
        <v>1</v>
      </c>
      <c r="AL302" s="33">
        <v>1</v>
      </c>
      <c r="AM302" s="33">
        <v>0</v>
      </c>
      <c r="AN302" s="33">
        <v>0</v>
      </c>
      <c r="AO302" s="33">
        <v>0</v>
      </c>
      <c r="AP302" s="33">
        <v>0</v>
      </c>
      <c r="AQ302" s="33">
        <v>0</v>
      </c>
      <c r="AR302" s="33">
        <v>0</v>
      </c>
      <c r="AS302" s="33">
        <v>0</v>
      </c>
      <c r="AT302" s="33">
        <v>0</v>
      </c>
      <c r="AU302" s="33">
        <v>0</v>
      </c>
      <c r="AV302" s="33">
        <v>0</v>
      </c>
      <c r="AW302" s="33">
        <v>0</v>
      </c>
      <c r="AX302" s="33">
        <v>0</v>
      </c>
      <c r="AY302" s="33">
        <v>0</v>
      </c>
      <c r="AZ302" s="33">
        <v>0</v>
      </c>
      <c r="BA302" s="33">
        <v>0</v>
      </c>
      <c r="BB302" s="33">
        <v>0</v>
      </c>
      <c r="BC302" s="33">
        <v>0</v>
      </c>
      <c r="BD302" s="33">
        <v>0</v>
      </c>
      <c r="BE302" s="33">
        <v>0</v>
      </c>
      <c r="BF302" s="34">
        <v>0</v>
      </c>
      <c r="BG302" s="56">
        <v>2</v>
      </c>
      <c r="BJ302" s="35">
        <v>19</v>
      </c>
      <c r="BK302" s="36">
        <v>6</v>
      </c>
      <c r="BL302" s="36">
        <v>3</v>
      </c>
      <c r="BM302" s="37">
        <v>2</v>
      </c>
      <c r="BN302" s="39">
        <v>7</v>
      </c>
    </row>
    <row r="303" spans="1:66" s="3" customFormat="1" ht="19" customHeight="1" x14ac:dyDescent="0.2">
      <c r="A303" s="35">
        <v>5</v>
      </c>
      <c r="B303" s="36">
        <v>9</v>
      </c>
      <c r="C303" s="36">
        <v>1</v>
      </c>
      <c r="D303" s="37">
        <v>1</v>
      </c>
      <c r="R303" s="35">
        <v>19</v>
      </c>
      <c r="S303" s="36">
        <v>5</v>
      </c>
      <c r="T303" s="36">
        <v>4</v>
      </c>
      <c r="U303" s="37">
        <v>2</v>
      </c>
      <c r="X303" s="8" t="s">
        <v>74</v>
      </c>
      <c r="Y303" s="9">
        <f t="shared" ref="Y303:BG303" si="9">SUM(Y300:Y302)</f>
        <v>0</v>
      </c>
      <c r="Z303" s="10">
        <f t="shared" si="9"/>
        <v>0</v>
      </c>
      <c r="AA303" s="10">
        <f t="shared" si="9"/>
        <v>0</v>
      </c>
      <c r="AB303" s="10">
        <f t="shared" si="9"/>
        <v>0</v>
      </c>
      <c r="AC303" s="10">
        <f t="shared" si="9"/>
        <v>0</v>
      </c>
      <c r="AD303" s="10">
        <f t="shared" si="9"/>
        <v>0</v>
      </c>
      <c r="AE303" s="10">
        <f t="shared" si="9"/>
        <v>0</v>
      </c>
      <c r="AF303" s="10">
        <f t="shared" si="9"/>
        <v>0</v>
      </c>
      <c r="AG303" s="10">
        <f t="shared" si="9"/>
        <v>0</v>
      </c>
      <c r="AH303" s="10">
        <f t="shared" si="9"/>
        <v>0</v>
      </c>
      <c r="AI303" s="10">
        <f t="shared" si="9"/>
        <v>0</v>
      </c>
      <c r="AJ303" s="10">
        <f t="shared" si="9"/>
        <v>0</v>
      </c>
      <c r="AK303" s="10">
        <f t="shared" si="9"/>
        <v>3</v>
      </c>
      <c r="AL303" s="10">
        <f t="shared" si="9"/>
        <v>3</v>
      </c>
      <c r="AM303" s="10">
        <f t="shared" si="9"/>
        <v>0</v>
      </c>
      <c r="AN303" s="10">
        <f t="shared" si="9"/>
        <v>0</v>
      </c>
      <c r="AO303" s="10">
        <f t="shared" si="9"/>
        <v>0</v>
      </c>
      <c r="AP303" s="10">
        <f t="shared" si="9"/>
        <v>0</v>
      </c>
      <c r="AQ303" s="10">
        <f t="shared" si="9"/>
        <v>0</v>
      </c>
      <c r="AR303" s="10">
        <f t="shared" si="9"/>
        <v>0</v>
      </c>
      <c r="AS303" s="10">
        <f t="shared" si="9"/>
        <v>0</v>
      </c>
      <c r="AT303" s="10">
        <f t="shared" si="9"/>
        <v>0</v>
      </c>
      <c r="AU303" s="10">
        <f t="shared" si="9"/>
        <v>0</v>
      </c>
      <c r="AV303" s="10">
        <f t="shared" si="9"/>
        <v>0</v>
      </c>
      <c r="AW303" s="10">
        <f t="shared" si="9"/>
        <v>0</v>
      </c>
      <c r="AX303" s="10">
        <f t="shared" si="9"/>
        <v>0</v>
      </c>
      <c r="AY303" s="10">
        <f t="shared" si="9"/>
        <v>0</v>
      </c>
      <c r="AZ303" s="10">
        <f t="shared" si="9"/>
        <v>0</v>
      </c>
      <c r="BA303" s="10">
        <f t="shared" si="9"/>
        <v>0</v>
      </c>
      <c r="BB303" s="10">
        <f t="shared" si="9"/>
        <v>0</v>
      </c>
      <c r="BC303" s="10">
        <f t="shared" si="9"/>
        <v>0</v>
      </c>
      <c r="BD303" s="10">
        <f t="shared" si="9"/>
        <v>0</v>
      </c>
      <c r="BE303" s="10">
        <f t="shared" si="9"/>
        <v>0</v>
      </c>
      <c r="BF303" s="11">
        <f t="shared" si="9"/>
        <v>0</v>
      </c>
      <c r="BG303" s="94">
        <f t="shared" si="9"/>
        <v>6</v>
      </c>
      <c r="BJ303" s="35">
        <v>19</v>
      </c>
      <c r="BK303" s="36">
        <v>6</v>
      </c>
      <c r="BL303" s="36">
        <v>4</v>
      </c>
      <c r="BM303" s="37">
        <v>2</v>
      </c>
      <c r="BN303" s="39">
        <v>7</v>
      </c>
    </row>
    <row r="304" spans="1:66" s="3" customFormat="1" ht="18.5" customHeight="1" x14ac:dyDescent="0.2">
      <c r="A304" s="35">
        <v>5</v>
      </c>
      <c r="B304" s="36">
        <v>9</v>
      </c>
      <c r="C304" s="36">
        <v>1</v>
      </c>
      <c r="D304" s="37">
        <v>2</v>
      </c>
      <c r="R304" s="35">
        <v>19</v>
      </c>
      <c r="S304" s="36">
        <v>6</v>
      </c>
      <c r="T304" s="36">
        <v>3</v>
      </c>
      <c r="U304" s="37">
        <v>2</v>
      </c>
      <c r="AC304" s="111"/>
      <c r="AD304" s="111"/>
      <c r="BJ304" s="35">
        <v>19</v>
      </c>
      <c r="BK304" s="36">
        <v>7</v>
      </c>
      <c r="BL304" s="36">
        <v>3</v>
      </c>
      <c r="BM304" s="37">
        <v>2</v>
      </c>
      <c r="BN304" s="39">
        <v>7</v>
      </c>
    </row>
    <row r="305" spans="1:66" s="3" customFormat="1" ht="18" customHeight="1" x14ac:dyDescent="0.2">
      <c r="A305" s="35">
        <v>5</v>
      </c>
      <c r="B305" s="36">
        <v>9</v>
      </c>
      <c r="C305" s="36">
        <v>1</v>
      </c>
      <c r="D305" s="37">
        <v>3</v>
      </c>
      <c r="R305" s="35">
        <v>19</v>
      </c>
      <c r="S305" s="36">
        <v>6</v>
      </c>
      <c r="T305" s="36">
        <v>4</v>
      </c>
      <c r="U305" s="37">
        <v>2</v>
      </c>
      <c r="AA305" s="21"/>
      <c r="AB305" s="21"/>
      <c r="AC305" s="21"/>
      <c r="AD305" s="21"/>
      <c r="BJ305" s="35">
        <v>19</v>
      </c>
      <c r="BK305" s="36">
        <v>7</v>
      </c>
      <c r="BL305" s="36">
        <v>4</v>
      </c>
      <c r="BM305" s="37">
        <v>2</v>
      </c>
      <c r="BN305" s="39">
        <v>7</v>
      </c>
    </row>
    <row r="306" spans="1:66" s="3" customFormat="1" ht="18.5" customHeight="1" x14ac:dyDescent="0.2">
      <c r="A306" s="35">
        <v>5</v>
      </c>
      <c r="B306" s="36">
        <v>9</v>
      </c>
      <c r="C306" s="36">
        <v>1</v>
      </c>
      <c r="D306" s="37">
        <v>4</v>
      </c>
      <c r="R306" s="35">
        <v>19</v>
      </c>
      <c r="S306" s="36">
        <v>7</v>
      </c>
      <c r="T306" s="36">
        <v>3</v>
      </c>
      <c r="U306" s="37">
        <v>2</v>
      </c>
      <c r="AA306" s="110"/>
      <c r="AB306" s="21"/>
      <c r="AC306" s="21"/>
      <c r="BJ306" s="35">
        <v>19</v>
      </c>
      <c r="BK306" s="36">
        <v>8</v>
      </c>
      <c r="BL306" s="36">
        <v>3</v>
      </c>
      <c r="BM306" s="37">
        <v>2</v>
      </c>
      <c r="BN306" s="39">
        <v>7</v>
      </c>
    </row>
    <row r="307" spans="1:66" s="3" customFormat="1" ht="19" customHeight="1" x14ac:dyDescent="0.2">
      <c r="A307" s="35">
        <v>5</v>
      </c>
      <c r="B307" s="36">
        <v>9</v>
      </c>
      <c r="C307" s="36">
        <v>2</v>
      </c>
      <c r="D307" s="37">
        <v>1</v>
      </c>
      <c r="R307" s="35">
        <v>19</v>
      </c>
      <c r="S307" s="36">
        <v>7</v>
      </c>
      <c r="T307" s="36">
        <v>4</v>
      </c>
      <c r="U307" s="37">
        <v>2</v>
      </c>
      <c r="AA307" s="8" t="s">
        <v>4</v>
      </c>
      <c r="AB307" s="112"/>
      <c r="AC307" s="21"/>
      <c r="BJ307" s="35">
        <v>19</v>
      </c>
      <c r="BK307" s="36">
        <v>8</v>
      </c>
      <c r="BL307" s="36">
        <v>4</v>
      </c>
      <c r="BM307" s="37">
        <v>2</v>
      </c>
      <c r="BN307" s="39">
        <v>7</v>
      </c>
    </row>
    <row r="308" spans="1:66" s="3" customFormat="1" ht="19" customHeight="1" x14ac:dyDescent="0.2">
      <c r="A308" s="35">
        <v>5</v>
      </c>
      <c r="B308" s="36">
        <v>9</v>
      </c>
      <c r="C308" s="36">
        <v>2</v>
      </c>
      <c r="D308" s="37">
        <v>2</v>
      </c>
      <c r="R308" s="35">
        <v>19</v>
      </c>
      <c r="S308" s="36">
        <v>8</v>
      </c>
      <c r="T308" s="36">
        <v>3</v>
      </c>
      <c r="U308" s="37">
        <v>2</v>
      </c>
      <c r="X308" s="8" t="s">
        <v>22</v>
      </c>
      <c r="AB308" s="21"/>
      <c r="AC308" s="21"/>
      <c r="BJ308" s="35">
        <v>19</v>
      </c>
      <c r="BK308" s="36">
        <v>9</v>
      </c>
      <c r="BL308" s="36">
        <v>3</v>
      </c>
      <c r="BM308" s="37">
        <v>2</v>
      </c>
      <c r="BN308" s="39">
        <v>7</v>
      </c>
    </row>
    <row r="309" spans="1:66" s="3" customFormat="1" ht="18.5" customHeight="1" x14ac:dyDescent="0.2">
      <c r="A309" s="35">
        <v>5</v>
      </c>
      <c r="B309" s="36">
        <v>9</v>
      </c>
      <c r="C309" s="36">
        <v>2</v>
      </c>
      <c r="D309" s="37">
        <v>3</v>
      </c>
      <c r="R309" s="35">
        <v>19</v>
      </c>
      <c r="S309" s="36">
        <v>8</v>
      </c>
      <c r="T309" s="36">
        <v>4</v>
      </c>
      <c r="U309" s="37">
        <v>2</v>
      </c>
      <c r="X309" s="28">
        <v>10</v>
      </c>
      <c r="AA309" s="100">
        <v>4</v>
      </c>
      <c r="AB309" s="100">
        <v>3</v>
      </c>
      <c r="AC309" s="21"/>
      <c r="BJ309" s="35">
        <v>19</v>
      </c>
      <c r="BK309" s="36">
        <v>9</v>
      </c>
      <c r="BL309" s="36">
        <v>4</v>
      </c>
      <c r="BM309" s="37">
        <v>2</v>
      </c>
      <c r="BN309" s="39">
        <v>7</v>
      </c>
    </row>
    <row r="310" spans="1:66" s="3" customFormat="1" ht="18" customHeight="1" x14ac:dyDescent="0.2">
      <c r="A310" s="35">
        <v>5</v>
      </c>
      <c r="B310" s="36">
        <v>9</v>
      </c>
      <c r="C310" s="36">
        <v>2</v>
      </c>
      <c r="D310" s="37">
        <v>4</v>
      </c>
      <c r="R310" s="35">
        <v>19</v>
      </c>
      <c r="S310" s="36">
        <v>9</v>
      </c>
      <c r="T310" s="36">
        <v>3</v>
      </c>
      <c r="U310" s="37">
        <v>2</v>
      </c>
      <c r="X310" s="39">
        <v>12</v>
      </c>
      <c r="AA310" s="100">
        <v>4</v>
      </c>
      <c r="AB310" s="100">
        <v>4</v>
      </c>
      <c r="AC310" s="21"/>
      <c r="BJ310" s="35">
        <v>19</v>
      </c>
      <c r="BK310" s="36">
        <v>10</v>
      </c>
      <c r="BL310" s="36">
        <v>3</v>
      </c>
      <c r="BM310" s="37">
        <v>2</v>
      </c>
      <c r="BN310" s="39">
        <v>7</v>
      </c>
    </row>
    <row r="311" spans="1:66" s="3" customFormat="1" ht="18.5" customHeight="1" x14ac:dyDescent="0.2">
      <c r="A311" s="35">
        <v>5</v>
      </c>
      <c r="B311" s="36">
        <v>9</v>
      </c>
      <c r="C311" s="36">
        <v>3</v>
      </c>
      <c r="D311" s="37">
        <v>1</v>
      </c>
      <c r="R311" s="35">
        <v>19</v>
      </c>
      <c r="S311" s="36">
        <v>9</v>
      </c>
      <c r="T311" s="36">
        <v>4</v>
      </c>
      <c r="U311" s="37">
        <v>2</v>
      </c>
      <c r="X311" s="56">
        <v>26</v>
      </c>
      <c r="AA311" s="21"/>
      <c r="AB311" s="21"/>
      <c r="AC311" s="21"/>
      <c r="BJ311" s="35">
        <v>19</v>
      </c>
      <c r="BK311" s="36">
        <v>10</v>
      </c>
      <c r="BL311" s="36">
        <v>4</v>
      </c>
      <c r="BM311" s="37">
        <v>2</v>
      </c>
      <c r="BN311" s="39">
        <v>7</v>
      </c>
    </row>
    <row r="312" spans="1:66" s="3" customFormat="1" ht="18.5" customHeight="1" x14ac:dyDescent="0.2">
      <c r="A312" s="35">
        <v>5</v>
      </c>
      <c r="B312" s="36">
        <v>9</v>
      </c>
      <c r="C312" s="36">
        <v>3</v>
      </c>
      <c r="D312" s="37">
        <v>2</v>
      </c>
      <c r="R312" s="35">
        <v>19</v>
      </c>
      <c r="S312" s="36">
        <v>10</v>
      </c>
      <c r="T312" s="36">
        <v>3</v>
      </c>
      <c r="U312" s="37">
        <v>2</v>
      </c>
      <c r="AA312" s="21"/>
      <c r="AB312" s="21"/>
      <c r="AC312" s="21"/>
      <c r="BJ312" s="35">
        <v>20</v>
      </c>
      <c r="BK312" s="36">
        <v>1</v>
      </c>
      <c r="BL312" s="36">
        <v>3</v>
      </c>
      <c r="BM312" s="37">
        <v>3</v>
      </c>
      <c r="BN312" s="39">
        <v>1</v>
      </c>
    </row>
    <row r="313" spans="1:66" s="3" customFormat="1" ht="18" customHeight="1" x14ac:dyDescent="0.2">
      <c r="A313" s="35">
        <v>5</v>
      </c>
      <c r="B313" s="36">
        <v>9</v>
      </c>
      <c r="C313" s="36">
        <v>3</v>
      </c>
      <c r="D313" s="37">
        <v>3</v>
      </c>
      <c r="R313" s="35">
        <v>19</v>
      </c>
      <c r="S313" s="36">
        <v>10</v>
      </c>
      <c r="T313" s="36">
        <v>4</v>
      </c>
      <c r="U313" s="37">
        <v>2</v>
      </c>
      <c r="AA313" s="21"/>
      <c r="AB313" s="21"/>
      <c r="AC313" s="21"/>
      <c r="BJ313" s="35">
        <v>20</v>
      </c>
      <c r="BK313" s="36">
        <v>1</v>
      </c>
      <c r="BL313" s="36">
        <v>4</v>
      </c>
      <c r="BM313" s="37">
        <v>3</v>
      </c>
      <c r="BN313" s="39">
        <v>1</v>
      </c>
    </row>
    <row r="314" spans="1:66" s="3" customFormat="1" ht="18" customHeight="1" x14ac:dyDescent="0.2">
      <c r="A314" s="35">
        <v>5</v>
      </c>
      <c r="B314" s="36">
        <v>9</v>
      </c>
      <c r="C314" s="36">
        <v>3</v>
      </c>
      <c r="D314" s="37">
        <v>4</v>
      </c>
      <c r="R314" s="35">
        <v>20</v>
      </c>
      <c r="S314" s="36">
        <v>1</v>
      </c>
      <c r="T314" s="36">
        <v>3</v>
      </c>
      <c r="U314" s="37">
        <v>2</v>
      </c>
      <c r="AA314" s="21"/>
      <c r="AB314" s="21"/>
      <c r="AC314" s="21"/>
      <c r="BJ314" s="35">
        <v>20</v>
      </c>
      <c r="BK314" s="36">
        <v>2</v>
      </c>
      <c r="BL314" s="36">
        <v>3</v>
      </c>
      <c r="BM314" s="37">
        <v>3</v>
      </c>
      <c r="BN314" s="39">
        <v>1</v>
      </c>
    </row>
    <row r="315" spans="1:66" s="3" customFormat="1" ht="18" customHeight="1" x14ac:dyDescent="0.2">
      <c r="A315" s="35">
        <v>6</v>
      </c>
      <c r="B315" s="36">
        <v>1</v>
      </c>
      <c r="C315" s="36">
        <v>1</v>
      </c>
      <c r="D315" s="37">
        <v>2</v>
      </c>
      <c r="R315" s="35">
        <v>20</v>
      </c>
      <c r="S315" s="36">
        <v>1</v>
      </c>
      <c r="T315" s="36">
        <v>4</v>
      </c>
      <c r="U315" s="37">
        <v>2</v>
      </c>
      <c r="AA315" s="21"/>
      <c r="AB315" s="21"/>
      <c r="AC315" s="21"/>
      <c r="BJ315" s="35">
        <v>20</v>
      </c>
      <c r="BK315" s="36">
        <v>2</v>
      </c>
      <c r="BL315" s="36">
        <v>4</v>
      </c>
      <c r="BM315" s="37">
        <v>3</v>
      </c>
      <c r="BN315" s="39">
        <v>1</v>
      </c>
    </row>
    <row r="316" spans="1:66" s="3" customFormat="1" ht="18" customHeight="1" x14ac:dyDescent="0.2">
      <c r="A316" s="35">
        <v>6</v>
      </c>
      <c r="B316" s="36">
        <v>1</v>
      </c>
      <c r="C316" s="36">
        <v>1</v>
      </c>
      <c r="D316" s="37">
        <v>3</v>
      </c>
      <c r="R316" s="35">
        <v>20</v>
      </c>
      <c r="S316" s="36">
        <v>2</v>
      </c>
      <c r="T316" s="36">
        <v>3</v>
      </c>
      <c r="U316" s="37">
        <v>2</v>
      </c>
      <c r="AA316" s="21"/>
      <c r="AB316" s="21"/>
      <c r="AC316" s="21"/>
      <c r="BJ316" s="35">
        <v>20</v>
      </c>
      <c r="BK316" s="36">
        <v>4</v>
      </c>
      <c r="BL316" s="36">
        <v>3</v>
      </c>
      <c r="BM316" s="37">
        <v>3</v>
      </c>
      <c r="BN316" s="39">
        <v>1</v>
      </c>
    </row>
    <row r="317" spans="1:66" s="3" customFormat="1" ht="18" customHeight="1" x14ac:dyDescent="0.2">
      <c r="A317" s="35">
        <v>6</v>
      </c>
      <c r="B317" s="36">
        <v>1</v>
      </c>
      <c r="C317" s="36">
        <v>1</v>
      </c>
      <c r="D317" s="37">
        <v>4</v>
      </c>
      <c r="R317" s="35">
        <v>20</v>
      </c>
      <c r="S317" s="36">
        <v>2</v>
      </c>
      <c r="T317" s="36">
        <v>4</v>
      </c>
      <c r="U317" s="37">
        <v>2</v>
      </c>
      <c r="AA317" s="21"/>
      <c r="AB317" s="21"/>
      <c r="AC317" s="21"/>
      <c r="BJ317" s="35">
        <v>20</v>
      </c>
      <c r="BK317" s="36">
        <v>4</v>
      </c>
      <c r="BL317" s="36">
        <v>4</v>
      </c>
      <c r="BM317" s="37">
        <v>3</v>
      </c>
      <c r="BN317" s="39">
        <v>1</v>
      </c>
    </row>
    <row r="318" spans="1:66" s="3" customFormat="1" ht="18" customHeight="1" x14ac:dyDescent="0.2">
      <c r="A318" s="35">
        <v>6</v>
      </c>
      <c r="B318" s="36">
        <v>1</v>
      </c>
      <c r="C318" s="36">
        <v>2</v>
      </c>
      <c r="D318" s="37">
        <v>2</v>
      </c>
      <c r="R318" s="35">
        <v>20</v>
      </c>
      <c r="S318" s="36">
        <v>4</v>
      </c>
      <c r="T318" s="36">
        <v>3</v>
      </c>
      <c r="U318" s="37">
        <v>2</v>
      </c>
      <c r="AA318" s="21"/>
      <c r="AB318" s="21"/>
      <c r="AC318" s="21"/>
      <c r="BJ318" s="35">
        <v>20</v>
      </c>
      <c r="BK318" s="36">
        <v>6</v>
      </c>
      <c r="BL318" s="36">
        <v>3</v>
      </c>
      <c r="BM318" s="37">
        <v>2</v>
      </c>
      <c r="BN318" s="39">
        <v>1</v>
      </c>
    </row>
    <row r="319" spans="1:66" s="3" customFormat="1" ht="18" customHeight="1" x14ac:dyDescent="0.2">
      <c r="A319" s="35">
        <v>6</v>
      </c>
      <c r="B319" s="36">
        <v>1</v>
      </c>
      <c r="C319" s="36">
        <v>2</v>
      </c>
      <c r="D319" s="37">
        <v>3</v>
      </c>
      <c r="R319" s="35">
        <v>20</v>
      </c>
      <c r="S319" s="36">
        <v>4</v>
      </c>
      <c r="T319" s="36">
        <v>4</v>
      </c>
      <c r="U319" s="37">
        <v>2</v>
      </c>
      <c r="AA319" s="21"/>
      <c r="AB319" s="21"/>
      <c r="AC319" s="21"/>
      <c r="BJ319" s="35">
        <v>20</v>
      </c>
      <c r="BK319" s="36">
        <v>6</v>
      </c>
      <c r="BL319" s="36">
        <v>4</v>
      </c>
      <c r="BM319" s="37">
        <v>2</v>
      </c>
      <c r="BN319" s="39">
        <v>1</v>
      </c>
    </row>
    <row r="320" spans="1:66" s="3" customFormat="1" ht="18" customHeight="1" x14ac:dyDescent="0.2">
      <c r="A320" s="35">
        <v>6</v>
      </c>
      <c r="B320" s="36">
        <v>1</v>
      </c>
      <c r="C320" s="36">
        <v>2</v>
      </c>
      <c r="D320" s="37">
        <v>4</v>
      </c>
      <c r="R320" s="35">
        <v>20</v>
      </c>
      <c r="S320" s="36">
        <v>6</v>
      </c>
      <c r="T320" s="36">
        <v>3</v>
      </c>
      <c r="U320" s="37">
        <v>2</v>
      </c>
      <c r="AA320" s="21"/>
      <c r="AB320" s="21"/>
      <c r="AC320" s="21"/>
      <c r="BJ320" s="35">
        <v>20</v>
      </c>
      <c r="BK320" s="36">
        <v>7</v>
      </c>
      <c r="BL320" s="36">
        <v>3</v>
      </c>
      <c r="BM320" s="37">
        <v>2</v>
      </c>
      <c r="BN320" s="39">
        <v>1</v>
      </c>
    </row>
    <row r="321" spans="1:66" s="3" customFormat="1" ht="18" customHeight="1" x14ac:dyDescent="0.2">
      <c r="A321" s="35">
        <v>6</v>
      </c>
      <c r="B321" s="36">
        <v>1</v>
      </c>
      <c r="C321" s="36">
        <v>3</v>
      </c>
      <c r="D321" s="37">
        <v>2</v>
      </c>
      <c r="R321" s="35">
        <v>20</v>
      </c>
      <c r="S321" s="36">
        <v>6</v>
      </c>
      <c r="T321" s="36">
        <v>4</v>
      </c>
      <c r="U321" s="37">
        <v>2</v>
      </c>
      <c r="AA321" s="21"/>
      <c r="AB321" s="21"/>
      <c r="AC321" s="21"/>
      <c r="BJ321" s="35">
        <v>20</v>
      </c>
      <c r="BK321" s="36">
        <v>7</v>
      </c>
      <c r="BL321" s="36">
        <v>4</v>
      </c>
      <c r="BM321" s="37">
        <v>2</v>
      </c>
      <c r="BN321" s="39">
        <v>1</v>
      </c>
    </row>
    <row r="322" spans="1:66" s="3" customFormat="1" ht="18" customHeight="1" x14ac:dyDescent="0.2">
      <c r="A322" s="35">
        <v>6</v>
      </c>
      <c r="B322" s="36">
        <v>1</v>
      </c>
      <c r="C322" s="36">
        <v>3</v>
      </c>
      <c r="D322" s="37">
        <v>3</v>
      </c>
      <c r="R322" s="35">
        <v>20</v>
      </c>
      <c r="S322" s="36">
        <v>7</v>
      </c>
      <c r="T322" s="36">
        <v>3</v>
      </c>
      <c r="U322" s="37">
        <v>2</v>
      </c>
      <c r="AA322" s="21"/>
      <c r="AB322" s="21"/>
      <c r="AC322" s="21"/>
      <c r="BJ322" s="35">
        <v>20</v>
      </c>
      <c r="BK322" s="36">
        <v>9</v>
      </c>
      <c r="BL322" s="36">
        <v>3</v>
      </c>
      <c r="BM322" s="37">
        <v>2</v>
      </c>
      <c r="BN322" s="39">
        <v>1</v>
      </c>
    </row>
    <row r="323" spans="1:66" s="3" customFormat="1" ht="18" customHeight="1" x14ac:dyDescent="0.2">
      <c r="A323" s="35">
        <v>6</v>
      </c>
      <c r="B323" s="36">
        <v>1</v>
      </c>
      <c r="C323" s="36">
        <v>3</v>
      </c>
      <c r="D323" s="37">
        <v>4</v>
      </c>
      <c r="R323" s="35">
        <v>20</v>
      </c>
      <c r="S323" s="36">
        <v>7</v>
      </c>
      <c r="T323" s="36">
        <v>4</v>
      </c>
      <c r="U323" s="37">
        <v>2</v>
      </c>
      <c r="AA323" s="21"/>
      <c r="AB323" s="21"/>
      <c r="AC323" s="21"/>
      <c r="BJ323" s="35">
        <v>20</v>
      </c>
      <c r="BK323" s="36">
        <v>9</v>
      </c>
      <c r="BL323" s="36">
        <v>4</v>
      </c>
      <c r="BM323" s="37">
        <v>2</v>
      </c>
      <c r="BN323" s="39">
        <v>1</v>
      </c>
    </row>
    <row r="324" spans="1:66" s="3" customFormat="1" ht="18" customHeight="1" x14ac:dyDescent="0.2">
      <c r="A324" s="35">
        <v>6</v>
      </c>
      <c r="B324" s="36">
        <v>2</v>
      </c>
      <c r="C324" s="36">
        <v>1</v>
      </c>
      <c r="D324" s="37">
        <v>2</v>
      </c>
      <c r="R324" s="35">
        <v>20</v>
      </c>
      <c r="S324" s="36">
        <v>9</v>
      </c>
      <c r="T324" s="36">
        <v>3</v>
      </c>
      <c r="U324" s="37">
        <v>2</v>
      </c>
      <c r="AA324" s="21"/>
      <c r="AB324" s="21"/>
      <c r="AC324" s="21"/>
      <c r="BJ324" s="35">
        <v>21</v>
      </c>
      <c r="BK324" s="36">
        <v>1</v>
      </c>
      <c r="BL324" s="36">
        <v>3</v>
      </c>
      <c r="BM324" s="37">
        <v>3</v>
      </c>
      <c r="BN324" s="39">
        <v>7</v>
      </c>
    </row>
    <row r="325" spans="1:66" s="3" customFormat="1" ht="18" customHeight="1" x14ac:dyDescent="0.2">
      <c r="A325" s="35">
        <v>6</v>
      </c>
      <c r="B325" s="36">
        <v>2</v>
      </c>
      <c r="C325" s="36">
        <v>1</v>
      </c>
      <c r="D325" s="37">
        <v>3</v>
      </c>
      <c r="R325" s="35">
        <v>20</v>
      </c>
      <c r="S325" s="36">
        <v>9</v>
      </c>
      <c r="T325" s="36">
        <v>4</v>
      </c>
      <c r="U325" s="37">
        <v>2</v>
      </c>
      <c r="BJ325" s="35">
        <v>21</v>
      </c>
      <c r="BK325" s="36">
        <v>1</v>
      </c>
      <c r="BL325" s="36">
        <v>4</v>
      </c>
      <c r="BM325" s="37">
        <v>3</v>
      </c>
      <c r="BN325" s="39">
        <v>7</v>
      </c>
    </row>
    <row r="326" spans="1:66" s="3" customFormat="1" ht="18" customHeight="1" x14ac:dyDescent="0.2">
      <c r="A326" s="35">
        <v>6</v>
      </c>
      <c r="B326" s="36">
        <v>2</v>
      </c>
      <c r="C326" s="36">
        <v>1</v>
      </c>
      <c r="D326" s="37">
        <v>4</v>
      </c>
      <c r="R326" s="35">
        <v>21</v>
      </c>
      <c r="S326" s="36">
        <v>1</v>
      </c>
      <c r="T326" s="36">
        <v>3</v>
      </c>
      <c r="U326" s="37">
        <v>2</v>
      </c>
      <c r="BJ326" s="35">
        <v>21</v>
      </c>
      <c r="BK326" s="36">
        <v>2</v>
      </c>
      <c r="BL326" s="36">
        <v>3</v>
      </c>
      <c r="BM326" s="37">
        <v>3</v>
      </c>
      <c r="BN326" s="39">
        <v>7</v>
      </c>
    </row>
    <row r="327" spans="1:66" s="3" customFormat="1" ht="18" customHeight="1" x14ac:dyDescent="0.2">
      <c r="A327" s="35">
        <v>6</v>
      </c>
      <c r="B327" s="36">
        <v>2</v>
      </c>
      <c r="C327" s="36">
        <v>2</v>
      </c>
      <c r="D327" s="37">
        <v>2</v>
      </c>
      <c r="R327" s="35">
        <v>21</v>
      </c>
      <c r="S327" s="36">
        <v>1</v>
      </c>
      <c r="T327" s="36">
        <v>4</v>
      </c>
      <c r="U327" s="37">
        <v>2</v>
      </c>
      <c r="BJ327" s="35">
        <v>21</v>
      </c>
      <c r="BK327" s="36">
        <v>2</v>
      </c>
      <c r="BL327" s="36">
        <v>4</v>
      </c>
      <c r="BM327" s="37">
        <v>3</v>
      </c>
      <c r="BN327" s="39">
        <v>7</v>
      </c>
    </row>
    <row r="328" spans="1:66" s="3" customFormat="1" ht="18" customHeight="1" x14ac:dyDescent="0.2">
      <c r="A328" s="35">
        <v>6</v>
      </c>
      <c r="B328" s="36">
        <v>2</v>
      </c>
      <c r="C328" s="36">
        <v>2</v>
      </c>
      <c r="D328" s="37">
        <v>3</v>
      </c>
      <c r="R328" s="35">
        <v>21</v>
      </c>
      <c r="S328" s="36">
        <v>2</v>
      </c>
      <c r="T328" s="36">
        <v>3</v>
      </c>
      <c r="U328" s="37">
        <v>2</v>
      </c>
      <c r="BJ328" s="35">
        <v>21</v>
      </c>
      <c r="BK328" s="36">
        <v>3</v>
      </c>
      <c r="BL328" s="36">
        <v>3</v>
      </c>
      <c r="BM328" s="37">
        <v>3</v>
      </c>
      <c r="BN328" s="39">
        <v>7</v>
      </c>
    </row>
    <row r="329" spans="1:66" s="3" customFormat="1" ht="18" customHeight="1" x14ac:dyDescent="0.2">
      <c r="A329" s="35">
        <v>6</v>
      </c>
      <c r="B329" s="36">
        <v>2</v>
      </c>
      <c r="C329" s="36">
        <v>2</v>
      </c>
      <c r="D329" s="37">
        <v>4</v>
      </c>
      <c r="R329" s="35">
        <v>21</v>
      </c>
      <c r="S329" s="36">
        <v>2</v>
      </c>
      <c r="T329" s="36">
        <v>4</v>
      </c>
      <c r="U329" s="37">
        <v>2</v>
      </c>
      <c r="BJ329" s="35">
        <v>21</v>
      </c>
      <c r="BK329" s="36">
        <v>3</v>
      </c>
      <c r="BL329" s="36">
        <v>4</v>
      </c>
      <c r="BM329" s="37">
        <v>3</v>
      </c>
      <c r="BN329" s="39">
        <v>7</v>
      </c>
    </row>
    <row r="330" spans="1:66" s="3" customFormat="1" ht="18" customHeight="1" x14ac:dyDescent="0.2">
      <c r="A330" s="35">
        <v>6</v>
      </c>
      <c r="B330" s="36">
        <v>2</v>
      </c>
      <c r="C330" s="36">
        <v>3</v>
      </c>
      <c r="D330" s="37">
        <v>2</v>
      </c>
      <c r="R330" s="35">
        <v>21</v>
      </c>
      <c r="S330" s="36">
        <v>3</v>
      </c>
      <c r="T330" s="36">
        <v>3</v>
      </c>
      <c r="U330" s="37">
        <v>2</v>
      </c>
      <c r="BJ330" s="35">
        <v>21</v>
      </c>
      <c r="BK330" s="36">
        <v>4</v>
      </c>
      <c r="BL330" s="36">
        <v>3</v>
      </c>
      <c r="BM330" s="37">
        <v>3</v>
      </c>
      <c r="BN330" s="39">
        <v>7</v>
      </c>
    </row>
    <row r="331" spans="1:66" s="3" customFormat="1" ht="18" customHeight="1" x14ac:dyDescent="0.2">
      <c r="A331" s="35">
        <v>6</v>
      </c>
      <c r="B331" s="36">
        <v>2</v>
      </c>
      <c r="C331" s="36">
        <v>3</v>
      </c>
      <c r="D331" s="37">
        <v>3</v>
      </c>
      <c r="R331" s="35">
        <v>21</v>
      </c>
      <c r="S331" s="36">
        <v>3</v>
      </c>
      <c r="T331" s="36">
        <v>4</v>
      </c>
      <c r="U331" s="37">
        <v>2</v>
      </c>
      <c r="BJ331" s="35">
        <v>21</v>
      </c>
      <c r="BK331" s="36">
        <v>4</v>
      </c>
      <c r="BL331" s="36">
        <v>4</v>
      </c>
      <c r="BM331" s="37">
        <v>3</v>
      </c>
      <c r="BN331" s="39">
        <v>7</v>
      </c>
    </row>
    <row r="332" spans="1:66" s="3" customFormat="1" ht="18" customHeight="1" x14ac:dyDescent="0.2">
      <c r="A332" s="35">
        <v>6</v>
      </c>
      <c r="B332" s="36">
        <v>2</v>
      </c>
      <c r="C332" s="36">
        <v>3</v>
      </c>
      <c r="D332" s="37">
        <v>4</v>
      </c>
      <c r="R332" s="35">
        <v>21</v>
      </c>
      <c r="S332" s="36">
        <v>4</v>
      </c>
      <c r="T332" s="36">
        <v>3</v>
      </c>
      <c r="U332" s="37">
        <v>2</v>
      </c>
      <c r="BJ332" s="35">
        <v>21</v>
      </c>
      <c r="BK332" s="36">
        <v>5</v>
      </c>
      <c r="BL332" s="36">
        <v>3</v>
      </c>
      <c r="BM332" s="37">
        <v>3</v>
      </c>
      <c r="BN332" s="39">
        <v>7</v>
      </c>
    </row>
    <row r="333" spans="1:66" s="3" customFormat="1" ht="18" customHeight="1" x14ac:dyDescent="0.2">
      <c r="A333" s="35">
        <v>6</v>
      </c>
      <c r="B333" s="36">
        <v>4</v>
      </c>
      <c r="C333" s="36">
        <v>1</v>
      </c>
      <c r="D333" s="37">
        <v>2</v>
      </c>
      <c r="R333" s="35">
        <v>21</v>
      </c>
      <c r="S333" s="36">
        <v>4</v>
      </c>
      <c r="T333" s="36">
        <v>4</v>
      </c>
      <c r="U333" s="37">
        <v>2</v>
      </c>
      <c r="BJ333" s="35">
        <v>21</v>
      </c>
      <c r="BK333" s="36">
        <v>5</v>
      </c>
      <c r="BL333" s="36">
        <v>4</v>
      </c>
      <c r="BM333" s="37">
        <v>3</v>
      </c>
      <c r="BN333" s="39">
        <v>7</v>
      </c>
    </row>
    <row r="334" spans="1:66" s="3" customFormat="1" ht="18" customHeight="1" x14ac:dyDescent="0.2">
      <c r="A334" s="35">
        <v>6</v>
      </c>
      <c r="B334" s="36">
        <v>4</v>
      </c>
      <c r="C334" s="36">
        <v>1</v>
      </c>
      <c r="D334" s="37">
        <v>3</v>
      </c>
      <c r="R334" s="35">
        <v>21</v>
      </c>
      <c r="S334" s="36">
        <v>5</v>
      </c>
      <c r="T334" s="36">
        <v>3</v>
      </c>
      <c r="U334" s="37">
        <v>2</v>
      </c>
      <c r="BJ334" s="35">
        <v>21</v>
      </c>
      <c r="BK334" s="36">
        <v>6</v>
      </c>
      <c r="BL334" s="36">
        <v>3</v>
      </c>
      <c r="BM334" s="37">
        <v>2</v>
      </c>
      <c r="BN334" s="39">
        <v>7</v>
      </c>
    </row>
    <row r="335" spans="1:66" s="3" customFormat="1" ht="18" customHeight="1" x14ac:dyDescent="0.2">
      <c r="A335" s="35">
        <v>6</v>
      </c>
      <c r="B335" s="36">
        <v>4</v>
      </c>
      <c r="C335" s="36">
        <v>1</v>
      </c>
      <c r="D335" s="37">
        <v>4</v>
      </c>
      <c r="R335" s="35">
        <v>21</v>
      </c>
      <c r="S335" s="36">
        <v>5</v>
      </c>
      <c r="T335" s="36">
        <v>4</v>
      </c>
      <c r="U335" s="37">
        <v>2</v>
      </c>
      <c r="BJ335" s="35">
        <v>21</v>
      </c>
      <c r="BK335" s="36">
        <v>6</v>
      </c>
      <c r="BL335" s="36">
        <v>4</v>
      </c>
      <c r="BM335" s="37">
        <v>2</v>
      </c>
      <c r="BN335" s="39">
        <v>7</v>
      </c>
    </row>
    <row r="336" spans="1:66" s="3" customFormat="1" ht="18" customHeight="1" x14ac:dyDescent="0.2">
      <c r="A336" s="35">
        <v>6</v>
      </c>
      <c r="B336" s="36">
        <v>4</v>
      </c>
      <c r="C336" s="36">
        <v>2</v>
      </c>
      <c r="D336" s="37">
        <v>2</v>
      </c>
      <c r="R336" s="35">
        <v>21</v>
      </c>
      <c r="S336" s="36">
        <v>6</v>
      </c>
      <c r="T336" s="36">
        <v>3</v>
      </c>
      <c r="U336" s="37">
        <v>2</v>
      </c>
      <c r="BJ336" s="35">
        <v>21</v>
      </c>
      <c r="BK336" s="36">
        <v>7</v>
      </c>
      <c r="BL336" s="36">
        <v>3</v>
      </c>
      <c r="BM336" s="37">
        <v>2</v>
      </c>
      <c r="BN336" s="39">
        <v>7</v>
      </c>
    </row>
    <row r="337" spans="1:66" s="3" customFormat="1" ht="18" customHeight="1" x14ac:dyDescent="0.2">
      <c r="A337" s="35">
        <v>6</v>
      </c>
      <c r="B337" s="36">
        <v>4</v>
      </c>
      <c r="C337" s="36">
        <v>2</v>
      </c>
      <c r="D337" s="37">
        <v>3</v>
      </c>
      <c r="R337" s="35">
        <v>21</v>
      </c>
      <c r="S337" s="36">
        <v>6</v>
      </c>
      <c r="T337" s="36">
        <v>4</v>
      </c>
      <c r="U337" s="37">
        <v>2</v>
      </c>
      <c r="BJ337" s="35">
        <v>21</v>
      </c>
      <c r="BK337" s="36">
        <v>7</v>
      </c>
      <c r="BL337" s="36">
        <v>4</v>
      </c>
      <c r="BM337" s="37">
        <v>2</v>
      </c>
      <c r="BN337" s="39">
        <v>7</v>
      </c>
    </row>
    <row r="338" spans="1:66" s="3" customFormat="1" ht="18" customHeight="1" x14ac:dyDescent="0.2">
      <c r="A338" s="35">
        <v>6</v>
      </c>
      <c r="B338" s="36">
        <v>4</v>
      </c>
      <c r="C338" s="36">
        <v>2</v>
      </c>
      <c r="D338" s="37">
        <v>4</v>
      </c>
      <c r="R338" s="35">
        <v>21</v>
      </c>
      <c r="S338" s="36">
        <v>7</v>
      </c>
      <c r="T338" s="36">
        <v>3</v>
      </c>
      <c r="U338" s="37">
        <v>2</v>
      </c>
      <c r="BJ338" s="35">
        <v>21</v>
      </c>
      <c r="BK338" s="36">
        <v>8</v>
      </c>
      <c r="BL338" s="36">
        <v>3</v>
      </c>
      <c r="BM338" s="37">
        <v>2</v>
      </c>
      <c r="BN338" s="39">
        <v>7</v>
      </c>
    </row>
    <row r="339" spans="1:66" s="3" customFormat="1" ht="18" customHeight="1" x14ac:dyDescent="0.2">
      <c r="A339" s="35">
        <v>6</v>
      </c>
      <c r="B339" s="36">
        <v>4</v>
      </c>
      <c r="C339" s="36">
        <v>3</v>
      </c>
      <c r="D339" s="37">
        <v>2</v>
      </c>
      <c r="R339" s="35">
        <v>21</v>
      </c>
      <c r="S339" s="36">
        <v>7</v>
      </c>
      <c r="T339" s="36">
        <v>4</v>
      </c>
      <c r="U339" s="37">
        <v>2</v>
      </c>
      <c r="BJ339" s="35">
        <v>21</v>
      </c>
      <c r="BK339" s="36">
        <v>8</v>
      </c>
      <c r="BL339" s="36">
        <v>4</v>
      </c>
      <c r="BM339" s="37">
        <v>2</v>
      </c>
      <c r="BN339" s="39">
        <v>7</v>
      </c>
    </row>
    <row r="340" spans="1:66" s="3" customFormat="1" ht="18" customHeight="1" x14ac:dyDescent="0.2">
      <c r="A340" s="35">
        <v>6</v>
      </c>
      <c r="B340" s="36">
        <v>4</v>
      </c>
      <c r="C340" s="36">
        <v>3</v>
      </c>
      <c r="D340" s="37">
        <v>3</v>
      </c>
      <c r="R340" s="35">
        <v>21</v>
      </c>
      <c r="S340" s="36">
        <v>8</v>
      </c>
      <c r="T340" s="36">
        <v>3</v>
      </c>
      <c r="U340" s="37">
        <v>2</v>
      </c>
      <c r="BJ340" s="35">
        <v>21</v>
      </c>
      <c r="BK340" s="36">
        <v>9</v>
      </c>
      <c r="BL340" s="36">
        <v>3</v>
      </c>
      <c r="BM340" s="37">
        <v>2</v>
      </c>
      <c r="BN340" s="39">
        <v>7</v>
      </c>
    </row>
    <row r="341" spans="1:66" s="3" customFormat="1" ht="18" customHeight="1" x14ac:dyDescent="0.2">
      <c r="A341" s="35">
        <v>6</v>
      </c>
      <c r="B341" s="36">
        <v>4</v>
      </c>
      <c r="C341" s="36">
        <v>3</v>
      </c>
      <c r="D341" s="37">
        <v>4</v>
      </c>
      <c r="R341" s="35">
        <v>21</v>
      </c>
      <c r="S341" s="36">
        <v>8</v>
      </c>
      <c r="T341" s="36">
        <v>4</v>
      </c>
      <c r="U341" s="37">
        <v>2</v>
      </c>
      <c r="BJ341" s="35">
        <v>21</v>
      </c>
      <c r="BK341" s="36">
        <v>9</v>
      </c>
      <c r="BL341" s="36">
        <v>4</v>
      </c>
      <c r="BM341" s="37">
        <v>2</v>
      </c>
      <c r="BN341" s="39">
        <v>7</v>
      </c>
    </row>
    <row r="342" spans="1:66" s="3" customFormat="1" ht="18" customHeight="1" x14ac:dyDescent="0.2">
      <c r="A342" s="35">
        <v>6</v>
      </c>
      <c r="B342" s="36">
        <v>6</v>
      </c>
      <c r="C342" s="36">
        <v>1</v>
      </c>
      <c r="D342" s="37">
        <v>2</v>
      </c>
      <c r="R342" s="35">
        <v>21</v>
      </c>
      <c r="S342" s="36">
        <v>9</v>
      </c>
      <c r="T342" s="36">
        <v>3</v>
      </c>
      <c r="U342" s="37">
        <v>2</v>
      </c>
      <c r="BJ342" s="35">
        <v>21</v>
      </c>
      <c r="BK342" s="36">
        <v>10</v>
      </c>
      <c r="BL342" s="36">
        <v>3</v>
      </c>
      <c r="BM342" s="37">
        <v>2</v>
      </c>
      <c r="BN342" s="39">
        <v>7</v>
      </c>
    </row>
    <row r="343" spans="1:66" s="3" customFormat="1" ht="18" customHeight="1" x14ac:dyDescent="0.2">
      <c r="A343" s="35">
        <v>6</v>
      </c>
      <c r="B343" s="36">
        <v>6</v>
      </c>
      <c r="C343" s="36">
        <v>1</v>
      </c>
      <c r="D343" s="37">
        <v>3</v>
      </c>
      <c r="R343" s="35">
        <v>21</v>
      </c>
      <c r="S343" s="36">
        <v>9</v>
      </c>
      <c r="T343" s="36">
        <v>4</v>
      </c>
      <c r="U343" s="37">
        <v>2</v>
      </c>
      <c r="BJ343" s="35">
        <v>21</v>
      </c>
      <c r="BK343" s="36">
        <v>10</v>
      </c>
      <c r="BL343" s="36">
        <v>4</v>
      </c>
      <c r="BM343" s="37">
        <v>2</v>
      </c>
      <c r="BN343" s="39">
        <v>7</v>
      </c>
    </row>
    <row r="344" spans="1:66" s="3" customFormat="1" ht="18" customHeight="1" x14ac:dyDescent="0.2">
      <c r="A344" s="35">
        <v>6</v>
      </c>
      <c r="B344" s="36">
        <v>6</v>
      </c>
      <c r="C344" s="36">
        <v>1</v>
      </c>
      <c r="D344" s="37">
        <v>4</v>
      </c>
      <c r="R344" s="35">
        <v>21</v>
      </c>
      <c r="S344" s="36">
        <v>10</v>
      </c>
      <c r="T344" s="36">
        <v>3</v>
      </c>
      <c r="U344" s="37">
        <v>2</v>
      </c>
      <c r="BJ344" s="35">
        <v>22</v>
      </c>
      <c r="BK344" s="36">
        <v>1</v>
      </c>
      <c r="BL344" s="36">
        <v>3</v>
      </c>
      <c r="BM344" s="37">
        <v>3</v>
      </c>
      <c r="BN344" s="39">
        <v>7</v>
      </c>
    </row>
    <row r="345" spans="1:66" s="3" customFormat="1" ht="18" customHeight="1" x14ac:dyDescent="0.2">
      <c r="A345" s="35">
        <v>6</v>
      </c>
      <c r="B345" s="36">
        <v>6</v>
      </c>
      <c r="C345" s="36">
        <v>2</v>
      </c>
      <c r="D345" s="37">
        <v>2</v>
      </c>
      <c r="R345" s="35">
        <v>21</v>
      </c>
      <c r="S345" s="36">
        <v>10</v>
      </c>
      <c r="T345" s="36">
        <v>4</v>
      </c>
      <c r="U345" s="37">
        <v>2</v>
      </c>
      <c r="BJ345" s="35">
        <v>22</v>
      </c>
      <c r="BK345" s="36">
        <v>1</v>
      </c>
      <c r="BL345" s="36">
        <v>4</v>
      </c>
      <c r="BM345" s="37">
        <v>3</v>
      </c>
      <c r="BN345" s="39">
        <v>7</v>
      </c>
    </row>
    <row r="346" spans="1:66" s="3" customFormat="1" ht="18" customHeight="1" x14ac:dyDescent="0.2">
      <c r="A346" s="35">
        <v>6</v>
      </c>
      <c r="B346" s="36">
        <v>6</v>
      </c>
      <c r="C346" s="36">
        <v>2</v>
      </c>
      <c r="D346" s="37">
        <v>3</v>
      </c>
      <c r="R346" s="35">
        <v>22</v>
      </c>
      <c r="S346" s="36">
        <v>1</v>
      </c>
      <c r="T346" s="36">
        <v>3</v>
      </c>
      <c r="U346" s="37">
        <v>2</v>
      </c>
      <c r="BJ346" s="35">
        <v>22</v>
      </c>
      <c r="BK346" s="36">
        <v>2</v>
      </c>
      <c r="BL346" s="36">
        <v>3</v>
      </c>
      <c r="BM346" s="37">
        <v>3</v>
      </c>
      <c r="BN346" s="39">
        <v>7</v>
      </c>
    </row>
    <row r="347" spans="1:66" s="3" customFormat="1" ht="18" customHeight="1" x14ac:dyDescent="0.2">
      <c r="A347" s="35">
        <v>6</v>
      </c>
      <c r="B347" s="36">
        <v>6</v>
      </c>
      <c r="C347" s="36">
        <v>2</v>
      </c>
      <c r="D347" s="37">
        <v>4</v>
      </c>
      <c r="R347" s="35">
        <v>22</v>
      </c>
      <c r="S347" s="36">
        <v>1</v>
      </c>
      <c r="T347" s="36">
        <v>4</v>
      </c>
      <c r="U347" s="37">
        <v>2</v>
      </c>
      <c r="BJ347" s="35">
        <v>22</v>
      </c>
      <c r="BK347" s="36">
        <v>2</v>
      </c>
      <c r="BL347" s="36">
        <v>4</v>
      </c>
      <c r="BM347" s="37">
        <v>3</v>
      </c>
      <c r="BN347" s="39">
        <v>7</v>
      </c>
    </row>
    <row r="348" spans="1:66" s="3" customFormat="1" ht="18" customHeight="1" x14ac:dyDescent="0.2">
      <c r="A348" s="35">
        <v>6</v>
      </c>
      <c r="B348" s="36">
        <v>6</v>
      </c>
      <c r="C348" s="36">
        <v>3</v>
      </c>
      <c r="D348" s="37">
        <v>2</v>
      </c>
      <c r="R348" s="35">
        <v>22</v>
      </c>
      <c r="S348" s="36">
        <v>2</v>
      </c>
      <c r="T348" s="36">
        <v>3</v>
      </c>
      <c r="U348" s="37">
        <v>2</v>
      </c>
      <c r="BJ348" s="35">
        <v>22</v>
      </c>
      <c r="BK348" s="36">
        <v>3</v>
      </c>
      <c r="BL348" s="36">
        <v>3</v>
      </c>
      <c r="BM348" s="37">
        <v>3</v>
      </c>
      <c r="BN348" s="39">
        <v>7</v>
      </c>
    </row>
    <row r="349" spans="1:66" s="3" customFormat="1" ht="18" customHeight="1" x14ac:dyDescent="0.2">
      <c r="A349" s="35">
        <v>6</v>
      </c>
      <c r="B349" s="36">
        <v>6</v>
      </c>
      <c r="C349" s="36">
        <v>3</v>
      </c>
      <c r="D349" s="37">
        <v>3</v>
      </c>
      <c r="R349" s="35">
        <v>22</v>
      </c>
      <c r="S349" s="36">
        <v>2</v>
      </c>
      <c r="T349" s="36">
        <v>4</v>
      </c>
      <c r="U349" s="37">
        <v>2</v>
      </c>
      <c r="BJ349" s="35">
        <v>22</v>
      </c>
      <c r="BK349" s="36">
        <v>3</v>
      </c>
      <c r="BL349" s="36">
        <v>4</v>
      </c>
      <c r="BM349" s="37">
        <v>3</v>
      </c>
      <c r="BN349" s="39">
        <v>7</v>
      </c>
    </row>
    <row r="350" spans="1:66" s="3" customFormat="1" ht="18" customHeight="1" x14ac:dyDescent="0.2">
      <c r="A350" s="35">
        <v>6</v>
      </c>
      <c r="B350" s="36">
        <v>6</v>
      </c>
      <c r="C350" s="36">
        <v>3</v>
      </c>
      <c r="D350" s="37">
        <v>4</v>
      </c>
      <c r="R350" s="35">
        <v>22</v>
      </c>
      <c r="S350" s="36">
        <v>3</v>
      </c>
      <c r="T350" s="36">
        <v>3</v>
      </c>
      <c r="U350" s="37">
        <v>2</v>
      </c>
      <c r="BJ350" s="35">
        <v>22</v>
      </c>
      <c r="BK350" s="36">
        <v>4</v>
      </c>
      <c r="BL350" s="36">
        <v>3</v>
      </c>
      <c r="BM350" s="37">
        <v>3</v>
      </c>
      <c r="BN350" s="39">
        <v>7</v>
      </c>
    </row>
    <row r="351" spans="1:66" s="3" customFormat="1" ht="18" customHeight="1" x14ac:dyDescent="0.2">
      <c r="A351" s="35">
        <v>6</v>
      </c>
      <c r="B351" s="36">
        <v>7</v>
      </c>
      <c r="C351" s="36">
        <v>1</v>
      </c>
      <c r="D351" s="37">
        <v>2</v>
      </c>
      <c r="R351" s="35">
        <v>22</v>
      </c>
      <c r="S351" s="36">
        <v>3</v>
      </c>
      <c r="T351" s="36">
        <v>4</v>
      </c>
      <c r="U351" s="37">
        <v>2</v>
      </c>
      <c r="BJ351" s="35">
        <v>22</v>
      </c>
      <c r="BK351" s="36">
        <v>4</v>
      </c>
      <c r="BL351" s="36">
        <v>4</v>
      </c>
      <c r="BM351" s="37">
        <v>3</v>
      </c>
      <c r="BN351" s="39">
        <v>7</v>
      </c>
    </row>
    <row r="352" spans="1:66" s="3" customFormat="1" ht="18" customHeight="1" x14ac:dyDescent="0.2">
      <c r="A352" s="35">
        <v>6</v>
      </c>
      <c r="B352" s="36">
        <v>7</v>
      </c>
      <c r="C352" s="36">
        <v>1</v>
      </c>
      <c r="D352" s="37">
        <v>3</v>
      </c>
      <c r="R352" s="35">
        <v>22</v>
      </c>
      <c r="S352" s="36">
        <v>4</v>
      </c>
      <c r="T352" s="36">
        <v>3</v>
      </c>
      <c r="U352" s="37">
        <v>2</v>
      </c>
      <c r="BJ352" s="35">
        <v>22</v>
      </c>
      <c r="BK352" s="36">
        <v>5</v>
      </c>
      <c r="BL352" s="36">
        <v>3</v>
      </c>
      <c r="BM352" s="37">
        <v>3</v>
      </c>
      <c r="BN352" s="39">
        <v>7</v>
      </c>
    </row>
    <row r="353" spans="1:66" s="3" customFormat="1" ht="18" customHeight="1" x14ac:dyDescent="0.2">
      <c r="A353" s="35">
        <v>6</v>
      </c>
      <c r="B353" s="36">
        <v>7</v>
      </c>
      <c r="C353" s="36">
        <v>1</v>
      </c>
      <c r="D353" s="37">
        <v>4</v>
      </c>
      <c r="R353" s="35">
        <v>22</v>
      </c>
      <c r="S353" s="36">
        <v>4</v>
      </c>
      <c r="T353" s="36">
        <v>4</v>
      </c>
      <c r="U353" s="37">
        <v>2</v>
      </c>
      <c r="BJ353" s="35">
        <v>22</v>
      </c>
      <c r="BK353" s="36">
        <v>5</v>
      </c>
      <c r="BL353" s="36">
        <v>4</v>
      </c>
      <c r="BM353" s="37">
        <v>3</v>
      </c>
      <c r="BN353" s="39">
        <v>7</v>
      </c>
    </row>
    <row r="354" spans="1:66" s="3" customFormat="1" ht="18" customHeight="1" x14ac:dyDescent="0.2">
      <c r="A354" s="35">
        <v>6</v>
      </c>
      <c r="B354" s="36">
        <v>7</v>
      </c>
      <c r="C354" s="36">
        <v>2</v>
      </c>
      <c r="D354" s="37">
        <v>2</v>
      </c>
      <c r="R354" s="35">
        <v>22</v>
      </c>
      <c r="S354" s="36">
        <v>5</v>
      </c>
      <c r="T354" s="36">
        <v>3</v>
      </c>
      <c r="U354" s="37">
        <v>2</v>
      </c>
      <c r="BJ354" s="35">
        <v>22</v>
      </c>
      <c r="BK354" s="36">
        <v>6</v>
      </c>
      <c r="BL354" s="36">
        <v>3</v>
      </c>
      <c r="BM354" s="37">
        <v>2</v>
      </c>
      <c r="BN354" s="39">
        <v>7</v>
      </c>
    </row>
    <row r="355" spans="1:66" s="3" customFormat="1" ht="18" customHeight="1" x14ac:dyDescent="0.2">
      <c r="A355" s="35">
        <v>6</v>
      </c>
      <c r="B355" s="36">
        <v>7</v>
      </c>
      <c r="C355" s="36">
        <v>2</v>
      </c>
      <c r="D355" s="37">
        <v>3</v>
      </c>
      <c r="R355" s="35">
        <v>22</v>
      </c>
      <c r="S355" s="36">
        <v>5</v>
      </c>
      <c r="T355" s="36">
        <v>4</v>
      </c>
      <c r="U355" s="37">
        <v>2</v>
      </c>
      <c r="BJ355" s="35">
        <v>22</v>
      </c>
      <c r="BK355" s="36">
        <v>6</v>
      </c>
      <c r="BL355" s="36">
        <v>4</v>
      </c>
      <c r="BM355" s="37">
        <v>2</v>
      </c>
      <c r="BN355" s="39">
        <v>7</v>
      </c>
    </row>
    <row r="356" spans="1:66" s="3" customFormat="1" ht="18" customHeight="1" x14ac:dyDescent="0.2">
      <c r="A356" s="35">
        <v>6</v>
      </c>
      <c r="B356" s="36">
        <v>7</v>
      </c>
      <c r="C356" s="36">
        <v>2</v>
      </c>
      <c r="D356" s="37">
        <v>4</v>
      </c>
      <c r="R356" s="35">
        <v>22</v>
      </c>
      <c r="S356" s="36">
        <v>6</v>
      </c>
      <c r="T356" s="36">
        <v>3</v>
      </c>
      <c r="U356" s="37">
        <v>2</v>
      </c>
      <c r="BJ356" s="35">
        <v>22</v>
      </c>
      <c r="BK356" s="36">
        <v>7</v>
      </c>
      <c r="BL356" s="36">
        <v>3</v>
      </c>
      <c r="BM356" s="37">
        <v>2</v>
      </c>
      <c r="BN356" s="39">
        <v>7</v>
      </c>
    </row>
    <row r="357" spans="1:66" s="3" customFormat="1" ht="18" customHeight="1" x14ac:dyDescent="0.2">
      <c r="A357" s="35">
        <v>6</v>
      </c>
      <c r="B357" s="36">
        <v>7</v>
      </c>
      <c r="C357" s="36">
        <v>3</v>
      </c>
      <c r="D357" s="37">
        <v>2</v>
      </c>
      <c r="R357" s="35">
        <v>22</v>
      </c>
      <c r="S357" s="36">
        <v>6</v>
      </c>
      <c r="T357" s="36">
        <v>4</v>
      </c>
      <c r="U357" s="37">
        <v>2</v>
      </c>
      <c r="BJ357" s="35">
        <v>22</v>
      </c>
      <c r="BK357" s="36">
        <v>7</v>
      </c>
      <c r="BL357" s="36">
        <v>4</v>
      </c>
      <c r="BM357" s="37">
        <v>2</v>
      </c>
      <c r="BN357" s="39">
        <v>7</v>
      </c>
    </row>
    <row r="358" spans="1:66" s="3" customFormat="1" ht="18" customHeight="1" x14ac:dyDescent="0.2">
      <c r="A358" s="35">
        <v>6</v>
      </c>
      <c r="B358" s="36">
        <v>7</v>
      </c>
      <c r="C358" s="36">
        <v>3</v>
      </c>
      <c r="D358" s="37">
        <v>3</v>
      </c>
      <c r="R358" s="35">
        <v>22</v>
      </c>
      <c r="S358" s="36">
        <v>7</v>
      </c>
      <c r="T358" s="36">
        <v>3</v>
      </c>
      <c r="U358" s="37">
        <v>2</v>
      </c>
      <c r="BJ358" s="35">
        <v>22</v>
      </c>
      <c r="BK358" s="36">
        <v>8</v>
      </c>
      <c r="BL358" s="36">
        <v>3</v>
      </c>
      <c r="BM358" s="37">
        <v>2</v>
      </c>
      <c r="BN358" s="39">
        <v>7</v>
      </c>
    </row>
    <row r="359" spans="1:66" s="3" customFormat="1" ht="18" customHeight="1" x14ac:dyDescent="0.2">
      <c r="A359" s="35">
        <v>6</v>
      </c>
      <c r="B359" s="36">
        <v>7</v>
      </c>
      <c r="C359" s="36">
        <v>3</v>
      </c>
      <c r="D359" s="37">
        <v>4</v>
      </c>
      <c r="R359" s="35">
        <v>22</v>
      </c>
      <c r="S359" s="36">
        <v>7</v>
      </c>
      <c r="T359" s="36">
        <v>4</v>
      </c>
      <c r="U359" s="37">
        <v>2</v>
      </c>
      <c r="BJ359" s="35">
        <v>22</v>
      </c>
      <c r="BK359" s="36">
        <v>8</v>
      </c>
      <c r="BL359" s="36">
        <v>4</v>
      </c>
      <c r="BM359" s="37">
        <v>2</v>
      </c>
      <c r="BN359" s="39">
        <v>7</v>
      </c>
    </row>
    <row r="360" spans="1:66" s="3" customFormat="1" ht="18" customHeight="1" x14ac:dyDescent="0.2">
      <c r="A360" s="35">
        <v>6</v>
      </c>
      <c r="B360" s="36">
        <v>9</v>
      </c>
      <c r="C360" s="36">
        <v>1</v>
      </c>
      <c r="D360" s="37">
        <v>2</v>
      </c>
      <c r="R360" s="35">
        <v>22</v>
      </c>
      <c r="S360" s="36">
        <v>8</v>
      </c>
      <c r="T360" s="36">
        <v>3</v>
      </c>
      <c r="U360" s="37">
        <v>2</v>
      </c>
      <c r="BJ360" s="35">
        <v>22</v>
      </c>
      <c r="BK360" s="36">
        <v>9</v>
      </c>
      <c r="BL360" s="36">
        <v>3</v>
      </c>
      <c r="BM360" s="37">
        <v>2</v>
      </c>
      <c r="BN360" s="39">
        <v>7</v>
      </c>
    </row>
    <row r="361" spans="1:66" s="3" customFormat="1" ht="18" customHeight="1" x14ac:dyDescent="0.2">
      <c r="A361" s="35">
        <v>6</v>
      </c>
      <c r="B361" s="36">
        <v>9</v>
      </c>
      <c r="C361" s="36">
        <v>1</v>
      </c>
      <c r="D361" s="37">
        <v>3</v>
      </c>
      <c r="R361" s="35">
        <v>22</v>
      </c>
      <c r="S361" s="36">
        <v>8</v>
      </c>
      <c r="T361" s="36">
        <v>4</v>
      </c>
      <c r="U361" s="37">
        <v>2</v>
      </c>
      <c r="BJ361" s="35">
        <v>22</v>
      </c>
      <c r="BK361" s="36">
        <v>9</v>
      </c>
      <c r="BL361" s="36">
        <v>4</v>
      </c>
      <c r="BM361" s="37">
        <v>2</v>
      </c>
      <c r="BN361" s="39">
        <v>7</v>
      </c>
    </row>
    <row r="362" spans="1:66" s="3" customFormat="1" ht="18" customHeight="1" x14ac:dyDescent="0.2">
      <c r="A362" s="35">
        <v>6</v>
      </c>
      <c r="B362" s="36">
        <v>9</v>
      </c>
      <c r="C362" s="36">
        <v>1</v>
      </c>
      <c r="D362" s="37">
        <v>4</v>
      </c>
      <c r="R362" s="35">
        <v>22</v>
      </c>
      <c r="S362" s="36">
        <v>9</v>
      </c>
      <c r="T362" s="36">
        <v>3</v>
      </c>
      <c r="U362" s="37">
        <v>2</v>
      </c>
      <c r="BJ362" s="35">
        <v>22</v>
      </c>
      <c r="BK362" s="36">
        <v>10</v>
      </c>
      <c r="BL362" s="36">
        <v>3</v>
      </c>
      <c r="BM362" s="37">
        <v>2</v>
      </c>
      <c r="BN362" s="39">
        <v>7</v>
      </c>
    </row>
    <row r="363" spans="1:66" s="3" customFormat="1" ht="18" customHeight="1" x14ac:dyDescent="0.2">
      <c r="A363" s="35">
        <v>6</v>
      </c>
      <c r="B363" s="36">
        <v>9</v>
      </c>
      <c r="C363" s="36">
        <v>2</v>
      </c>
      <c r="D363" s="37">
        <v>2</v>
      </c>
      <c r="R363" s="35">
        <v>22</v>
      </c>
      <c r="S363" s="36">
        <v>9</v>
      </c>
      <c r="T363" s="36">
        <v>4</v>
      </c>
      <c r="U363" s="37">
        <v>2</v>
      </c>
      <c r="BJ363" s="35">
        <v>22</v>
      </c>
      <c r="BK363" s="36">
        <v>10</v>
      </c>
      <c r="BL363" s="36">
        <v>4</v>
      </c>
      <c r="BM363" s="37">
        <v>2</v>
      </c>
      <c r="BN363" s="39">
        <v>7</v>
      </c>
    </row>
    <row r="364" spans="1:66" s="3" customFormat="1" ht="18" customHeight="1" x14ac:dyDescent="0.2">
      <c r="A364" s="35">
        <v>6</v>
      </c>
      <c r="B364" s="36">
        <v>9</v>
      </c>
      <c r="C364" s="36">
        <v>2</v>
      </c>
      <c r="D364" s="37">
        <v>3</v>
      </c>
      <c r="R364" s="35">
        <v>22</v>
      </c>
      <c r="S364" s="36">
        <v>10</v>
      </c>
      <c r="T364" s="36">
        <v>3</v>
      </c>
      <c r="U364" s="37">
        <v>2</v>
      </c>
      <c r="BJ364" s="35">
        <v>23</v>
      </c>
      <c r="BK364" s="36">
        <v>1</v>
      </c>
      <c r="BL364" s="36">
        <v>3</v>
      </c>
      <c r="BM364" s="37">
        <v>3</v>
      </c>
      <c r="BN364" s="39">
        <v>1</v>
      </c>
    </row>
    <row r="365" spans="1:66" s="3" customFormat="1" ht="18" customHeight="1" x14ac:dyDescent="0.2">
      <c r="A365" s="35">
        <v>6</v>
      </c>
      <c r="B365" s="36">
        <v>9</v>
      </c>
      <c r="C365" s="36">
        <v>2</v>
      </c>
      <c r="D365" s="37">
        <v>4</v>
      </c>
      <c r="R365" s="35">
        <v>22</v>
      </c>
      <c r="S365" s="36">
        <v>10</v>
      </c>
      <c r="T365" s="36">
        <v>4</v>
      </c>
      <c r="U365" s="37">
        <v>2</v>
      </c>
      <c r="BJ365" s="35">
        <v>23</v>
      </c>
      <c r="BK365" s="36">
        <v>1</v>
      </c>
      <c r="BL365" s="36">
        <v>4</v>
      </c>
      <c r="BM365" s="37">
        <v>3</v>
      </c>
      <c r="BN365" s="39">
        <v>1</v>
      </c>
    </row>
    <row r="366" spans="1:66" s="3" customFormat="1" ht="18" customHeight="1" x14ac:dyDescent="0.2">
      <c r="A366" s="35">
        <v>6</v>
      </c>
      <c r="B366" s="36">
        <v>9</v>
      </c>
      <c r="C366" s="36">
        <v>3</v>
      </c>
      <c r="D366" s="37">
        <v>2</v>
      </c>
      <c r="R366" s="35">
        <v>23</v>
      </c>
      <c r="S366" s="36">
        <v>1</v>
      </c>
      <c r="T366" s="36">
        <v>3</v>
      </c>
      <c r="U366" s="37">
        <v>2</v>
      </c>
      <c r="BJ366" s="35">
        <v>23</v>
      </c>
      <c r="BK366" s="36">
        <v>2</v>
      </c>
      <c r="BL366" s="36">
        <v>3</v>
      </c>
      <c r="BM366" s="37">
        <v>3</v>
      </c>
      <c r="BN366" s="39">
        <v>1</v>
      </c>
    </row>
    <row r="367" spans="1:66" s="3" customFormat="1" ht="18" customHeight="1" x14ac:dyDescent="0.2">
      <c r="A367" s="35">
        <v>6</v>
      </c>
      <c r="B367" s="36">
        <v>9</v>
      </c>
      <c r="C367" s="36">
        <v>3</v>
      </c>
      <c r="D367" s="37">
        <v>3</v>
      </c>
      <c r="R367" s="35">
        <v>23</v>
      </c>
      <c r="S367" s="36">
        <v>1</v>
      </c>
      <c r="T367" s="36">
        <v>4</v>
      </c>
      <c r="U367" s="37">
        <v>2</v>
      </c>
      <c r="BJ367" s="35">
        <v>23</v>
      </c>
      <c r="BK367" s="36">
        <v>2</v>
      </c>
      <c r="BL367" s="36">
        <v>4</v>
      </c>
      <c r="BM367" s="37">
        <v>3</v>
      </c>
      <c r="BN367" s="39">
        <v>1</v>
      </c>
    </row>
    <row r="368" spans="1:66" s="3" customFormat="1" ht="18" customHeight="1" x14ac:dyDescent="0.2">
      <c r="A368" s="35">
        <v>6</v>
      </c>
      <c r="B368" s="36">
        <v>9</v>
      </c>
      <c r="C368" s="36">
        <v>3</v>
      </c>
      <c r="D368" s="37">
        <v>4</v>
      </c>
      <c r="R368" s="35">
        <v>23</v>
      </c>
      <c r="S368" s="36">
        <v>2</v>
      </c>
      <c r="T368" s="36">
        <v>3</v>
      </c>
      <c r="U368" s="37">
        <v>2</v>
      </c>
      <c r="BJ368" s="35">
        <v>23</v>
      </c>
      <c r="BK368" s="36">
        <v>4</v>
      </c>
      <c r="BL368" s="36">
        <v>3</v>
      </c>
      <c r="BM368" s="37">
        <v>3</v>
      </c>
      <c r="BN368" s="39">
        <v>1</v>
      </c>
    </row>
    <row r="369" spans="1:66" s="3" customFormat="1" ht="18" customHeight="1" x14ac:dyDescent="0.2">
      <c r="A369" s="35">
        <v>7</v>
      </c>
      <c r="B369" s="36">
        <v>1</v>
      </c>
      <c r="C369" s="36">
        <v>1</v>
      </c>
      <c r="D369" s="37">
        <v>2</v>
      </c>
      <c r="R369" s="35">
        <v>23</v>
      </c>
      <c r="S369" s="36">
        <v>2</v>
      </c>
      <c r="T369" s="36">
        <v>4</v>
      </c>
      <c r="U369" s="37">
        <v>2</v>
      </c>
      <c r="BJ369" s="35">
        <v>23</v>
      </c>
      <c r="BK369" s="36">
        <v>4</v>
      </c>
      <c r="BL369" s="36">
        <v>4</v>
      </c>
      <c r="BM369" s="37">
        <v>3</v>
      </c>
      <c r="BN369" s="39">
        <v>1</v>
      </c>
    </row>
    <row r="370" spans="1:66" s="3" customFormat="1" ht="18" customHeight="1" x14ac:dyDescent="0.2">
      <c r="A370" s="35">
        <v>7</v>
      </c>
      <c r="B370" s="36">
        <v>1</v>
      </c>
      <c r="C370" s="36">
        <v>1</v>
      </c>
      <c r="D370" s="37">
        <v>3</v>
      </c>
      <c r="R370" s="35">
        <v>23</v>
      </c>
      <c r="S370" s="36">
        <v>4</v>
      </c>
      <c r="T370" s="36">
        <v>3</v>
      </c>
      <c r="U370" s="37">
        <v>2</v>
      </c>
      <c r="BJ370" s="35">
        <v>23</v>
      </c>
      <c r="BK370" s="36">
        <v>6</v>
      </c>
      <c r="BL370" s="36">
        <v>3</v>
      </c>
      <c r="BM370" s="37">
        <v>2</v>
      </c>
      <c r="BN370" s="39">
        <v>1</v>
      </c>
    </row>
    <row r="371" spans="1:66" s="3" customFormat="1" ht="18" customHeight="1" x14ac:dyDescent="0.2">
      <c r="A371" s="35">
        <v>7</v>
      </c>
      <c r="B371" s="36">
        <v>1</v>
      </c>
      <c r="C371" s="36">
        <v>1</v>
      </c>
      <c r="D371" s="37">
        <v>4</v>
      </c>
      <c r="R371" s="35">
        <v>23</v>
      </c>
      <c r="S371" s="36">
        <v>4</v>
      </c>
      <c r="T371" s="36">
        <v>4</v>
      </c>
      <c r="U371" s="37">
        <v>2</v>
      </c>
      <c r="BJ371" s="35">
        <v>23</v>
      </c>
      <c r="BK371" s="36">
        <v>6</v>
      </c>
      <c r="BL371" s="36">
        <v>4</v>
      </c>
      <c r="BM371" s="37">
        <v>2</v>
      </c>
      <c r="BN371" s="39">
        <v>1</v>
      </c>
    </row>
    <row r="372" spans="1:66" s="3" customFormat="1" ht="18" customHeight="1" x14ac:dyDescent="0.2">
      <c r="A372" s="35">
        <v>7</v>
      </c>
      <c r="B372" s="36">
        <v>1</v>
      </c>
      <c r="C372" s="36">
        <v>2</v>
      </c>
      <c r="D372" s="37">
        <v>2</v>
      </c>
      <c r="R372" s="35">
        <v>23</v>
      </c>
      <c r="S372" s="36">
        <v>6</v>
      </c>
      <c r="T372" s="36">
        <v>3</v>
      </c>
      <c r="U372" s="37">
        <v>2</v>
      </c>
      <c r="BJ372" s="35">
        <v>23</v>
      </c>
      <c r="BK372" s="36">
        <v>7</v>
      </c>
      <c r="BL372" s="36">
        <v>3</v>
      </c>
      <c r="BM372" s="37">
        <v>2</v>
      </c>
      <c r="BN372" s="39">
        <v>1</v>
      </c>
    </row>
    <row r="373" spans="1:66" s="3" customFormat="1" ht="18" customHeight="1" x14ac:dyDescent="0.2">
      <c r="A373" s="35">
        <v>7</v>
      </c>
      <c r="B373" s="36">
        <v>1</v>
      </c>
      <c r="C373" s="36">
        <v>2</v>
      </c>
      <c r="D373" s="37">
        <v>3</v>
      </c>
      <c r="R373" s="35">
        <v>23</v>
      </c>
      <c r="S373" s="36">
        <v>6</v>
      </c>
      <c r="T373" s="36">
        <v>4</v>
      </c>
      <c r="U373" s="37">
        <v>2</v>
      </c>
      <c r="BJ373" s="35">
        <v>23</v>
      </c>
      <c r="BK373" s="36">
        <v>7</v>
      </c>
      <c r="BL373" s="36">
        <v>4</v>
      </c>
      <c r="BM373" s="37">
        <v>2</v>
      </c>
      <c r="BN373" s="39">
        <v>1</v>
      </c>
    </row>
    <row r="374" spans="1:66" s="3" customFormat="1" ht="18" customHeight="1" x14ac:dyDescent="0.2">
      <c r="A374" s="35">
        <v>7</v>
      </c>
      <c r="B374" s="36">
        <v>1</v>
      </c>
      <c r="C374" s="36">
        <v>2</v>
      </c>
      <c r="D374" s="37">
        <v>4</v>
      </c>
      <c r="R374" s="35">
        <v>23</v>
      </c>
      <c r="S374" s="36">
        <v>7</v>
      </c>
      <c r="T374" s="36">
        <v>3</v>
      </c>
      <c r="U374" s="37">
        <v>2</v>
      </c>
      <c r="BJ374" s="35">
        <v>23</v>
      </c>
      <c r="BK374" s="36">
        <v>9</v>
      </c>
      <c r="BL374" s="36">
        <v>3</v>
      </c>
      <c r="BM374" s="37">
        <v>2</v>
      </c>
      <c r="BN374" s="39">
        <v>1</v>
      </c>
    </row>
    <row r="375" spans="1:66" s="3" customFormat="1" ht="18" customHeight="1" x14ac:dyDescent="0.2">
      <c r="A375" s="35">
        <v>7</v>
      </c>
      <c r="B375" s="36">
        <v>1</v>
      </c>
      <c r="C375" s="36">
        <v>3</v>
      </c>
      <c r="D375" s="37">
        <v>2</v>
      </c>
      <c r="R375" s="35">
        <v>23</v>
      </c>
      <c r="S375" s="36">
        <v>7</v>
      </c>
      <c r="T375" s="36">
        <v>4</v>
      </c>
      <c r="U375" s="37">
        <v>2</v>
      </c>
      <c r="BJ375" s="35">
        <v>23</v>
      </c>
      <c r="BK375" s="36">
        <v>9</v>
      </c>
      <c r="BL375" s="36">
        <v>4</v>
      </c>
      <c r="BM375" s="37">
        <v>2</v>
      </c>
      <c r="BN375" s="39">
        <v>1</v>
      </c>
    </row>
    <row r="376" spans="1:66" s="3" customFormat="1" ht="18" customHeight="1" x14ac:dyDescent="0.2">
      <c r="A376" s="35">
        <v>7</v>
      </c>
      <c r="B376" s="36">
        <v>1</v>
      </c>
      <c r="C376" s="36">
        <v>3</v>
      </c>
      <c r="D376" s="37">
        <v>3</v>
      </c>
      <c r="R376" s="35">
        <v>23</v>
      </c>
      <c r="S376" s="36">
        <v>9</v>
      </c>
      <c r="T376" s="36">
        <v>3</v>
      </c>
      <c r="U376" s="37">
        <v>2</v>
      </c>
      <c r="BJ376" s="35">
        <v>24</v>
      </c>
      <c r="BK376" s="36">
        <v>1</v>
      </c>
      <c r="BL376" s="36">
        <v>3</v>
      </c>
      <c r="BM376" s="37">
        <v>3</v>
      </c>
      <c r="BN376" s="39">
        <v>7</v>
      </c>
    </row>
    <row r="377" spans="1:66" s="3" customFormat="1" ht="18" customHeight="1" x14ac:dyDescent="0.2">
      <c r="A377" s="35">
        <v>7</v>
      </c>
      <c r="B377" s="36">
        <v>1</v>
      </c>
      <c r="C377" s="36">
        <v>3</v>
      </c>
      <c r="D377" s="37">
        <v>4</v>
      </c>
      <c r="R377" s="35">
        <v>23</v>
      </c>
      <c r="S377" s="36">
        <v>9</v>
      </c>
      <c r="T377" s="36">
        <v>4</v>
      </c>
      <c r="U377" s="37">
        <v>2</v>
      </c>
      <c r="BJ377" s="35">
        <v>24</v>
      </c>
      <c r="BK377" s="36">
        <v>1</v>
      </c>
      <c r="BL377" s="36">
        <v>4</v>
      </c>
      <c r="BM377" s="37">
        <v>3</v>
      </c>
      <c r="BN377" s="39">
        <v>7</v>
      </c>
    </row>
    <row r="378" spans="1:66" s="3" customFormat="1" ht="18" customHeight="1" x14ac:dyDescent="0.2">
      <c r="A378" s="35">
        <v>7</v>
      </c>
      <c r="B378" s="36">
        <v>2</v>
      </c>
      <c r="C378" s="36">
        <v>1</v>
      </c>
      <c r="D378" s="37">
        <v>2</v>
      </c>
      <c r="R378" s="35">
        <v>24</v>
      </c>
      <c r="S378" s="36">
        <v>1</v>
      </c>
      <c r="T378" s="36">
        <v>3</v>
      </c>
      <c r="U378" s="37">
        <v>2</v>
      </c>
      <c r="BJ378" s="35">
        <v>24</v>
      </c>
      <c r="BK378" s="36">
        <v>2</v>
      </c>
      <c r="BL378" s="36">
        <v>3</v>
      </c>
      <c r="BM378" s="37">
        <v>3</v>
      </c>
      <c r="BN378" s="39">
        <v>7</v>
      </c>
    </row>
    <row r="379" spans="1:66" s="3" customFormat="1" ht="18" customHeight="1" x14ac:dyDescent="0.2">
      <c r="A379" s="35">
        <v>7</v>
      </c>
      <c r="B379" s="36">
        <v>2</v>
      </c>
      <c r="C379" s="36">
        <v>1</v>
      </c>
      <c r="D379" s="37">
        <v>3</v>
      </c>
      <c r="R379" s="35">
        <v>24</v>
      </c>
      <c r="S379" s="36">
        <v>1</v>
      </c>
      <c r="T379" s="36">
        <v>4</v>
      </c>
      <c r="U379" s="37">
        <v>2</v>
      </c>
      <c r="BJ379" s="35">
        <v>24</v>
      </c>
      <c r="BK379" s="36">
        <v>2</v>
      </c>
      <c r="BL379" s="36">
        <v>4</v>
      </c>
      <c r="BM379" s="37">
        <v>3</v>
      </c>
      <c r="BN379" s="39">
        <v>7</v>
      </c>
    </row>
    <row r="380" spans="1:66" s="3" customFormat="1" ht="18" customHeight="1" x14ac:dyDescent="0.2">
      <c r="A380" s="35">
        <v>7</v>
      </c>
      <c r="B380" s="36">
        <v>2</v>
      </c>
      <c r="C380" s="36">
        <v>1</v>
      </c>
      <c r="D380" s="37">
        <v>4</v>
      </c>
      <c r="R380" s="35">
        <v>24</v>
      </c>
      <c r="S380" s="36">
        <v>2</v>
      </c>
      <c r="T380" s="36">
        <v>3</v>
      </c>
      <c r="U380" s="37">
        <v>2</v>
      </c>
      <c r="BJ380" s="35">
        <v>24</v>
      </c>
      <c r="BK380" s="36">
        <v>3</v>
      </c>
      <c r="BL380" s="36">
        <v>3</v>
      </c>
      <c r="BM380" s="37">
        <v>3</v>
      </c>
      <c r="BN380" s="39">
        <v>7</v>
      </c>
    </row>
    <row r="381" spans="1:66" s="3" customFormat="1" ht="18" customHeight="1" x14ac:dyDescent="0.2">
      <c r="A381" s="35">
        <v>7</v>
      </c>
      <c r="B381" s="36">
        <v>2</v>
      </c>
      <c r="C381" s="36">
        <v>2</v>
      </c>
      <c r="D381" s="37">
        <v>2</v>
      </c>
      <c r="R381" s="35">
        <v>24</v>
      </c>
      <c r="S381" s="36">
        <v>2</v>
      </c>
      <c r="T381" s="36">
        <v>4</v>
      </c>
      <c r="U381" s="37">
        <v>2</v>
      </c>
      <c r="BJ381" s="35">
        <v>24</v>
      </c>
      <c r="BK381" s="36">
        <v>3</v>
      </c>
      <c r="BL381" s="36">
        <v>4</v>
      </c>
      <c r="BM381" s="37">
        <v>3</v>
      </c>
      <c r="BN381" s="39">
        <v>7</v>
      </c>
    </row>
    <row r="382" spans="1:66" s="3" customFormat="1" ht="18" customHeight="1" x14ac:dyDescent="0.2">
      <c r="A382" s="35">
        <v>7</v>
      </c>
      <c r="B382" s="36">
        <v>2</v>
      </c>
      <c r="C382" s="36">
        <v>2</v>
      </c>
      <c r="D382" s="37">
        <v>3</v>
      </c>
      <c r="R382" s="35">
        <v>24</v>
      </c>
      <c r="S382" s="36">
        <v>3</v>
      </c>
      <c r="T382" s="36">
        <v>3</v>
      </c>
      <c r="U382" s="37">
        <v>2</v>
      </c>
      <c r="BJ382" s="35">
        <v>24</v>
      </c>
      <c r="BK382" s="36">
        <v>4</v>
      </c>
      <c r="BL382" s="36">
        <v>3</v>
      </c>
      <c r="BM382" s="37">
        <v>3</v>
      </c>
      <c r="BN382" s="39">
        <v>7</v>
      </c>
    </row>
    <row r="383" spans="1:66" s="3" customFormat="1" ht="18" customHeight="1" x14ac:dyDescent="0.2">
      <c r="A383" s="35">
        <v>7</v>
      </c>
      <c r="B383" s="36">
        <v>2</v>
      </c>
      <c r="C383" s="36">
        <v>2</v>
      </c>
      <c r="D383" s="37">
        <v>4</v>
      </c>
      <c r="R383" s="35">
        <v>24</v>
      </c>
      <c r="S383" s="36">
        <v>3</v>
      </c>
      <c r="T383" s="36">
        <v>4</v>
      </c>
      <c r="U383" s="37">
        <v>2</v>
      </c>
      <c r="BJ383" s="35">
        <v>24</v>
      </c>
      <c r="BK383" s="36">
        <v>4</v>
      </c>
      <c r="BL383" s="36">
        <v>4</v>
      </c>
      <c r="BM383" s="37">
        <v>3</v>
      </c>
      <c r="BN383" s="39">
        <v>7</v>
      </c>
    </row>
    <row r="384" spans="1:66" s="3" customFormat="1" ht="18" customHeight="1" x14ac:dyDescent="0.2">
      <c r="A384" s="35">
        <v>7</v>
      </c>
      <c r="B384" s="36">
        <v>2</v>
      </c>
      <c r="C384" s="36">
        <v>3</v>
      </c>
      <c r="D384" s="37">
        <v>2</v>
      </c>
      <c r="R384" s="35">
        <v>24</v>
      </c>
      <c r="S384" s="36">
        <v>4</v>
      </c>
      <c r="T384" s="36">
        <v>3</v>
      </c>
      <c r="U384" s="37">
        <v>2</v>
      </c>
      <c r="BJ384" s="35">
        <v>24</v>
      </c>
      <c r="BK384" s="36">
        <v>5</v>
      </c>
      <c r="BL384" s="36">
        <v>3</v>
      </c>
      <c r="BM384" s="37">
        <v>3</v>
      </c>
      <c r="BN384" s="39">
        <v>7</v>
      </c>
    </row>
    <row r="385" spans="1:66" s="3" customFormat="1" ht="18" customHeight="1" x14ac:dyDescent="0.2">
      <c r="A385" s="35">
        <v>7</v>
      </c>
      <c r="B385" s="36">
        <v>2</v>
      </c>
      <c r="C385" s="36">
        <v>3</v>
      </c>
      <c r="D385" s="37">
        <v>3</v>
      </c>
      <c r="R385" s="35">
        <v>24</v>
      </c>
      <c r="S385" s="36">
        <v>4</v>
      </c>
      <c r="T385" s="36">
        <v>4</v>
      </c>
      <c r="U385" s="37">
        <v>2</v>
      </c>
      <c r="BJ385" s="35">
        <v>24</v>
      </c>
      <c r="BK385" s="36">
        <v>5</v>
      </c>
      <c r="BL385" s="36">
        <v>4</v>
      </c>
      <c r="BM385" s="37">
        <v>3</v>
      </c>
      <c r="BN385" s="39">
        <v>7</v>
      </c>
    </row>
    <row r="386" spans="1:66" s="3" customFormat="1" ht="18" customHeight="1" x14ac:dyDescent="0.2">
      <c r="A386" s="35">
        <v>7</v>
      </c>
      <c r="B386" s="36">
        <v>2</v>
      </c>
      <c r="C386" s="36">
        <v>3</v>
      </c>
      <c r="D386" s="37">
        <v>4</v>
      </c>
      <c r="R386" s="35">
        <v>24</v>
      </c>
      <c r="S386" s="36">
        <v>5</v>
      </c>
      <c r="T386" s="36">
        <v>3</v>
      </c>
      <c r="U386" s="37">
        <v>2</v>
      </c>
      <c r="BJ386" s="35">
        <v>24</v>
      </c>
      <c r="BK386" s="36">
        <v>6</v>
      </c>
      <c r="BL386" s="36">
        <v>3</v>
      </c>
      <c r="BM386" s="37">
        <v>2</v>
      </c>
      <c r="BN386" s="39">
        <v>7</v>
      </c>
    </row>
    <row r="387" spans="1:66" s="3" customFormat="1" ht="18" customHeight="1" x14ac:dyDescent="0.2">
      <c r="A387" s="35">
        <v>7</v>
      </c>
      <c r="B387" s="36">
        <v>4</v>
      </c>
      <c r="C387" s="36">
        <v>1</v>
      </c>
      <c r="D387" s="37">
        <v>2</v>
      </c>
      <c r="R387" s="35">
        <v>24</v>
      </c>
      <c r="S387" s="36">
        <v>5</v>
      </c>
      <c r="T387" s="36">
        <v>4</v>
      </c>
      <c r="U387" s="37">
        <v>2</v>
      </c>
      <c r="BJ387" s="35">
        <v>24</v>
      </c>
      <c r="BK387" s="36">
        <v>6</v>
      </c>
      <c r="BL387" s="36">
        <v>4</v>
      </c>
      <c r="BM387" s="37">
        <v>2</v>
      </c>
      <c r="BN387" s="39">
        <v>7</v>
      </c>
    </row>
    <row r="388" spans="1:66" s="3" customFormat="1" ht="18" customHeight="1" x14ac:dyDescent="0.2">
      <c r="A388" s="35">
        <v>7</v>
      </c>
      <c r="B388" s="36">
        <v>4</v>
      </c>
      <c r="C388" s="36">
        <v>1</v>
      </c>
      <c r="D388" s="37">
        <v>3</v>
      </c>
      <c r="R388" s="35">
        <v>24</v>
      </c>
      <c r="S388" s="36">
        <v>6</v>
      </c>
      <c r="T388" s="36">
        <v>3</v>
      </c>
      <c r="U388" s="37">
        <v>2</v>
      </c>
      <c r="BJ388" s="35">
        <v>24</v>
      </c>
      <c r="BK388" s="36">
        <v>7</v>
      </c>
      <c r="BL388" s="36">
        <v>3</v>
      </c>
      <c r="BM388" s="37">
        <v>2</v>
      </c>
      <c r="BN388" s="39">
        <v>7</v>
      </c>
    </row>
    <row r="389" spans="1:66" s="3" customFormat="1" ht="18" customHeight="1" x14ac:dyDescent="0.2">
      <c r="A389" s="35">
        <v>7</v>
      </c>
      <c r="B389" s="36">
        <v>4</v>
      </c>
      <c r="C389" s="36">
        <v>1</v>
      </c>
      <c r="D389" s="37">
        <v>4</v>
      </c>
      <c r="R389" s="35">
        <v>24</v>
      </c>
      <c r="S389" s="36">
        <v>6</v>
      </c>
      <c r="T389" s="36">
        <v>4</v>
      </c>
      <c r="U389" s="37">
        <v>2</v>
      </c>
      <c r="BJ389" s="35">
        <v>24</v>
      </c>
      <c r="BK389" s="36">
        <v>7</v>
      </c>
      <c r="BL389" s="36">
        <v>4</v>
      </c>
      <c r="BM389" s="37">
        <v>2</v>
      </c>
      <c r="BN389" s="39">
        <v>7</v>
      </c>
    </row>
    <row r="390" spans="1:66" s="3" customFormat="1" ht="18" customHeight="1" x14ac:dyDescent="0.2">
      <c r="A390" s="35">
        <v>7</v>
      </c>
      <c r="B390" s="36">
        <v>4</v>
      </c>
      <c r="C390" s="36">
        <v>2</v>
      </c>
      <c r="D390" s="37">
        <v>2</v>
      </c>
      <c r="R390" s="35">
        <v>24</v>
      </c>
      <c r="S390" s="36">
        <v>7</v>
      </c>
      <c r="T390" s="36">
        <v>3</v>
      </c>
      <c r="U390" s="37">
        <v>2</v>
      </c>
      <c r="BJ390" s="35">
        <v>24</v>
      </c>
      <c r="BK390" s="36">
        <v>8</v>
      </c>
      <c r="BL390" s="36">
        <v>3</v>
      </c>
      <c r="BM390" s="37">
        <v>2</v>
      </c>
      <c r="BN390" s="39">
        <v>7</v>
      </c>
    </row>
    <row r="391" spans="1:66" s="3" customFormat="1" ht="18" customHeight="1" x14ac:dyDescent="0.2">
      <c r="A391" s="35">
        <v>7</v>
      </c>
      <c r="B391" s="36">
        <v>4</v>
      </c>
      <c r="C391" s="36">
        <v>2</v>
      </c>
      <c r="D391" s="37">
        <v>3</v>
      </c>
      <c r="R391" s="35">
        <v>24</v>
      </c>
      <c r="S391" s="36">
        <v>7</v>
      </c>
      <c r="T391" s="36">
        <v>4</v>
      </c>
      <c r="U391" s="37">
        <v>2</v>
      </c>
      <c r="BJ391" s="35">
        <v>24</v>
      </c>
      <c r="BK391" s="36">
        <v>8</v>
      </c>
      <c r="BL391" s="36">
        <v>4</v>
      </c>
      <c r="BM391" s="37">
        <v>2</v>
      </c>
      <c r="BN391" s="39">
        <v>7</v>
      </c>
    </row>
    <row r="392" spans="1:66" s="3" customFormat="1" ht="18" customHeight="1" x14ac:dyDescent="0.2">
      <c r="A392" s="35">
        <v>7</v>
      </c>
      <c r="B392" s="36">
        <v>4</v>
      </c>
      <c r="C392" s="36">
        <v>2</v>
      </c>
      <c r="D392" s="37">
        <v>4</v>
      </c>
      <c r="R392" s="35">
        <v>24</v>
      </c>
      <c r="S392" s="36">
        <v>8</v>
      </c>
      <c r="T392" s="36">
        <v>3</v>
      </c>
      <c r="U392" s="37">
        <v>2</v>
      </c>
      <c r="BJ392" s="35">
        <v>24</v>
      </c>
      <c r="BK392" s="36">
        <v>9</v>
      </c>
      <c r="BL392" s="36">
        <v>3</v>
      </c>
      <c r="BM392" s="37">
        <v>2</v>
      </c>
      <c r="BN392" s="39">
        <v>7</v>
      </c>
    </row>
    <row r="393" spans="1:66" s="3" customFormat="1" ht="18" customHeight="1" x14ac:dyDescent="0.2">
      <c r="A393" s="35">
        <v>7</v>
      </c>
      <c r="B393" s="36">
        <v>4</v>
      </c>
      <c r="C393" s="36">
        <v>3</v>
      </c>
      <c r="D393" s="37">
        <v>2</v>
      </c>
      <c r="R393" s="35">
        <v>24</v>
      </c>
      <c r="S393" s="36">
        <v>8</v>
      </c>
      <c r="T393" s="36">
        <v>4</v>
      </c>
      <c r="U393" s="37">
        <v>2</v>
      </c>
      <c r="BJ393" s="35">
        <v>24</v>
      </c>
      <c r="BK393" s="36">
        <v>9</v>
      </c>
      <c r="BL393" s="36">
        <v>4</v>
      </c>
      <c r="BM393" s="37">
        <v>2</v>
      </c>
      <c r="BN393" s="39">
        <v>7</v>
      </c>
    </row>
    <row r="394" spans="1:66" s="3" customFormat="1" ht="18" customHeight="1" x14ac:dyDescent="0.2">
      <c r="A394" s="35">
        <v>7</v>
      </c>
      <c r="B394" s="36">
        <v>4</v>
      </c>
      <c r="C394" s="36">
        <v>3</v>
      </c>
      <c r="D394" s="37">
        <v>3</v>
      </c>
      <c r="R394" s="35">
        <v>24</v>
      </c>
      <c r="S394" s="36">
        <v>9</v>
      </c>
      <c r="T394" s="36">
        <v>3</v>
      </c>
      <c r="U394" s="37">
        <v>2</v>
      </c>
      <c r="BJ394" s="35">
        <v>24</v>
      </c>
      <c r="BK394" s="36">
        <v>10</v>
      </c>
      <c r="BL394" s="36">
        <v>3</v>
      </c>
      <c r="BM394" s="37">
        <v>2</v>
      </c>
      <c r="BN394" s="39">
        <v>7</v>
      </c>
    </row>
    <row r="395" spans="1:66" s="3" customFormat="1" ht="18" customHeight="1" x14ac:dyDescent="0.2">
      <c r="A395" s="35">
        <v>7</v>
      </c>
      <c r="B395" s="36">
        <v>4</v>
      </c>
      <c r="C395" s="36">
        <v>3</v>
      </c>
      <c r="D395" s="37">
        <v>4</v>
      </c>
      <c r="R395" s="35">
        <v>24</v>
      </c>
      <c r="S395" s="36">
        <v>9</v>
      </c>
      <c r="T395" s="36">
        <v>4</v>
      </c>
      <c r="U395" s="37">
        <v>2</v>
      </c>
      <c r="BJ395" s="35">
        <v>24</v>
      </c>
      <c r="BK395" s="36">
        <v>10</v>
      </c>
      <c r="BL395" s="36">
        <v>4</v>
      </c>
      <c r="BM395" s="37">
        <v>2</v>
      </c>
      <c r="BN395" s="39">
        <v>7</v>
      </c>
    </row>
    <row r="396" spans="1:66" s="3" customFormat="1" ht="18" customHeight="1" x14ac:dyDescent="0.2">
      <c r="A396" s="35">
        <v>7</v>
      </c>
      <c r="B396" s="36">
        <v>6</v>
      </c>
      <c r="C396" s="36">
        <v>1</v>
      </c>
      <c r="D396" s="37">
        <v>2</v>
      </c>
      <c r="R396" s="35">
        <v>24</v>
      </c>
      <c r="S396" s="36">
        <v>10</v>
      </c>
      <c r="T396" s="36">
        <v>3</v>
      </c>
      <c r="U396" s="37">
        <v>2</v>
      </c>
      <c r="BJ396" s="35">
        <v>25</v>
      </c>
      <c r="BK396" s="36">
        <v>1</v>
      </c>
      <c r="BL396" s="36">
        <v>3</v>
      </c>
      <c r="BM396" s="37">
        <v>3</v>
      </c>
      <c r="BN396" s="39">
        <v>7</v>
      </c>
    </row>
    <row r="397" spans="1:66" s="3" customFormat="1" ht="18" customHeight="1" x14ac:dyDescent="0.2">
      <c r="A397" s="35">
        <v>7</v>
      </c>
      <c r="B397" s="36">
        <v>6</v>
      </c>
      <c r="C397" s="36">
        <v>1</v>
      </c>
      <c r="D397" s="37">
        <v>3</v>
      </c>
      <c r="R397" s="35">
        <v>24</v>
      </c>
      <c r="S397" s="36">
        <v>10</v>
      </c>
      <c r="T397" s="36">
        <v>4</v>
      </c>
      <c r="U397" s="37">
        <v>2</v>
      </c>
      <c r="BJ397" s="35">
        <v>25</v>
      </c>
      <c r="BK397" s="36">
        <v>1</v>
      </c>
      <c r="BL397" s="36">
        <v>4</v>
      </c>
      <c r="BM397" s="37">
        <v>3</v>
      </c>
      <c r="BN397" s="39">
        <v>7</v>
      </c>
    </row>
    <row r="398" spans="1:66" s="3" customFormat="1" ht="18" customHeight="1" x14ac:dyDescent="0.2">
      <c r="A398" s="35">
        <v>7</v>
      </c>
      <c r="B398" s="36">
        <v>6</v>
      </c>
      <c r="C398" s="36">
        <v>1</v>
      </c>
      <c r="D398" s="37">
        <v>4</v>
      </c>
      <c r="R398" s="35">
        <v>25</v>
      </c>
      <c r="S398" s="36">
        <v>1</v>
      </c>
      <c r="T398" s="36">
        <v>3</v>
      </c>
      <c r="U398" s="37">
        <v>2</v>
      </c>
      <c r="BJ398" s="35">
        <v>25</v>
      </c>
      <c r="BK398" s="36">
        <v>2</v>
      </c>
      <c r="BL398" s="36">
        <v>3</v>
      </c>
      <c r="BM398" s="37">
        <v>3</v>
      </c>
      <c r="BN398" s="39">
        <v>7</v>
      </c>
    </row>
    <row r="399" spans="1:66" s="3" customFormat="1" ht="18" customHeight="1" x14ac:dyDescent="0.2">
      <c r="A399" s="35">
        <v>7</v>
      </c>
      <c r="B399" s="36">
        <v>6</v>
      </c>
      <c r="C399" s="36">
        <v>2</v>
      </c>
      <c r="D399" s="37">
        <v>2</v>
      </c>
      <c r="R399" s="35">
        <v>25</v>
      </c>
      <c r="S399" s="36">
        <v>1</v>
      </c>
      <c r="T399" s="36">
        <v>4</v>
      </c>
      <c r="U399" s="37">
        <v>2</v>
      </c>
      <c r="BJ399" s="35">
        <v>25</v>
      </c>
      <c r="BK399" s="36">
        <v>2</v>
      </c>
      <c r="BL399" s="36">
        <v>4</v>
      </c>
      <c r="BM399" s="37">
        <v>3</v>
      </c>
      <c r="BN399" s="39">
        <v>7</v>
      </c>
    </row>
    <row r="400" spans="1:66" s="3" customFormat="1" ht="18" customHeight="1" x14ac:dyDescent="0.2">
      <c r="A400" s="35">
        <v>7</v>
      </c>
      <c r="B400" s="36">
        <v>6</v>
      </c>
      <c r="C400" s="36">
        <v>2</v>
      </c>
      <c r="D400" s="37">
        <v>3</v>
      </c>
      <c r="R400" s="35">
        <v>25</v>
      </c>
      <c r="S400" s="36">
        <v>2</v>
      </c>
      <c r="T400" s="36">
        <v>3</v>
      </c>
      <c r="U400" s="37">
        <v>2</v>
      </c>
      <c r="BJ400" s="35">
        <v>25</v>
      </c>
      <c r="BK400" s="36">
        <v>3</v>
      </c>
      <c r="BL400" s="36">
        <v>3</v>
      </c>
      <c r="BM400" s="37">
        <v>3</v>
      </c>
      <c r="BN400" s="39">
        <v>7</v>
      </c>
    </row>
    <row r="401" spans="1:66" s="3" customFormat="1" ht="18" customHeight="1" x14ac:dyDescent="0.2">
      <c r="A401" s="35">
        <v>7</v>
      </c>
      <c r="B401" s="36">
        <v>6</v>
      </c>
      <c r="C401" s="36">
        <v>2</v>
      </c>
      <c r="D401" s="37">
        <v>4</v>
      </c>
      <c r="R401" s="35">
        <v>25</v>
      </c>
      <c r="S401" s="36">
        <v>2</v>
      </c>
      <c r="T401" s="36">
        <v>4</v>
      </c>
      <c r="U401" s="37">
        <v>2</v>
      </c>
      <c r="BJ401" s="35">
        <v>25</v>
      </c>
      <c r="BK401" s="36">
        <v>3</v>
      </c>
      <c r="BL401" s="36">
        <v>4</v>
      </c>
      <c r="BM401" s="37">
        <v>3</v>
      </c>
      <c r="BN401" s="39">
        <v>7</v>
      </c>
    </row>
    <row r="402" spans="1:66" s="3" customFormat="1" ht="18" customHeight="1" x14ac:dyDescent="0.2">
      <c r="A402" s="35">
        <v>7</v>
      </c>
      <c r="B402" s="36">
        <v>6</v>
      </c>
      <c r="C402" s="36">
        <v>3</v>
      </c>
      <c r="D402" s="37">
        <v>2</v>
      </c>
      <c r="R402" s="35">
        <v>25</v>
      </c>
      <c r="S402" s="36">
        <v>3</v>
      </c>
      <c r="T402" s="36">
        <v>3</v>
      </c>
      <c r="U402" s="37">
        <v>2</v>
      </c>
      <c r="BJ402" s="35">
        <v>25</v>
      </c>
      <c r="BK402" s="36">
        <v>4</v>
      </c>
      <c r="BL402" s="36">
        <v>3</v>
      </c>
      <c r="BM402" s="37">
        <v>3</v>
      </c>
      <c r="BN402" s="39">
        <v>7</v>
      </c>
    </row>
    <row r="403" spans="1:66" s="3" customFormat="1" ht="18" customHeight="1" x14ac:dyDescent="0.2">
      <c r="A403" s="35">
        <v>7</v>
      </c>
      <c r="B403" s="36">
        <v>6</v>
      </c>
      <c r="C403" s="36">
        <v>3</v>
      </c>
      <c r="D403" s="37">
        <v>3</v>
      </c>
      <c r="R403" s="35">
        <v>25</v>
      </c>
      <c r="S403" s="36">
        <v>3</v>
      </c>
      <c r="T403" s="36">
        <v>4</v>
      </c>
      <c r="U403" s="37">
        <v>2</v>
      </c>
      <c r="BJ403" s="35">
        <v>25</v>
      </c>
      <c r="BK403" s="36">
        <v>4</v>
      </c>
      <c r="BL403" s="36">
        <v>4</v>
      </c>
      <c r="BM403" s="37">
        <v>3</v>
      </c>
      <c r="BN403" s="39">
        <v>7</v>
      </c>
    </row>
    <row r="404" spans="1:66" s="3" customFormat="1" ht="18" customHeight="1" x14ac:dyDescent="0.2">
      <c r="A404" s="35">
        <v>7</v>
      </c>
      <c r="B404" s="36">
        <v>6</v>
      </c>
      <c r="C404" s="36">
        <v>3</v>
      </c>
      <c r="D404" s="37">
        <v>4</v>
      </c>
      <c r="R404" s="35">
        <v>25</v>
      </c>
      <c r="S404" s="36">
        <v>4</v>
      </c>
      <c r="T404" s="36">
        <v>3</v>
      </c>
      <c r="U404" s="37">
        <v>2</v>
      </c>
      <c r="BJ404" s="35">
        <v>25</v>
      </c>
      <c r="BK404" s="36">
        <v>5</v>
      </c>
      <c r="BL404" s="36">
        <v>3</v>
      </c>
      <c r="BM404" s="37">
        <v>3</v>
      </c>
      <c r="BN404" s="39">
        <v>7</v>
      </c>
    </row>
    <row r="405" spans="1:66" s="3" customFormat="1" ht="18" customHeight="1" x14ac:dyDescent="0.2">
      <c r="A405" s="35">
        <v>7</v>
      </c>
      <c r="B405" s="36">
        <v>7</v>
      </c>
      <c r="C405" s="36">
        <v>1</v>
      </c>
      <c r="D405" s="37">
        <v>2</v>
      </c>
      <c r="R405" s="35">
        <v>25</v>
      </c>
      <c r="S405" s="36">
        <v>4</v>
      </c>
      <c r="T405" s="36">
        <v>4</v>
      </c>
      <c r="U405" s="37">
        <v>2</v>
      </c>
      <c r="BJ405" s="35">
        <v>25</v>
      </c>
      <c r="BK405" s="36">
        <v>5</v>
      </c>
      <c r="BL405" s="36">
        <v>4</v>
      </c>
      <c r="BM405" s="37">
        <v>3</v>
      </c>
      <c r="BN405" s="39">
        <v>7</v>
      </c>
    </row>
    <row r="406" spans="1:66" s="3" customFormat="1" ht="18" customHeight="1" x14ac:dyDescent="0.2">
      <c r="A406" s="35">
        <v>7</v>
      </c>
      <c r="B406" s="36">
        <v>7</v>
      </c>
      <c r="C406" s="36">
        <v>1</v>
      </c>
      <c r="D406" s="37">
        <v>3</v>
      </c>
      <c r="R406" s="35">
        <v>25</v>
      </c>
      <c r="S406" s="36">
        <v>5</v>
      </c>
      <c r="T406" s="36">
        <v>3</v>
      </c>
      <c r="U406" s="37">
        <v>2</v>
      </c>
      <c r="BJ406" s="35">
        <v>25</v>
      </c>
      <c r="BK406" s="36">
        <v>6</v>
      </c>
      <c r="BL406" s="36">
        <v>3</v>
      </c>
      <c r="BM406" s="37">
        <v>2</v>
      </c>
      <c r="BN406" s="39">
        <v>7</v>
      </c>
    </row>
    <row r="407" spans="1:66" s="3" customFormat="1" ht="18" customHeight="1" x14ac:dyDescent="0.2">
      <c r="A407" s="35">
        <v>7</v>
      </c>
      <c r="B407" s="36">
        <v>7</v>
      </c>
      <c r="C407" s="36">
        <v>1</v>
      </c>
      <c r="D407" s="37">
        <v>4</v>
      </c>
      <c r="R407" s="35">
        <v>25</v>
      </c>
      <c r="S407" s="36">
        <v>5</v>
      </c>
      <c r="T407" s="36">
        <v>4</v>
      </c>
      <c r="U407" s="37">
        <v>2</v>
      </c>
      <c r="BJ407" s="35">
        <v>25</v>
      </c>
      <c r="BK407" s="36">
        <v>6</v>
      </c>
      <c r="BL407" s="36">
        <v>4</v>
      </c>
      <c r="BM407" s="37">
        <v>2</v>
      </c>
      <c r="BN407" s="39">
        <v>7</v>
      </c>
    </row>
    <row r="408" spans="1:66" s="3" customFormat="1" ht="18" customHeight="1" x14ac:dyDescent="0.2">
      <c r="A408" s="35">
        <v>7</v>
      </c>
      <c r="B408" s="36">
        <v>7</v>
      </c>
      <c r="C408" s="36">
        <v>2</v>
      </c>
      <c r="D408" s="37">
        <v>2</v>
      </c>
      <c r="R408" s="35">
        <v>25</v>
      </c>
      <c r="S408" s="36">
        <v>6</v>
      </c>
      <c r="T408" s="36">
        <v>3</v>
      </c>
      <c r="U408" s="37">
        <v>2</v>
      </c>
      <c r="BJ408" s="35">
        <v>25</v>
      </c>
      <c r="BK408" s="36">
        <v>7</v>
      </c>
      <c r="BL408" s="36">
        <v>3</v>
      </c>
      <c r="BM408" s="37">
        <v>2</v>
      </c>
      <c r="BN408" s="39">
        <v>7</v>
      </c>
    </row>
    <row r="409" spans="1:66" s="3" customFormat="1" ht="18" customHeight="1" x14ac:dyDescent="0.2">
      <c r="A409" s="35">
        <v>7</v>
      </c>
      <c r="B409" s="36">
        <v>7</v>
      </c>
      <c r="C409" s="36">
        <v>2</v>
      </c>
      <c r="D409" s="37">
        <v>3</v>
      </c>
      <c r="R409" s="35">
        <v>25</v>
      </c>
      <c r="S409" s="36">
        <v>6</v>
      </c>
      <c r="T409" s="36">
        <v>4</v>
      </c>
      <c r="U409" s="37">
        <v>2</v>
      </c>
      <c r="BJ409" s="35">
        <v>25</v>
      </c>
      <c r="BK409" s="36">
        <v>7</v>
      </c>
      <c r="BL409" s="36">
        <v>4</v>
      </c>
      <c r="BM409" s="37">
        <v>2</v>
      </c>
      <c r="BN409" s="39">
        <v>7</v>
      </c>
    </row>
    <row r="410" spans="1:66" s="3" customFormat="1" ht="18" customHeight="1" x14ac:dyDescent="0.2">
      <c r="A410" s="35">
        <v>7</v>
      </c>
      <c r="B410" s="36">
        <v>7</v>
      </c>
      <c r="C410" s="36">
        <v>2</v>
      </c>
      <c r="D410" s="37">
        <v>4</v>
      </c>
      <c r="R410" s="35">
        <v>25</v>
      </c>
      <c r="S410" s="36">
        <v>7</v>
      </c>
      <c r="T410" s="36">
        <v>3</v>
      </c>
      <c r="U410" s="37">
        <v>2</v>
      </c>
      <c r="BJ410" s="35">
        <v>25</v>
      </c>
      <c r="BK410" s="36">
        <v>8</v>
      </c>
      <c r="BL410" s="36">
        <v>3</v>
      </c>
      <c r="BM410" s="37">
        <v>2</v>
      </c>
      <c r="BN410" s="39">
        <v>7</v>
      </c>
    </row>
    <row r="411" spans="1:66" s="3" customFormat="1" ht="18" customHeight="1" x14ac:dyDescent="0.2">
      <c r="A411" s="35">
        <v>7</v>
      </c>
      <c r="B411" s="36">
        <v>7</v>
      </c>
      <c r="C411" s="36">
        <v>3</v>
      </c>
      <c r="D411" s="37">
        <v>2</v>
      </c>
      <c r="R411" s="35">
        <v>25</v>
      </c>
      <c r="S411" s="36">
        <v>7</v>
      </c>
      <c r="T411" s="36">
        <v>4</v>
      </c>
      <c r="U411" s="37">
        <v>2</v>
      </c>
      <c r="BJ411" s="35">
        <v>25</v>
      </c>
      <c r="BK411" s="36">
        <v>8</v>
      </c>
      <c r="BL411" s="36">
        <v>4</v>
      </c>
      <c r="BM411" s="37">
        <v>2</v>
      </c>
      <c r="BN411" s="39">
        <v>7</v>
      </c>
    </row>
    <row r="412" spans="1:66" s="3" customFormat="1" ht="18" customHeight="1" x14ac:dyDescent="0.2">
      <c r="A412" s="35">
        <v>7</v>
      </c>
      <c r="B412" s="36">
        <v>7</v>
      </c>
      <c r="C412" s="36">
        <v>3</v>
      </c>
      <c r="D412" s="37">
        <v>3</v>
      </c>
      <c r="R412" s="35">
        <v>25</v>
      </c>
      <c r="S412" s="36">
        <v>8</v>
      </c>
      <c r="T412" s="36">
        <v>3</v>
      </c>
      <c r="U412" s="37">
        <v>2</v>
      </c>
      <c r="BJ412" s="35">
        <v>25</v>
      </c>
      <c r="BK412" s="36">
        <v>9</v>
      </c>
      <c r="BL412" s="36">
        <v>3</v>
      </c>
      <c r="BM412" s="37">
        <v>2</v>
      </c>
      <c r="BN412" s="39">
        <v>7</v>
      </c>
    </row>
    <row r="413" spans="1:66" s="3" customFormat="1" ht="18" customHeight="1" x14ac:dyDescent="0.2">
      <c r="A413" s="35">
        <v>7</v>
      </c>
      <c r="B413" s="36">
        <v>7</v>
      </c>
      <c r="C413" s="36">
        <v>3</v>
      </c>
      <c r="D413" s="37">
        <v>4</v>
      </c>
      <c r="R413" s="35">
        <v>25</v>
      </c>
      <c r="S413" s="36">
        <v>8</v>
      </c>
      <c r="T413" s="36">
        <v>4</v>
      </c>
      <c r="U413" s="37">
        <v>2</v>
      </c>
      <c r="BJ413" s="35">
        <v>25</v>
      </c>
      <c r="BK413" s="36">
        <v>9</v>
      </c>
      <c r="BL413" s="36">
        <v>4</v>
      </c>
      <c r="BM413" s="37">
        <v>2</v>
      </c>
      <c r="BN413" s="39">
        <v>7</v>
      </c>
    </row>
    <row r="414" spans="1:66" s="3" customFormat="1" ht="18" customHeight="1" x14ac:dyDescent="0.2">
      <c r="A414" s="35">
        <v>7</v>
      </c>
      <c r="B414" s="36">
        <v>9</v>
      </c>
      <c r="C414" s="36">
        <v>1</v>
      </c>
      <c r="D414" s="37">
        <v>2</v>
      </c>
      <c r="R414" s="35">
        <v>25</v>
      </c>
      <c r="S414" s="36">
        <v>9</v>
      </c>
      <c r="T414" s="36">
        <v>3</v>
      </c>
      <c r="U414" s="37">
        <v>2</v>
      </c>
      <c r="BJ414" s="35">
        <v>25</v>
      </c>
      <c r="BK414" s="36">
        <v>10</v>
      </c>
      <c r="BL414" s="36">
        <v>3</v>
      </c>
      <c r="BM414" s="37">
        <v>2</v>
      </c>
      <c r="BN414" s="39">
        <v>7</v>
      </c>
    </row>
    <row r="415" spans="1:66" s="3" customFormat="1" ht="18" customHeight="1" x14ac:dyDescent="0.2">
      <c r="A415" s="35">
        <v>7</v>
      </c>
      <c r="B415" s="36">
        <v>9</v>
      </c>
      <c r="C415" s="36">
        <v>1</v>
      </c>
      <c r="D415" s="37">
        <v>3</v>
      </c>
      <c r="R415" s="35">
        <v>25</v>
      </c>
      <c r="S415" s="36">
        <v>9</v>
      </c>
      <c r="T415" s="36">
        <v>4</v>
      </c>
      <c r="U415" s="37">
        <v>2</v>
      </c>
      <c r="BJ415" s="35">
        <v>25</v>
      </c>
      <c r="BK415" s="36">
        <v>10</v>
      </c>
      <c r="BL415" s="36">
        <v>4</v>
      </c>
      <c r="BM415" s="37">
        <v>2</v>
      </c>
      <c r="BN415" s="39">
        <v>7</v>
      </c>
    </row>
    <row r="416" spans="1:66" s="3" customFormat="1" ht="18" customHeight="1" x14ac:dyDescent="0.2">
      <c r="A416" s="35">
        <v>7</v>
      </c>
      <c r="B416" s="36">
        <v>9</v>
      </c>
      <c r="C416" s="36">
        <v>1</v>
      </c>
      <c r="D416" s="37">
        <v>4</v>
      </c>
      <c r="R416" s="35">
        <v>25</v>
      </c>
      <c r="S416" s="36">
        <v>10</v>
      </c>
      <c r="T416" s="36">
        <v>3</v>
      </c>
      <c r="U416" s="37">
        <v>2</v>
      </c>
      <c r="BJ416" s="35">
        <v>26</v>
      </c>
      <c r="BK416" s="36">
        <v>4</v>
      </c>
      <c r="BL416" s="36">
        <v>3</v>
      </c>
      <c r="BM416" s="37">
        <v>3</v>
      </c>
      <c r="BN416" s="39">
        <v>82</v>
      </c>
    </row>
    <row r="417" spans="1:66" s="3" customFormat="1" ht="18" customHeight="1" x14ac:dyDescent="0.2">
      <c r="A417" s="35">
        <v>7</v>
      </c>
      <c r="B417" s="36">
        <v>9</v>
      </c>
      <c r="C417" s="36">
        <v>2</v>
      </c>
      <c r="D417" s="37">
        <v>2</v>
      </c>
      <c r="R417" s="35">
        <v>25</v>
      </c>
      <c r="S417" s="36">
        <v>10</v>
      </c>
      <c r="T417" s="36">
        <v>4</v>
      </c>
      <c r="U417" s="37">
        <v>2</v>
      </c>
      <c r="BJ417" s="35">
        <v>26</v>
      </c>
      <c r="BK417" s="36">
        <v>4</v>
      </c>
      <c r="BL417" s="36">
        <v>4</v>
      </c>
      <c r="BM417" s="37">
        <v>3</v>
      </c>
      <c r="BN417" s="39">
        <v>82</v>
      </c>
    </row>
    <row r="418" spans="1:66" s="3" customFormat="1" ht="18" customHeight="1" x14ac:dyDescent="0.2">
      <c r="A418" s="35">
        <v>7</v>
      </c>
      <c r="B418" s="36">
        <v>9</v>
      </c>
      <c r="C418" s="36">
        <v>2</v>
      </c>
      <c r="D418" s="37">
        <v>3</v>
      </c>
      <c r="R418" s="35">
        <v>26</v>
      </c>
      <c r="S418" s="36">
        <v>4</v>
      </c>
      <c r="T418" s="36">
        <v>3</v>
      </c>
      <c r="U418" s="37">
        <v>2</v>
      </c>
      <c r="BJ418" s="35">
        <v>27</v>
      </c>
      <c r="BK418" s="36">
        <v>1</v>
      </c>
      <c r="BL418" s="36">
        <v>3</v>
      </c>
      <c r="BM418" s="37">
        <v>3</v>
      </c>
      <c r="BN418" s="39">
        <v>1</v>
      </c>
    </row>
    <row r="419" spans="1:66" s="3" customFormat="1" ht="18" customHeight="1" x14ac:dyDescent="0.2">
      <c r="A419" s="35">
        <v>7</v>
      </c>
      <c r="B419" s="36">
        <v>9</v>
      </c>
      <c r="C419" s="36">
        <v>2</v>
      </c>
      <c r="D419" s="37">
        <v>4</v>
      </c>
      <c r="R419" s="35">
        <v>26</v>
      </c>
      <c r="S419" s="36">
        <v>4</v>
      </c>
      <c r="T419" s="36">
        <v>4</v>
      </c>
      <c r="U419" s="37">
        <v>2</v>
      </c>
      <c r="BJ419" s="35">
        <v>27</v>
      </c>
      <c r="BK419" s="36">
        <v>1</v>
      </c>
      <c r="BL419" s="36">
        <v>4</v>
      </c>
      <c r="BM419" s="37">
        <v>3</v>
      </c>
      <c r="BN419" s="39">
        <v>1</v>
      </c>
    </row>
    <row r="420" spans="1:66" s="3" customFormat="1" ht="18" customHeight="1" x14ac:dyDescent="0.2">
      <c r="A420" s="35">
        <v>7</v>
      </c>
      <c r="B420" s="36">
        <v>9</v>
      </c>
      <c r="C420" s="36">
        <v>3</v>
      </c>
      <c r="D420" s="37">
        <v>2</v>
      </c>
      <c r="R420" s="35">
        <v>27</v>
      </c>
      <c r="S420" s="36">
        <v>1</v>
      </c>
      <c r="T420" s="36">
        <v>3</v>
      </c>
      <c r="U420" s="37">
        <v>2</v>
      </c>
      <c r="BJ420" s="35">
        <v>27</v>
      </c>
      <c r="BK420" s="36">
        <v>2</v>
      </c>
      <c r="BL420" s="36">
        <v>3</v>
      </c>
      <c r="BM420" s="37">
        <v>3</v>
      </c>
      <c r="BN420" s="39">
        <v>1</v>
      </c>
    </row>
    <row r="421" spans="1:66" s="3" customFormat="1" ht="18" customHeight="1" x14ac:dyDescent="0.2">
      <c r="A421" s="35">
        <v>7</v>
      </c>
      <c r="B421" s="36">
        <v>9</v>
      </c>
      <c r="C421" s="36">
        <v>3</v>
      </c>
      <c r="D421" s="37">
        <v>3</v>
      </c>
      <c r="R421" s="35">
        <v>27</v>
      </c>
      <c r="S421" s="36">
        <v>1</v>
      </c>
      <c r="T421" s="36">
        <v>4</v>
      </c>
      <c r="U421" s="37">
        <v>2</v>
      </c>
      <c r="BJ421" s="35">
        <v>27</v>
      </c>
      <c r="BK421" s="36">
        <v>2</v>
      </c>
      <c r="BL421" s="36">
        <v>4</v>
      </c>
      <c r="BM421" s="37">
        <v>3</v>
      </c>
      <c r="BN421" s="39">
        <v>1</v>
      </c>
    </row>
    <row r="422" spans="1:66" s="3" customFormat="1" ht="18" customHeight="1" x14ac:dyDescent="0.2">
      <c r="A422" s="35">
        <v>7</v>
      </c>
      <c r="B422" s="36">
        <v>9</v>
      </c>
      <c r="C422" s="36">
        <v>3</v>
      </c>
      <c r="D422" s="37">
        <v>4</v>
      </c>
      <c r="R422" s="35">
        <v>27</v>
      </c>
      <c r="S422" s="36">
        <v>2</v>
      </c>
      <c r="T422" s="36">
        <v>3</v>
      </c>
      <c r="U422" s="37">
        <v>2</v>
      </c>
      <c r="BJ422" s="35">
        <v>27</v>
      </c>
      <c r="BK422" s="36">
        <v>4</v>
      </c>
      <c r="BL422" s="36">
        <v>3</v>
      </c>
      <c r="BM422" s="37">
        <v>3</v>
      </c>
      <c r="BN422" s="39">
        <v>1</v>
      </c>
    </row>
    <row r="423" spans="1:66" s="3" customFormat="1" ht="18" customHeight="1" x14ac:dyDescent="0.2">
      <c r="A423" s="35">
        <v>8</v>
      </c>
      <c r="B423" s="36">
        <v>1</v>
      </c>
      <c r="C423" s="36">
        <v>1</v>
      </c>
      <c r="D423" s="37">
        <v>2</v>
      </c>
      <c r="R423" s="35">
        <v>27</v>
      </c>
      <c r="S423" s="36">
        <v>2</v>
      </c>
      <c r="T423" s="36">
        <v>4</v>
      </c>
      <c r="U423" s="37">
        <v>2</v>
      </c>
      <c r="BJ423" s="35">
        <v>27</v>
      </c>
      <c r="BK423" s="36">
        <v>4</v>
      </c>
      <c r="BL423" s="36">
        <v>4</v>
      </c>
      <c r="BM423" s="37">
        <v>3</v>
      </c>
      <c r="BN423" s="39">
        <v>1</v>
      </c>
    </row>
    <row r="424" spans="1:66" s="3" customFormat="1" ht="18" customHeight="1" x14ac:dyDescent="0.2">
      <c r="A424" s="35">
        <v>8</v>
      </c>
      <c r="B424" s="36">
        <v>1</v>
      </c>
      <c r="C424" s="36">
        <v>1</v>
      </c>
      <c r="D424" s="37">
        <v>3</v>
      </c>
      <c r="R424" s="35">
        <v>27</v>
      </c>
      <c r="S424" s="36">
        <v>4</v>
      </c>
      <c r="T424" s="36">
        <v>3</v>
      </c>
      <c r="U424" s="37">
        <v>2</v>
      </c>
      <c r="BJ424" s="35">
        <v>27</v>
      </c>
      <c r="BK424" s="36">
        <v>6</v>
      </c>
      <c r="BL424" s="36">
        <v>3</v>
      </c>
      <c r="BM424" s="37">
        <v>2</v>
      </c>
      <c r="BN424" s="39">
        <v>1</v>
      </c>
    </row>
    <row r="425" spans="1:66" s="3" customFormat="1" ht="18" customHeight="1" x14ac:dyDescent="0.2">
      <c r="A425" s="35">
        <v>8</v>
      </c>
      <c r="B425" s="36">
        <v>1</v>
      </c>
      <c r="C425" s="36">
        <v>1</v>
      </c>
      <c r="D425" s="37">
        <v>4</v>
      </c>
      <c r="R425" s="35">
        <v>27</v>
      </c>
      <c r="S425" s="36">
        <v>4</v>
      </c>
      <c r="T425" s="36">
        <v>4</v>
      </c>
      <c r="U425" s="37">
        <v>2</v>
      </c>
      <c r="BJ425" s="35">
        <v>27</v>
      </c>
      <c r="BK425" s="36">
        <v>6</v>
      </c>
      <c r="BL425" s="36">
        <v>4</v>
      </c>
      <c r="BM425" s="37">
        <v>2</v>
      </c>
      <c r="BN425" s="39">
        <v>1</v>
      </c>
    </row>
    <row r="426" spans="1:66" s="3" customFormat="1" ht="18" customHeight="1" x14ac:dyDescent="0.2">
      <c r="A426" s="35">
        <v>8</v>
      </c>
      <c r="B426" s="36">
        <v>1</v>
      </c>
      <c r="C426" s="36">
        <v>2</v>
      </c>
      <c r="D426" s="37">
        <v>2</v>
      </c>
      <c r="R426" s="35">
        <v>27</v>
      </c>
      <c r="S426" s="36">
        <v>6</v>
      </c>
      <c r="T426" s="36">
        <v>3</v>
      </c>
      <c r="U426" s="37">
        <v>2</v>
      </c>
      <c r="BJ426" s="35">
        <v>27</v>
      </c>
      <c r="BK426" s="36">
        <v>7</v>
      </c>
      <c r="BL426" s="36">
        <v>3</v>
      </c>
      <c r="BM426" s="37">
        <v>2</v>
      </c>
      <c r="BN426" s="39">
        <v>1</v>
      </c>
    </row>
    <row r="427" spans="1:66" s="3" customFormat="1" ht="18" customHeight="1" x14ac:dyDescent="0.2">
      <c r="A427" s="35">
        <v>8</v>
      </c>
      <c r="B427" s="36">
        <v>1</v>
      </c>
      <c r="C427" s="36">
        <v>2</v>
      </c>
      <c r="D427" s="37">
        <v>3</v>
      </c>
      <c r="R427" s="35">
        <v>27</v>
      </c>
      <c r="S427" s="36">
        <v>6</v>
      </c>
      <c r="T427" s="36">
        <v>4</v>
      </c>
      <c r="U427" s="37">
        <v>2</v>
      </c>
      <c r="BJ427" s="35">
        <v>27</v>
      </c>
      <c r="BK427" s="36">
        <v>7</v>
      </c>
      <c r="BL427" s="36">
        <v>4</v>
      </c>
      <c r="BM427" s="37">
        <v>2</v>
      </c>
      <c r="BN427" s="39">
        <v>1</v>
      </c>
    </row>
    <row r="428" spans="1:66" s="3" customFormat="1" ht="18" customHeight="1" x14ac:dyDescent="0.2">
      <c r="A428" s="35">
        <v>8</v>
      </c>
      <c r="B428" s="36">
        <v>1</v>
      </c>
      <c r="C428" s="36">
        <v>2</v>
      </c>
      <c r="D428" s="37">
        <v>4</v>
      </c>
      <c r="R428" s="35">
        <v>27</v>
      </c>
      <c r="S428" s="36">
        <v>7</v>
      </c>
      <c r="T428" s="36">
        <v>3</v>
      </c>
      <c r="U428" s="37">
        <v>2</v>
      </c>
      <c r="BJ428" s="35">
        <v>27</v>
      </c>
      <c r="BK428" s="36">
        <v>9</v>
      </c>
      <c r="BL428" s="36">
        <v>3</v>
      </c>
      <c r="BM428" s="37">
        <v>2</v>
      </c>
      <c r="BN428" s="39">
        <v>1</v>
      </c>
    </row>
    <row r="429" spans="1:66" s="3" customFormat="1" ht="18" customHeight="1" x14ac:dyDescent="0.2">
      <c r="A429" s="35">
        <v>8</v>
      </c>
      <c r="B429" s="36">
        <v>1</v>
      </c>
      <c r="C429" s="36">
        <v>3</v>
      </c>
      <c r="D429" s="37">
        <v>2</v>
      </c>
      <c r="R429" s="35">
        <v>27</v>
      </c>
      <c r="S429" s="36">
        <v>7</v>
      </c>
      <c r="T429" s="36">
        <v>4</v>
      </c>
      <c r="U429" s="37">
        <v>2</v>
      </c>
      <c r="BJ429" s="35">
        <v>27</v>
      </c>
      <c r="BK429" s="36">
        <v>9</v>
      </c>
      <c r="BL429" s="36">
        <v>4</v>
      </c>
      <c r="BM429" s="37">
        <v>2</v>
      </c>
      <c r="BN429" s="39">
        <v>1</v>
      </c>
    </row>
    <row r="430" spans="1:66" s="3" customFormat="1" ht="18" customHeight="1" x14ac:dyDescent="0.2">
      <c r="A430" s="35">
        <v>8</v>
      </c>
      <c r="B430" s="36">
        <v>1</v>
      </c>
      <c r="C430" s="36">
        <v>3</v>
      </c>
      <c r="D430" s="37">
        <v>3</v>
      </c>
      <c r="R430" s="35">
        <v>27</v>
      </c>
      <c r="S430" s="36">
        <v>9</v>
      </c>
      <c r="T430" s="36">
        <v>3</v>
      </c>
      <c r="U430" s="37">
        <v>2</v>
      </c>
      <c r="BJ430" s="35">
        <v>28</v>
      </c>
      <c r="BK430" s="36">
        <v>4</v>
      </c>
      <c r="BL430" s="36">
        <v>3</v>
      </c>
      <c r="BM430" s="37">
        <v>3</v>
      </c>
      <c r="BN430" s="39">
        <v>34</v>
      </c>
    </row>
    <row r="431" spans="1:66" s="3" customFormat="1" ht="18" customHeight="1" x14ac:dyDescent="0.2">
      <c r="A431" s="35">
        <v>8</v>
      </c>
      <c r="B431" s="36">
        <v>1</v>
      </c>
      <c r="C431" s="36">
        <v>3</v>
      </c>
      <c r="D431" s="37">
        <v>4</v>
      </c>
      <c r="R431" s="35">
        <v>27</v>
      </c>
      <c r="S431" s="36">
        <v>9</v>
      </c>
      <c r="T431" s="36">
        <v>4</v>
      </c>
      <c r="U431" s="37">
        <v>2</v>
      </c>
      <c r="BJ431" s="35">
        <v>28</v>
      </c>
      <c r="BK431" s="36">
        <v>4</v>
      </c>
      <c r="BL431" s="36">
        <v>4</v>
      </c>
      <c r="BM431" s="37">
        <v>3</v>
      </c>
      <c r="BN431" s="39">
        <v>34</v>
      </c>
    </row>
    <row r="432" spans="1:66" s="3" customFormat="1" ht="18" customHeight="1" x14ac:dyDescent="0.2">
      <c r="A432" s="35">
        <v>8</v>
      </c>
      <c r="B432" s="36">
        <v>2</v>
      </c>
      <c r="C432" s="36">
        <v>1</v>
      </c>
      <c r="D432" s="37">
        <v>2</v>
      </c>
      <c r="R432" s="35">
        <v>28</v>
      </c>
      <c r="S432" s="36">
        <v>4</v>
      </c>
      <c r="T432" s="36">
        <v>3</v>
      </c>
      <c r="U432" s="37">
        <v>2</v>
      </c>
      <c r="BJ432" s="35">
        <v>28</v>
      </c>
      <c r="BK432" s="36">
        <v>7</v>
      </c>
      <c r="BL432" s="36">
        <v>3</v>
      </c>
      <c r="BM432" s="37">
        <v>2</v>
      </c>
      <c r="BN432" s="39">
        <v>34</v>
      </c>
    </row>
    <row r="433" spans="1:66" s="3" customFormat="1" ht="18" customHeight="1" x14ac:dyDescent="0.2">
      <c r="A433" s="35">
        <v>8</v>
      </c>
      <c r="B433" s="36">
        <v>2</v>
      </c>
      <c r="C433" s="36">
        <v>1</v>
      </c>
      <c r="D433" s="37">
        <v>3</v>
      </c>
      <c r="R433" s="35">
        <v>28</v>
      </c>
      <c r="S433" s="36">
        <v>4</v>
      </c>
      <c r="T433" s="36">
        <v>4</v>
      </c>
      <c r="U433" s="37">
        <v>2</v>
      </c>
      <c r="BJ433" s="35">
        <v>28</v>
      </c>
      <c r="BK433" s="36">
        <v>7</v>
      </c>
      <c r="BL433" s="36">
        <v>4</v>
      </c>
      <c r="BM433" s="37">
        <v>2</v>
      </c>
      <c r="BN433" s="39">
        <v>34</v>
      </c>
    </row>
    <row r="434" spans="1:66" s="3" customFormat="1" ht="18" customHeight="1" x14ac:dyDescent="0.2">
      <c r="A434" s="35">
        <v>8</v>
      </c>
      <c r="B434" s="36">
        <v>2</v>
      </c>
      <c r="C434" s="36">
        <v>1</v>
      </c>
      <c r="D434" s="37">
        <v>4</v>
      </c>
      <c r="R434" s="35">
        <v>28</v>
      </c>
      <c r="S434" s="36">
        <v>7</v>
      </c>
      <c r="T434" s="36">
        <v>3</v>
      </c>
      <c r="U434" s="37">
        <v>2</v>
      </c>
      <c r="BJ434" s="35">
        <v>28</v>
      </c>
      <c r="BK434" s="36">
        <v>9</v>
      </c>
      <c r="BL434" s="36">
        <v>3</v>
      </c>
      <c r="BM434" s="37">
        <v>2</v>
      </c>
      <c r="BN434" s="39">
        <v>34</v>
      </c>
    </row>
    <row r="435" spans="1:66" s="3" customFormat="1" ht="18" customHeight="1" x14ac:dyDescent="0.2">
      <c r="A435" s="35">
        <v>8</v>
      </c>
      <c r="B435" s="36">
        <v>2</v>
      </c>
      <c r="C435" s="36">
        <v>2</v>
      </c>
      <c r="D435" s="37">
        <v>2</v>
      </c>
      <c r="R435" s="35">
        <v>28</v>
      </c>
      <c r="S435" s="36">
        <v>7</v>
      </c>
      <c r="T435" s="36">
        <v>4</v>
      </c>
      <c r="U435" s="37">
        <v>2</v>
      </c>
      <c r="BJ435" s="35">
        <v>28</v>
      </c>
      <c r="BK435" s="36">
        <v>9</v>
      </c>
      <c r="BL435" s="36">
        <v>4</v>
      </c>
      <c r="BM435" s="37">
        <v>2</v>
      </c>
      <c r="BN435" s="39">
        <v>34</v>
      </c>
    </row>
    <row r="436" spans="1:66" s="3" customFormat="1" ht="18" customHeight="1" x14ac:dyDescent="0.2">
      <c r="A436" s="35">
        <v>8</v>
      </c>
      <c r="B436" s="36">
        <v>2</v>
      </c>
      <c r="C436" s="36">
        <v>2</v>
      </c>
      <c r="D436" s="37">
        <v>3</v>
      </c>
      <c r="R436" s="35">
        <v>28</v>
      </c>
      <c r="S436" s="36">
        <v>9</v>
      </c>
      <c r="T436" s="36">
        <v>3</v>
      </c>
      <c r="U436" s="37">
        <v>2</v>
      </c>
      <c r="BJ436" s="35">
        <v>29</v>
      </c>
      <c r="BK436" s="36">
        <v>1</v>
      </c>
      <c r="BL436" s="36">
        <v>3</v>
      </c>
      <c r="BM436" s="37">
        <v>3</v>
      </c>
      <c r="BN436" s="39">
        <v>1</v>
      </c>
    </row>
    <row r="437" spans="1:66" s="3" customFormat="1" ht="18" customHeight="1" x14ac:dyDescent="0.2">
      <c r="A437" s="35">
        <v>8</v>
      </c>
      <c r="B437" s="36">
        <v>2</v>
      </c>
      <c r="C437" s="36">
        <v>2</v>
      </c>
      <c r="D437" s="37">
        <v>4</v>
      </c>
      <c r="R437" s="35">
        <v>28</v>
      </c>
      <c r="S437" s="36">
        <v>9</v>
      </c>
      <c r="T437" s="36">
        <v>4</v>
      </c>
      <c r="U437" s="37">
        <v>2</v>
      </c>
      <c r="BJ437" s="35">
        <v>29</v>
      </c>
      <c r="BK437" s="36">
        <v>1</v>
      </c>
      <c r="BL437" s="36">
        <v>4</v>
      </c>
      <c r="BM437" s="37">
        <v>3</v>
      </c>
      <c r="BN437" s="39">
        <v>1</v>
      </c>
    </row>
    <row r="438" spans="1:66" s="3" customFormat="1" ht="18" customHeight="1" x14ac:dyDescent="0.2">
      <c r="A438" s="35">
        <v>8</v>
      </c>
      <c r="B438" s="36">
        <v>2</v>
      </c>
      <c r="C438" s="36">
        <v>3</v>
      </c>
      <c r="D438" s="37">
        <v>2</v>
      </c>
      <c r="R438" s="35">
        <v>29</v>
      </c>
      <c r="S438" s="36">
        <v>1</v>
      </c>
      <c r="T438" s="36">
        <v>3</v>
      </c>
      <c r="U438" s="37">
        <v>2</v>
      </c>
      <c r="BJ438" s="35">
        <v>29</v>
      </c>
      <c r="BK438" s="36">
        <v>2</v>
      </c>
      <c r="BL438" s="36">
        <v>3</v>
      </c>
      <c r="BM438" s="37">
        <v>3</v>
      </c>
      <c r="BN438" s="39">
        <v>1</v>
      </c>
    </row>
    <row r="439" spans="1:66" s="3" customFormat="1" ht="18" customHeight="1" x14ac:dyDescent="0.2">
      <c r="A439" s="35">
        <v>8</v>
      </c>
      <c r="B439" s="36">
        <v>2</v>
      </c>
      <c r="C439" s="36">
        <v>3</v>
      </c>
      <c r="D439" s="37">
        <v>3</v>
      </c>
      <c r="R439" s="35">
        <v>29</v>
      </c>
      <c r="S439" s="36">
        <v>1</v>
      </c>
      <c r="T439" s="36">
        <v>4</v>
      </c>
      <c r="U439" s="37">
        <v>2</v>
      </c>
      <c r="BJ439" s="35">
        <v>29</v>
      </c>
      <c r="BK439" s="36">
        <v>2</v>
      </c>
      <c r="BL439" s="36">
        <v>4</v>
      </c>
      <c r="BM439" s="37">
        <v>3</v>
      </c>
      <c r="BN439" s="39">
        <v>1</v>
      </c>
    </row>
    <row r="440" spans="1:66" s="3" customFormat="1" ht="18" customHeight="1" x14ac:dyDescent="0.2">
      <c r="A440" s="35">
        <v>8</v>
      </c>
      <c r="B440" s="36">
        <v>2</v>
      </c>
      <c r="C440" s="36">
        <v>3</v>
      </c>
      <c r="D440" s="37">
        <v>4</v>
      </c>
      <c r="R440" s="35">
        <v>29</v>
      </c>
      <c r="S440" s="36">
        <v>2</v>
      </c>
      <c r="T440" s="36">
        <v>3</v>
      </c>
      <c r="U440" s="37">
        <v>2</v>
      </c>
      <c r="BJ440" s="35">
        <v>29</v>
      </c>
      <c r="BK440" s="36">
        <v>4</v>
      </c>
      <c r="BL440" s="36">
        <v>3</v>
      </c>
      <c r="BM440" s="37">
        <v>3</v>
      </c>
      <c r="BN440" s="39">
        <v>1</v>
      </c>
    </row>
    <row r="441" spans="1:66" s="3" customFormat="1" ht="18" customHeight="1" x14ac:dyDescent="0.2">
      <c r="A441" s="35">
        <v>8</v>
      </c>
      <c r="B441" s="36">
        <v>4</v>
      </c>
      <c r="C441" s="36">
        <v>1</v>
      </c>
      <c r="D441" s="37">
        <v>2</v>
      </c>
      <c r="R441" s="35">
        <v>29</v>
      </c>
      <c r="S441" s="36">
        <v>2</v>
      </c>
      <c r="T441" s="36">
        <v>4</v>
      </c>
      <c r="U441" s="37">
        <v>2</v>
      </c>
      <c r="BJ441" s="35">
        <v>29</v>
      </c>
      <c r="BK441" s="36">
        <v>4</v>
      </c>
      <c r="BL441" s="36">
        <v>4</v>
      </c>
      <c r="BM441" s="37">
        <v>3</v>
      </c>
      <c r="BN441" s="39">
        <v>1</v>
      </c>
    </row>
    <row r="442" spans="1:66" s="3" customFormat="1" ht="18" customHeight="1" x14ac:dyDescent="0.2">
      <c r="A442" s="35">
        <v>8</v>
      </c>
      <c r="B442" s="36">
        <v>4</v>
      </c>
      <c r="C442" s="36">
        <v>1</v>
      </c>
      <c r="D442" s="37">
        <v>3</v>
      </c>
      <c r="R442" s="35">
        <v>29</v>
      </c>
      <c r="S442" s="36">
        <v>4</v>
      </c>
      <c r="T442" s="36">
        <v>3</v>
      </c>
      <c r="U442" s="37">
        <v>2</v>
      </c>
      <c r="BJ442" s="35">
        <v>29</v>
      </c>
      <c r="BK442" s="36">
        <v>6</v>
      </c>
      <c r="BL442" s="36">
        <v>3</v>
      </c>
      <c r="BM442" s="37">
        <v>2</v>
      </c>
      <c r="BN442" s="39">
        <v>1</v>
      </c>
    </row>
    <row r="443" spans="1:66" s="3" customFormat="1" ht="18" customHeight="1" x14ac:dyDescent="0.2">
      <c r="A443" s="35">
        <v>8</v>
      </c>
      <c r="B443" s="36">
        <v>4</v>
      </c>
      <c r="C443" s="36">
        <v>1</v>
      </c>
      <c r="D443" s="37">
        <v>4</v>
      </c>
      <c r="R443" s="35">
        <v>29</v>
      </c>
      <c r="S443" s="36">
        <v>4</v>
      </c>
      <c r="T443" s="36">
        <v>4</v>
      </c>
      <c r="U443" s="37">
        <v>2</v>
      </c>
      <c r="BJ443" s="35">
        <v>29</v>
      </c>
      <c r="BK443" s="36">
        <v>6</v>
      </c>
      <c r="BL443" s="36">
        <v>4</v>
      </c>
      <c r="BM443" s="37">
        <v>2</v>
      </c>
      <c r="BN443" s="39">
        <v>1</v>
      </c>
    </row>
    <row r="444" spans="1:66" s="3" customFormat="1" ht="18" customHeight="1" x14ac:dyDescent="0.2">
      <c r="A444" s="35">
        <v>8</v>
      </c>
      <c r="B444" s="36">
        <v>4</v>
      </c>
      <c r="C444" s="36">
        <v>2</v>
      </c>
      <c r="D444" s="37">
        <v>2</v>
      </c>
      <c r="R444" s="35">
        <v>29</v>
      </c>
      <c r="S444" s="36">
        <v>6</v>
      </c>
      <c r="T444" s="36">
        <v>3</v>
      </c>
      <c r="U444" s="37">
        <v>2</v>
      </c>
      <c r="BJ444" s="35">
        <v>29</v>
      </c>
      <c r="BK444" s="36">
        <v>7</v>
      </c>
      <c r="BL444" s="36">
        <v>3</v>
      </c>
      <c r="BM444" s="37">
        <v>2</v>
      </c>
      <c r="BN444" s="39">
        <v>1</v>
      </c>
    </row>
    <row r="445" spans="1:66" s="3" customFormat="1" ht="18" customHeight="1" x14ac:dyDescent="0.2">
      <c r="A445" s="35">
        <v>8</v>
      </c>
      <c r="B445" s="36">
        <v>4</v>
      </c>
      <c r="C445" s="36">
        <v>2</v>
      </c>
      <c r="D445" s="37">
        <v>3</v>
      </c>
      <c r="R445" s="35">
        <v>29</v>
      </c>
      <c r="S445" s="36">
        <v>6</v>
      </c>
      <c r="T445" s="36">
        <v>4</v>
      </c>
      <c r="U445" s="37">
        <v>2</v>
      </c>
      <c r="BJ445" s="35">
        <v>29</v>
      </c>
      <c r="BK445" s="36">
        <v>7</v>
      </c>
      <c r="BL445" s="36">
        <v>4</v>
      </c>
      <c r="BM445" s="37">
        <v>2</v>
      </c>
      <c r="BN445" s="39">
        <v>1</v>
      </c>
    </row>
    <row r="446" spans="1:66" s="3" customFormat="1" ht="18" customHeight="1" x14ac:dyDescent="0.2">
      <c r="A446" s="35">
        <v>8</v>
      </c>
      <c r="B446" s="36">
        <v>4</v>
      </c>
      <c r="C446" s="36">
        <v>2</v>
      </c>
      <c r="D446" s="37">
        <v>4</v>
      </c>
      <c r="R446" s="35">
        <v>29</v>
      </c>
      <c r="S446" s="36">
        <v>7</v>
      </c>
      <c r="T446" s="36">
        <v>3</v>
      </c>
      <c r="U446" s="37">
        <v>2</v>
      </c>
      <c r="BJ446" s="35">
        <v>29</v>
      </c>
      <c r="BK446" s="36">
        <v>9</v>
      </c>
      <c r="BL446" s="36">
        <v>3</v>
      </c>
      <c r="BM446" s="37">
        <v>2</v>
      </c>
      <c r="BN446" s="39">
        <v>1</v>
      </c>
    </row>
    <row r="447" spans="1:66" s="3" customFormat="1" ht="18" customHeight="1" x14ac:dyDescent="0.2">
      <c r="A447" s="35">
        <v>8</v>
      </c>
      <c r="B447" s="36">
        <v>4</v>
      </c>
      <c r="C447" s="36">
        <v>3</v>
      </c>
      <c r="D447" s="37">
        <v>2</v>
      </c>
      <c r="R447" s="35">
        <v>29</v>
      </c>
      <c r="S447" s="36">
        <v>7</v>
      </c>
      <c r="T447" s="36">
        <v>4</v>
      </c>
      <c r="U447" s="37">
        <v>2</v>
      </c>
      <c r="BJ447" s="35">
        <v>29</v>
      </c>
      <c r="BK447" s="36">
        <v>9</v>
      </c>
      <c r="BL447" s="36">
        <v>4</v>
      </c>
      <c r="BM447" s="37">
        <v>2</v>
      </c>
      <c r="BN447" s="39">
        <v>1</v>
      </c>
    </row>
    <row r="448" spans="1:66" s="3" customFormat="1" ht="18" customHeight="1" x14ac:dyDescent="0.2">
      <c r="A448" s="35">
        <v>8</v>
      </c>
      <c r="B448" s="36">
        <v>4</v>
      </c>
      <c r="C448" s="36">
        <v>3</v>
      </c>
      <c r="D448" s="37">
        <v>3</v>
      </c>
      <c r="R448" s="35">
        <v>29</v>
      </c>
      <c r="S448" s="36">
        <v>9</v>
      </c>
      <c r="T448" s="36">
        <v>3</v>
      </c>
      <c r="U448" s="37">
        <v>2</v>
      </c>
      <c r="BJ448" s="35">
        <v>30</v>
      </c>
      <c r="BK448" s="36">
        <v>1</v>
      </c>
      <c r="BL448" s="36">
        <v>3</v>
      </c>
      <c r="BM448" s="37">
        <v>3</v>
      </c>
      <c r="BN448" s="39">
        <v>16</v>
      </c>
    </row>
    <row r="449" spans="1:66" s="3" customFormat="1" ht="18" customHeight="1" x14ac:dyDescent="0.2">
      <c r="A449" s="35">
        <v>8</v>
      </c>
      <c r="B449" s="36">
        <v>4</v>
      </c>
      <c r="C449" s="36">
        <v>3</v>
      </c>
      <c r="D449" s="37">
        <v>4</v>
      </c>
      <c r="R449" s="35">
        <v>29</v>
      </c>
      <c r="S449" s="36">
        <v>9</v>
      </c>
      <c r="T449" s="36">
        <v>4</v>
      </c>
      <c r="U449" s="37">
        <v>2</v>
      </c>
      <c r="BJ449" s="35">
        <v>30</v>
      </c>
      <c r="BK449" s="36">
        <v>1</v>
      </c>
      <c r="BL449" s="36">
        <v>4</v>
      </c>
      <c r="BM449" s="37">
        <v>3</v>
      </c>
      <c r="BN449" s="39">
        <v>16</v>
      </c>
    </row>
    <row r="450" spans="1:66" s="3" customFormat="1" ht="18" customHeight="1" x14ac:dyDescent="0.2">
      <c r="A450" s="35">
        <v>8</v>
      </c>
      <c r="B450" s="36">
        <v>6</v>
      </c>
      <c r="C450" s="36">
        <v>1</v>
      </c>
      <c r="D450" s="37">
        <v>2</v>
      </c>
      <c r="R450" s="35">
        <v>30</v>
      </c>
      <c r="S450" s="36">
        <v>1</v>
      </c>
      <c r="T450" s="36">
        <v>3</v>
      </c>
      <c r="U450" s="37">
        <v>2</v>
      </c>
      <c r="BJ450" s="35">
        <v>30</v>
      </c>
      <c r="BK450" s="36">
        <v>2</v>
      </c>
      <c r="BL450" s="36">
        <v>3</v>
      </c>
      <c r="BM450" s="37">
        <v>3</v>
      </c>
      <c r="BN450" s="39">
        <v>16</v>
      </c>
    </row>
    <row r="451" spans="1:66" s="3" customFormat="1" ht="18" customHeight="1" x14ac:dyDescent="0.2">
      <c r="A451" s="35">
        <v>8</v>
      </c>
      <c r="B451" s="36">
        <v>6</v>
      </c>
      <c r="C451" s="36">
        <v>1</v>
      </c>
      <c r="D451" s="37">
        <v>3</v>
      </c>
      <c r="R451" s="35">
        <v>30</v>
      </c>
      <c r="S451" s="36">
        <v>1</v>
      </c>
      <c r="T451" s="36">
        <v>4</v>
      </c>
      <c r="U451" s="37">
        <v>2</v>
      </c>
      <c r="BJ451" s="35">
        <v>30</v>
      </c>
      <c r="BK451" s="36">
        <v>2</v>
      </c>
      <c r="BL451" s="36">
        <v>4</v>
      </c>
      <c r="BM451" s="37">
        <v>3</v>
      </c>
      <c r="BN451" s="39">
        <v>16</v>
      </c>
    </row>
    <row r="452" spans="1:66" s="3" customFormat="1" ht="18" customHeight="1" x14ac:dyDescent="0.2">
      <c r="A452" s="35">
        <v>8</v>
      </c>
      <c r="B452" s="36">
        <v>6</v>
      </c>
      <c r="C452" s="36">
        <v>1</v>
      </c>
      <c r="D452" s="37">
        <v>4</v>
      </c>
      <c r="R452" s="35">
        <v>30</v>
      </c>
      <c r="S452" s="36">
        <v>2</v>
      </c>
      <c r="T452" s="36">
        <v>3</v>
      </c>
      <c r="U452" s="37">
        <v>2</v>
      </c>
      <c r="BJ452" s="35">
        <v>30</v>
      </c>
      <c r="BK452" s="36">
        <v>4</v>
      </c>
      <c r="BL452" s="36">
        <v>3</v>
      </c>
      <c r="BM452" s="37">
        <v>3</v>
      </c>
      <c r="BN452" s="39">
        <v>16</v>
      </c>
    </row>
    <row r="453" spans="1:66" s="3" customFormat="1" ht="18" customHeight="1" x14ac:dyDescent="0.2">
      <c r="A453" s="35">
        <v>8</v>
      </c>
      <c r="B453" s="36">
        <v>6</v>
      </c>
      <c r="C453" s="36">
        <v>2</v>
      </c>
      <c r="D453" s="37">
        <v>2</v>
      </c>
      <c r="R453" s="35">
        <v>30</v>
      </c>
      <c r="S453" s="36">
        <v>2</v>
      </c>
      <c r="T453" s="36">
        <v>4</v>
      </c>
      <c r="U453" s="37">
        <v>2</v>
      </c>
      <c r="BJ453" s="35">
        <v>30</v>
      </c>
      <c r="BK453" s="36">
        <v>4</v>
      </c>
      <c r="BL453" s="36">
        <v>4</v>
      </c>
      <c r="BM453" s="37">
        <v>3</v>
      </c>
      <c r="BN453" s="39">
        <v>16</v>
      </c>
    </row>
    <row r="454" spans="1:66" s="3" customFormat="1" ht="18" customHeight="1" x14ac:dyDescent="0.2">
      <c r="A454" s="35">
        <v>8</v>
      </c>
      <c r="B454" s="36">
        <v>6</v>
      </c>
      <c r="C454" s="36">
        <v>2</v>
      </c>
      <c r="D454" s="37">
        <v>3</v>
      </c>
      <c r="R454" s="35">
        <v>30</v>
      </c>
      <c r="S454" s="36">
        <v>4</v>
      </c>
      <c r="T454" s="36">
        <v>3</v>
      </c>
      <c r="U454" s="37">
        <v>2</v>
      </c>
      <c r="BJ454" s="35">
        <v>30</v>
      </c>
      <c r="BK454" s="36">
        <v>7</v>
      </c>
      <c r="BL454" s="36">
        <v>3</v>
      </c>
      <c r="BM454" s="37">
        <v>2</v>
      </c>
      <c r="BN454" s="39">
        <v>16</v>
      </c>
    </row>
    <row r="455" spans="1:66" s="3" customFormat="1" ht="18" customHeight="1" x14ac:dyDescent="0.2">
      <c r="A455" s="35">
        <v>8</v>
      </c>
      <c r="B455" s="36">
        <v>6</v>
      </c>
      <c r="C455" s="36">
        <v>2</v>
      </c>
      <c r="D455" s="37">
        <v>4</v>
      </c>
      <c r="R455" s="35">
        <v>30</v>
      </c>
      <c r="S455" s="36">
        <v>4</v>
      </c>
      <c r="T455" s="36">
        <v>4</v>
      </c>
      <c r="U455" s="37">
        <v>2</v>
      </c>
      <c r="BJ455" s="35">
        <v>30</v>
      </c>
      <c r="BK455" s="36">
        <v>7</v>
      </c>
      <c r="BL455" s="36">
        <v>4</v>
      </c>
      <c r="BM455" s="37">
        <v>2</v>
      </c>
      <c r="BN455" s="39">
        <v>16</v>
      </c>
    </row>
    <row r="456" spans="1:66" s="3" customFormat="1" ht="18" customHeight="1" x14ac:dyDescent="0.2">
      <c r="A456" s="35">
        <v>8</v>
      </c>
      <c r="B456" s="36">
        <v>6</v>
      </c>
      <c r="C456" s="36">
        <v>3</v>
      </c>
      <c r="D456" s="37">
        <v>2</v>
      </c>
      <c r="R456" s="35">
        <v>30</v>
      </c>
      <c r="S456" s="36">
        <v>7</v>
      </c>
      <c r="T456" s="36">
        <v>3</v>
      </c>
      <c r="U456" s="37">
        <v>2</v>
      </c>
      <c r="BJ456" s="35">
        <v>30</v>
      </c>
      <c r="BK456" s="36">
        <v>9</v>
      </c>
      <c r="BL456" s="36">
        <v>3</v>
      </c>
      <c r="BM456" s="37">
        <v>2</v>
      </c>
      <c r="BN456" s="39">
        <v>16</v>
      </c>
    </row>
    <row r="457" spans="1:66" s="3" customFormat="1" ht="18" customHeight="1" x14ac:dyDescent="0.2">
      <c r="A457" s="35">
        <v>8</v>
      </c>
      <c r="B457" s="36">
        <v>6</v>
      </c>
      <c r="C457" s="36">
        <v>3</v>
      </c>
      <c r="D457" s="37">
        <v>3</v>
      </c>
      <c r="R457" s="35">
        <v>30</v>
      </c>
      <c r="S457" s="36">
        <v>7</v>
      </c>
      <c r="T457" s="36">
        <v>4</v>
      </c>
      <c r="U457" s="37">
        <v>2</v>
      </c>
      <c r="BJ457" s="35">
        <v>30</v>
      </c>
      <c r="BK457" s="36">
        <v>9</v>
      </c>
      <c r="BL457" s="36">
        <v>4</v>
      </c>
      <c r="BM457" s="37">
        <v>2</v>
      </c>
      <c r="BN457" s="39">
        <v>16</v>
      </c>
    </row>
    <row r="458" spans="1:66" s="3" customFormat="1" ht="18" customHeight="1" x14ac:dyDescent="0.2">
      <c r="A458" s="35">
        <v>8</v>
      </c>
      <c r="B458" s="36">
        <v>6</v>
      </c>
      <c r="C458" s="36">
        <v>3</v>
      </c>
      <c r="D458" s="37">
        <v>4</v>
      </c>
      <c r="R458" s="35">
        <v>30</v>
      </c>
      <c r="S458" s="36">
        <v>9</v>
      </c>
      <c r="T458" s="36">
        <v>3</v>
      </c>
      <c r="U458" s="37">
        <v>2</v>
      </c>
      <c r="BJ458" s="35">
        <v>31</v>
      </c>
      <c r="BK458" s="36">
        <v>1</v>
      </c>
      <c r="BL458" s="36">
        <v>3</v>
      </c>
      <c r="BM458" s="37">
        <v>2</v>
      </c>
      <c r="BN458" s="39">
        <v>7</v>
      </c>
    </row>
    <row r="459" spans="1:66" s="3" customFormat="1" ht="18" customHeight="1" x14ac:dyDescent="0.2">
      <c r="A459" s="35">
        <v>8</v>
      </c>
      <c r="B459" s="36">
        <v>7</v>
      </c>
      <c r="C459" s="36">
        <v>1</v>
      </c>
      <c r="D459" s="37">
        <v>2</v>
      </c>
      <c r="R459" s="35">
        <v>30</v>
      </c>
      <c r="S459" s="36">
        <v>9</v>
      </c>
      <c r="T459" s="36">
        <v>4</v>
      </c>
      <c r="U459" s="37">
        <v>2</v>
      </c>
      <c r="BJ459" s="35">
        <v>31</v>
      </c>
      <c r="BK459" s="36">
        <v>1</v>
      </c>
      <c r="BL459" s="36">
        <v>4</v>
      </c>
      <c r="BM459" s="37">
        <v>2</v>
      </c>
      <c r="BN459" s="39">
        <v>7</v>
      </c>
    </row>
    <row r="460" spans="1:66" s="3" customFormat="1" ht="18" customHeight="1" x14ac:dyDescent="0.2">
      <c r="A460" s="35">
        <v>8</v>
      </c>
      <c r="B460" s="36">
        <v>7</v>
      </c>
      <c r="C460" s="36">
        <v>1</v>
      </c>
      <c r="D460" s="37">
        <v>3</v>
      </c>
      <c r="R460" s="35">
        <v>31</v>
      </c>
      <c r="S460" s="36">
        <v>1</v>
      </c>
      <c r="T460" s="36">
        <v>3</v>
      </c>
      <c r="U460" s="37">
        <v>1</v>
      </c>
      <c r="BJ460" s="35">
        <v>31</v>
      </c>
      <c r="BK460" s="36">
        <v>2</v>
      </c>
      <c r="BL460" s="36">
        <v>3</v>
      </c>
      <c r="BM460" s="37">
        <v>2</v>
      </c>
      <c r="BN460" s="39">
        <v>7</v>
      </c>
    </row>
    <row r="461" spans="1:66" s="3" customFormat="1" ht="18" customHeight="1" x14ac:dyDescent="0.2">
      <c r="A461" s="35">
        <v>8</v>
      </c>
      <c r="B461" s="36">
        <v>7</v>
      </c>
      <c r="C461" s="36">
        <v>1</v>
      </c>
      <c r="D461" s="37">
        <v>4</v>
      </c>
      <c r="R461" s="35">
        <v>31</v>
      </c>
      <c r="S461" s="36">
        <v>1</v>
      </c>
      <c r="T461" s="36">
        <v>4</v>
      </c>
      <c r="U461" s="37">
        <v>1</v>
      </c>
      <c r="BJ461" s="35">
        <v>31</v>
      </c>
      <c r="BK461" s="36">
        <v>2</v>
      </c>
      <c r="BL461" s="36">
        <v>4</v>
      </c>
      <c r="BM461" s="37">
        <v>2</v>
      </c>
      <c r="BN461" s="39">
        <v>7</v>
      </c>
    </row>
    <row r="462" spans="1:66" s="3" customFormat="1" ht="18" customHeight="1" x14ac:dyDescent="0.2">
      <c r="A462" s="35">
        <v>8</v>
      </c>
      <c r="B462" s="36">
        <v>7</v>
      </c>
      <c r="C462" s="36">
        <v>2</v>
      </c>
      <c r="D462" s="37">
        <v>2</v>
      </c>
      <c r="R462" s="35">
        <v>31</v>
      </c>
      <c r="S462" s="36">
        <v>2</v>
      </c>
      <c r="T462" s="36">
        <v>3</v>
      </c>
      <c r="U462" s="37">
        <v>1</v>
      </c>
      <c r="BJ462" s="35">
        <v>31</v>
      </c>
      <c r="BK462" s="36">
        <v>3</v>
      </c>
      <c r="BL462" s="36">
        <v>3</v>
      </c>
      <c r="BM462" s="37">
        <v>2</v>
      </c>
      <c r="BN462" s="39">
        <v>7</v>
      </c>
    </row>
    <row r="463" spans="1:66" s="3" customFormat="1" ht="18" customHeight="1" x14ac:dyDescent="0.2">
      <c r="A463" s="35">
        <v>8</v>
      </c>
      <c r="B463" s="36">
        <v>7</v>
      </c>
      <c r="C463" s="36">
        <v>2</v>
      </c>
      <c r="D463" s="37">
        <v>3</v>
      </c>
      <c r="R463" s="35">
        <v>31</v>
      </c>
      <c r="S463" s="36">
        <v>2</v>
      </c>
      <c r="T463" s="36">
        <v>4</v>
      </c>
      <c r="U463" s="37">
        <v>1</v>
      </c>
      <c r="BJ463" s="35">
        <v>31</v>
      </c>
      <c r="BK463" s="36">
        <v>3</v>
      </c>
      <c r="BL463" s="36">
        <v>4</v>
      </c>
      <c r="BM463" s="37">
        <v>2</v>
      </c>
      <c r="BN463" s="39">
        <v>7</v>
      </c>
    </row>
    <row r="464" spans="1:66" s="3" customFormat="1" ht="18" customHeight="1" x14ac:dyDescent="0.2">
      <c r="A464" s="35">
        <v>8</v>
      </c>
      <c r="B464" s="36">
        <v>7</v>
      </c>
      <c r="C464" s="36">
        <v>2</v>
      </c>
      <c r="D464" s="37">
        <v>4</v>
      </c>
      <c r="R464" s="35">
        <v>31</v>
      </c>
      <c r="S464" s="36">
        <v>3</v>
      </c>
      <c r="T464" s="36">
        <v>3</v>
      </c>
      <c r="U464" s="37">
        <v>1</v>
      </c>
      <c r="BJ464" s="35">
        <v>31</v>
      </c>
      <c r="BK464" s="36">
        <v>4</v>
      </c>
      <c r="BL464" s="36">
        <v>3</v>
      </c>
      <c r="BM464" s="37">
        <v>2</v>
      </c>
      <c r="BN464" s="39">
        <v>7</v>
      </c>
    </row>
    <row r="465" spans="1:66" s="3" customFormat="1" ht="18" customHeight="1" x14ac:dyDescent="0.2">
      <c r="A465" s="35">
        <v>8</v>
      </c>
      <c r="B465" s="36">
        <v>7</v>
      </c>
      <c r="C465" s="36">
        <v>3</v>
      </c>
      <c r="D465" s="37">
        <v>2</v>
      </c>
      <c r="R465" s="35">
        <v>31</v>
      </c>
      <c r="S465" s="36">
        <v>3</v>
      </c>
      <c r="T465" s="36">
        <v>4</v>
      </c>
      <c r="U465" s="37">
        <v>1</v>
      </c>
      <c r="BJ465" s="35">
        <v>31</v>
      </c>
      <c r="BK465" s="36">
        <v>4</v>
      </c>
      <c r="BL465" s="36">
        <v>4</v>
      </c>
      <c r="BM465" s="37">
        <v>2</v>
      </c>
      <c r="BN465" s="39">
        <v>7</v>
      </c>
    </row>
    <row r="466" spans="1:66" s="3" customFormat="1" ht="18" customHeight="1" x14ac:dyDescent="0.2">
      <c r="A466" s="35">
        <v>8</v>
      </c>
      <c r="B466" s="36">
        <v>7</v>
      </c>
      <c r="C466" s="36">
        <v>3</v>
      </c>
      <c r="D466" s="37">
        <v>3</v>
      </c>
      <c r="R466" s="35">
        <v>31</v>
      </c>
      <c r="S466" s="36">
        <v>4</v>
      </c>
      <c r="T466" s="36">
        <v>3</v>
      </c>
      <c r="U466" s="37">
        <v>1</v>
      </c>
      <c r="BJ466" s="35">
        <v>31</v>
      </c>
      <c r="BK466" s="36">
        <v>5</v>
      </c>
      <c r="BL466" s="36">
        <v>3</v>
      </c>
      <c r="BM466" s="37">
        <v>2</v>
      </c>
      <c r="BN466" s="39">
        <v>7</v>
      </c>
    </row>
    <row r="467" spans="1:66" s="3" customFormat="1" ht="18" customHeight="1" x14ac:dyDescent="0.2">
      <c r="A467" s="35">
        <v>8</v>
      </c>
      <c r="B467" s="36">
        <v>7</v>
      </c>
      <c r="C467" s="36">
        <v>3</v>
      </c>
      <c r="D467" s="37">
        <v>4</v>
      </c>
      <c r="R467" s="35">
        <v>31</v>
      </c>
      <c r="S467" s="36">
        <v>4</v>
      </c>
      <c r="T467" s="36">
        <v>4</v>
      </c>
      <c r="U467" s="37">
        <v>1</v>
      </c>
      <c r="BJ467" s="35">
        <v>31</v>
      </c>
      <c r="BK467" s="36">
        <v>5</v>
      </c>
      <c r="BL467" s="36">
        <v>4</v>
      </c>
      <c r="BM467" s="37">
        <v>2</v>
      </c>
      <c r="BN467" s="39">
        <v>7</v>
      </c>
    </row>
    <row r="468" spans="1:66" s="3" customFormat="1" ht="18" customHeight="1" x14ac:dyDescent="0.2">
      <c r="A468" s="35">
        <v>8</v>
      </c>
      <c r="B468" s="36">
        <v>9</v>
      </c>
      <c r="C468" s="36">
        <v>1</v>
      </c>
      <c r="D468" s="37">
        <v>2</v>
      </c>
      <c r="R468" s="35">
        <v>31</v>
      </c>
      <c r="S468" s="36">
        <v>5</v>
      </c>
      <c r="T468" s="36">
        <v>3</v>
      </c>
      <c r="U468" s="37">
        <v>1</v>
      </c>
      <c r="BJ468" s="35">
        <v>31</v>
      </c>
      <c r="BK468" s="36">
        <v>6</v>
      </c>
      <c r="BL468" s="36">
        <v>3</v>
      </c>
      <c r="BM468" s="37">
        <v>1</v>
      </c>
      <c r="BN468" s="39">
        <v>7</v>
      </c>
    </row>
    <row r="469" spans="1:66" s="3" customFormat="1" ht="18" customHeight="1" x14ac:dyDescent="0.2">
      <c r="A469" s="35">
        <v>8</v>
      </c>
      <c r="B469" s="36">
        <v>9</v>
      </c>
      <c r="C469" s="36">
        <v>1</v>
      </c>
      <c r="D469" s="37">
        <v>3</v>
      </c>
      <c r="R469" s="35">
        <v>31</v>
      </c>
      <c r="S469" s="36">
        <v>5</v>
      </c>
      <c r="T469" s="36">
        <v>4</v>
      </c>
      <c r="U469" s="37">
        <v>1</v>
      </c>
      <c r="BJ469" s="35">
        <v>31</v>
      </c>
      <c r="BK469" s="36">
        <v>6</v>
      </c>
      <c r="BL469" s="36">
        <v>4</v>
      </c>
      <c r="BM469" s="37">
        <v>1</v>
      </c>
      <c r="BN469" s="39">
        <v>7</v>
      </c>
    </row>
    <row r="470" spans="1:66" s="3" customFormat="1" ht="18" customHeight="1" x14ac:dyDescent="0.2">
      <c r="A470" s="35">
        <v>8</v>
      </c>
      <c r="B470" s="36">
        <v>9</v>
      </c>
      <c r="C470" s="36">
        <v>1</v>
      </c>
      <c r="D470" s="37">
        <v>4</v>
      </c>
      <c r="R470" s="35">
        <v>31</v>
      </c>
      <c r="S470" s="36">
        <v>6</v>
      </c>
      <c r="T470" s="36">
        <v>3</v>
      </c>
      <c r="U470" s="37">
        <v>1</v>
      </c>
      <c r="BJ470" s="35">
        <v>31</v>
      </c>
      <c r="BK470" s="36">
        <v>7</v>
      </c>
      <c r="BL470" s="36">
        <v>3</v>
      </c>
      <c r="BM470" s="37">
        <v>1</v>
      </c>
      <c r="BN470" s="39">
        <v>7</v>
      </c>
    </row>
    <row r="471" spans="1:66" s="3" customFormat="1" ht="18" customHeight="1" x14ac:dyDescent="0.2">
      <c r="A471" s="35">
        <v>8</v>
      </c>
      <c r="B471" s="36">
        <v>9</v>
      </c>
      <c r="C471" s="36">
        <v>2</v>
      </c>
      <c r="D471" s="37">
        <v>2</v>
      </c>
      <c r="R471" s="35">
        <v>31</v>
      </c>
      <c r="S471" s="36">
        <v>6</v>
      </c>
      <c r="T471" s="36">
        <v>4</v>
      </c>
      <c r="U471" s="37">
        <v>1</v>
      </c>
      <c r="BJ471" s="35">
        <v>31</v>
      </c>
      <c r="BK471" s="36">
        <v>7</v>
      </c>
      <c r="BL471" s="36">
        <v>4</v>
      </c>
      <c r="BM471" s="37">
        <v>1</v>
      </c>
      <c r="BN471" s="39">
        <v>7</v>
      </c>
    </row>
    <row r="472" spans="1:66" s="3" customFormat="1" ht="18" customHeight="1" x14ac:dyDescent="0.2">
      <c r="A472" s="35">
        <v>8</v>
      </c>
      <c r="B472" s="36">
        <v>9</v>
      </c>
      <c r="C472" s="36">
        <v>2</v>
      </c>
      <c r="D472" s="37">
        <v>3</v>
      </c>
      <c r="R472" s="35">
        <v>31</v>
      </c>
      <c r="S472" s="36">
        <v>7</v>
      </c>
      <c r="T472" s="36">
        <v>3</v>
      </c>
      <c r="U472" s="37">
        <v>1</v>
      </c>
      <c r="BJ472" s="35">
        <v>31</v>
      </c>
      <c r="BK472" s="36">
        <v>8</v>
      </c>
      <c r="BL472" s="36">
        <v>3</v>
      </c>
      <c r="BM472" s="37">
        <v>1</v>
      </c>
      <c r="BN472" s="39">
        <v>7</v>
      </c>
    </row>
    <row r="473" spans="1:66" s="3" customFormat="1" ht="18" customHeight="1" x14ac:dyDescent="0.2">
      <c r="A473" s="35">
        <v>8</v>
      </c>
      <c r="B473" s="36">
        <v>9</v>
      </c>
      <c r="C473" s="36">
        <v>2</v>
      </c>
      <c r="D473" s="37">
        <v>4</v>
      </c>
      <c r="R473" s="35">
        <v>31</v>
      </c>
      <c r="S473" s="36">
        <v>7</v>
      </c>
      <c r="T473" s="36">
        <v>4</v>
      </c>
      <c r="U473" s="37">
        <v>1</v>
      </c>
      <c r="BJ473" s="35">
        <v>31</v>
      </c>
      <c r="BK473" s="36">
        <v>8</v>
      </c>
      <c r="BL473" s="36">
        <v>4</v>
      </c>
      <c r="BM473" s="37">
        <v>1</v>
      </c>
      <c r="BN473" s="39">
        <v>7</v>
      </c>
    </row>
    <row r="474" spans="1:66" s="3" customFormat="1" ht="18" customHeight="1" x14ac:dyDescent="0.2">
      <c r="A474" s="35">
        <v>8</v>
      </c>
      <c r="B474" s="36">
        <v>9</v>
      </c>
      <c r="C474" s="36">
        <v>3</v>
      </c>
      <c r="D474" s="37">
        <v>2</v>
      </c>
      <c r="R474" s="35">
        <v>31</v>
      </c>
      <c r="S474" s="36">
        <v>8</v>
      </c>
      <c r="T474" s="36">
        <v>3</v>
      </c>
      <c r="U474" s="37">
        <v>1</v>
      </c>
      <c r="BJ474" s="35">
        <v>31</v>
      </c>
      <c r="BK474" s="36">
        <v>9</v>
      </c>
      <c r="BL474" s="36">
        <v>3</v>
      </c>
      <c r="BM474" s="37">
        <v>1</v>
      </c>
      <c r="BN474" s="39">
        <v>7</v>
      </c>
    </row>
    <row r="475" spans="1:66" s="3" customFormat="1" ht="18" customHeight="1" x14ac:dyDescent="0.2">
      <c r="A475" s="35">
        <v>8</v>
      </c>
      <c r="B475" s="36">
        <v>9</v>
      </c>
      <c r="C475" s="36">
        <v>3</v>
      </c>
      <c r="D475" s="37">
        <v>3</v>
      </c>
      <c r="R475" s="35">
        <v>31</v>
      </c>
      <c r="S475" s="36">
        <v>8</v>
      </c>
      <c r="T475" s="36">
        <v>4</v>
      </c>
      <c r="U475" s="37">
        <v>1</v>
      </c>
      <c r="BJ475" s="35">
        <v>31</v>
      </c>
      <c r="BK475" s="36">
        <v>9</v>
      </c>
      <c r="BL475" s="36">
        <v>4</v>
      </c>
      <c r="BM475" s="37">
        <v>1</v>
      </c>
      <c r="BN475" s="39">
        <v>7</v>
      </c>
    </row>
    <row r="476" spans="1:66" s="3" customFormat="1" ht="18" customHeight="1" x14ac:dyDescent="0.2">
      <c r="A476" s="35">
        <v>8</v>
      </c>
      <c r="B476" s="36">
        <v>9</v>
      </c>
      <c r="C476" s="36">
        <v>3</v>
      </c>
      <c r="D476" s="37">
        <v>4</v>
      </c>
      <c r="R476" s="35">
        <v>31</v>
      </c>
      <c r="S476" s="36">
        <v>9</v>
      </c>
      <c r="T476" s="36">
        <v>3</v>
      </c>
      <c r="U476" s="37">
        <v>1</v>
      </c>
      <c r="BJ476" s="35">
        <v>31</v>
      </c>
      <c r="BK476" s="36">
        <v>10</v>
      </c>
      <c r="BL476" s="36">
        <v>3</v>
      </c>
      <c r="BM476" s="37">
        <v>1</v>
      </c>
      <c r="BN476" s="39">
        <v>7</v>
      </c>
    </row>
    <row r="477" spans="1:66" s="3" customFormat="1" ht="18" customHeight="1" x14ac:dyDescent="0.2">
      <c r="A477" s="35">
        <v>9</v>
      </c>
      <c r="B477" s="36">
        <v>4</v>
      </c>
      <c r="C477" s="36">
        <v>1</v>
      </c>
      <c r="D477" s="37">
        <v>2</v>
      </c>
      <c r="R477" s="35">
        <v>31</v>
      </c>
      <c r="S477" s="36">
        <v>9</v>
      </c>
      <c r="T477" s="36">
        <v>4</v>
      </c>
      <c r="U477" s="37">
        <v>1</v>
      </c>
      <c r="BJ477" s="35">
        <v>31</v>
      </c>
      <c r="BK477" s="36">
        <v>10</v>
      </c>
      <c r="BL477" s="36">
        <v>4</v>
      </c>
      <c r="BM477" s="37">
        <v>1</v>
      </c>
      <c r="BN477" s="39">
        <v>7</v>
      </c>
    </row>
    <row r="478" spans="1:66" s="3" customFormat="1" ht="18" customHeight="1" x14ac:dyDescent="0.2">
      <c r="A478" s="35">
        <v>9</v>
      </c>
      <c r="B478" s="36">
        <v>4</v>
      </c>
      <c r="C478" s="36">
        <v>1</v>
      </c>
      <c r="D478" s="37">
        <v>3</v>
      </c>
      <c r="R478" s="35">
        <v>31</v>
      </c>
      <c r="S478" s="36">
        <v>10</v>
      </c>
      <c r="T478" s="36">
        <v>3</v>
      </c>
      <c r="U478" s="37">
        <v>1</v>
      </c>
      <c r="BJ478" s="35">
        <v>32</v>
      </c>
      <c r="BK478" s="36">
        <v>1</v>
      </c>
      <c r="BL478" s="36">
        <v>3</v>
      </c>
      <c r="BM478" s="37">
        <v>2</v>
      </c>
      <c r="BN478" s="39">
        <v>7</v>
      </c>
    </row>
    <row r="479" spans="1:66" s="3" customFormat="1" ht="18" customHeight="1" x14ac:dyDescent="0.2">
      <c r="A479" s="35">
        <v>9</v>
      </c>
      <c r="B479" s="36">
        <v>4</v>
      </c>
      <c r="C479" s="36">
        <v>1</v>
      </c>
      <c r="D479" s="37">
        <v>4</v>
      </c>
      <c r="R479" s="35">
        <v>31</v>
      </c>
      <c r="S479" s="36">
        <v>10</v>
      </c>
      <c r="T479" s="36">
        <v>4</v>
      </c>
      <c r="U479" s="37">
        <v>1</v>
      </c>
      <c r="BJ479" s="35">
        <v>32</v>
      </c>
      <c r="BK479" s="36">
        <v>1</v>
      </c>
      <c r="BL479" s="36">
        <v>4</v>
      </c>
      <c r="BM479" s="37">
        <v>2</v>
      </c>
      <c r="BN479" s="39">
        <v>7</v>
      </c>
    </row>
    <row r="480" spans="1:66" s="3" customFormat="1" ht="18" customHeight="1" x14ac:dyDescent="0.2">
      <c r="A480" s="35">
        <v>9</v>
      </c>
      <c r="B480" s="36">
        <v>4</v>
      </c>
      <c r="C480" s="36">
        <v>2</v>
      </c>
      <c r="D480" s="37">
        <v>2</v>
      </c>
      <c r="R480" s="35">
        <v>32</v>
      </c>
      <c r="S480" s="36">
        <v>1</v>
      </c>
      <c r="T480" s="36">
        <v>3</v>
      </c>
      <c r="U480" s="37">
        <v>1</v>
      </c>
      <c r="BJ480" s="35">
        <v>32</v>
      </c>
      <c r="BK480" s="36">
        <v>2</v>
      </c>
      <c r="BL480" s="36">
        <v>3</v>
      </c>
      <c r="BM480" s="37">
        <v>2</v>
      </c>
      <c r="BN480" s="39">
        <v>7</v>
      </c>
    </row>
    <row r="481" spans="1:66" s="3" customFormat="1" ht="18" customHeight="1" x14ac:dyDescent="0.2">
      <c r="A481" s="35">
        <v>9</v>
      </c>
      <c r="B481" s="36">
        <v>4</v>
      </c>
      <c r="C481" s="36">
        <v>2</v>
      </c>
      <c r="D481" s="37">
        <v>3</v>
      </c>
      <c r="R481" s="35">
        <v>32</v>
      </c>
      <c r="S481" s="36">
        <v>1</v>
      </c>
      <c r="T481" s="36">
        <v>4</v>
      </c>
      <c r="U481" s="37">
        <v>1</v>
      </c>
      <c r="BJ481" s="35">
        <v>32</v>
      </c>
      <c r="BK481" s="36">
        <v>2</v>
      </c>
      <c r="BL481" s="36">
        <v>4</v>
      </c>
      <c r="BM481" s="37">
        <v>2</v>
      </c>
      <c r="BN481" s="39">
        <v>7</v>
      </c>
    </row>
    <row r="482" spans="1:66" s="3" customFormat="1" ht="18" customHeight="1" x14ac:dyDescent="0.2">
      <c r="A482" s="35">
        <v>9</v>
      </c>
      <c r="B482" s="36">
        <v>4</v>
      </c>
      <c r="C482" s="36">
        <v>2</v>
      </c>
      <c r="D482" s="37">
        <v>4</v>
      </c>
      <c r="R482" s="35">
        <v>32</v>
      </c>
      <c r="S482" s="36">
        <v>2</v>
      </c>
      <c r="T482" s="36">
        <v>3</v>
      </c>
      <c r="U482" s="37">
        <v>1</v>
      </c>
      <c r="BJ482" s="35">
        <v>32</v>
      </c>
      <c r="BK482" s="36">
        <v>3</v>
      </c>
      <c r="BL482" s="36">
        <v>3</v>
      </c>
      <c r="BM482" s="37">
        <v>2</v>
      </c>
      <c r="BN482" s="39">
        <v>7</v>
      </c>
    </row>
    <row r="483" spans="1:66" s="3" customFormat="1" ht="18" customHeight="1" x14ac:dyDescent="0.2">
      <c r="A483" s="35">
        <v>9</v>
      </c>
      <c r="B483" s="36">
        <v>4</v>
      </c>
      <c r="C483" s="36">
        <v>3</v>
      </c>
      <c r="D483" s="37">
        <v>2</v>
      </c>
      <c r="R483" s="35">
        <v>32</v>
      </c>
      <c r="S483" s="36">
        <v>2</v>
      </c>
      <c r="T483" s="36">
        <v>4</v>
      </c>
      <c r="U483" s="37">
        <v>1</v>
      </c>
      <c r="BJ483" s="35">
        <v>32</v>
      </c>
      <c r="BK483" s="36">
        <v>3</v>
      </c>
      <c r="BL483" s="36">
        <v>4</v>
      </c>
      <c r="BM483" s="37">
        <v>2</v>
      </c>
      <c r="BN483" s="39">
        <v>7</v>
      </c>
    </row>
    <row r="484" spans="1:66" s="3" customFormat="1" ht="18" customHeight="1" x14ac:dyDescent="0.2">
      <c r="A484" s="35">
        <v>9</v>
      </c>
      <c r="B484" s="36">
        <v>4</v>
      </c>
      <c r="C484" s="36">
        <v>3</v>
      </c>
      <c r="D484" s="37">
        <v>3</v>
      </c>
      <c r="R484" s="35">
        <v>32</v>
      </c>
      <c r="S484" s="36">
        <v>3</v>
      </c>
      <c r="T484" s="36">
        <v>3</v>
      </c>
      <c r="U484" s="37">
        <v>1</v>
      </c>
      <c r="BJ484" s="35">
        <v>32</v>
      </c>
      <c r="BK484" s="36">
        <v>4</v>
      </c>
      <c r="BL484" s="36">
        <v>3</v>
      </c>
      <c r="BM484" s="37">
        <v>2</v>
      </c>
      <c r="BN484" s="39">
        <v>7</v>
      </c>
    </row>
    <row r="485" spans="1:66" s="3" customFormat="1" ht="18" customHeight="1" x14ac:dyDescent="0.2">
      <c r="A485" s="35">
        <v>9</v>
      </c>
      <c r="B485" s="36">
        <v>4</v>
      </c>
      <c r="C485" s="36">
        <v>3</v>
      </c>
      <c r="D485" s="37">
        <v>4</v>
      </c>
      <c r="R485" s="35">
        <v>32</v>
      </c>
      <c r="S485" s="36">
        <v>3</v>
      </c>
      <c r="T485" s="36">
        <v>4</v>
      </c>
      <c r="U485" s="37">
        <v>1</v>
      </c>
      <c r="BJ485" s="35">
        <v>32</v>
      </c>
      <c r="BK485" s="36">
        <v>4</v>
      </c>
      <c r="BL485" s="36">
        <v>4</v>
      </c>
      <c r="BM485" s="37">
        <v>2</v>
      </c>
      <c r="BN485" s="39">
        <v>7</v>
      </c>
    </row>
    <row r="486" spans="1:66" s="3" customFormat="1" ht="18" customHeight="1" x14ac:dyDescent="0.2">
      <c r="A486" s="35">
        <v>9</v>
      </c>
      <c r="B486" s="36">
        <v>7</v>
      </c>
      <c r="C486" s="36">
        <v>1</v>
      </c>
      <c r="D486" s="37">
        <v>2</v>
      </c>
      <c r="R486" s="35">
        <v>32</v>
      </c>
      <c r="S486" s="36">
        <v>4</v>
      </c>
      <c r="T486" s="36">
        <v>3</v>
      </c>
      <c r="U486" s="37">
        <v>1</v>
      </c>
      <c r="BJ486" s="35">
        <v>32</v>
      </c>
      <c r="BK486" s="36">
        <v>5</v>
      </c>
      <c r="BL486" s="36">
        <v>3</v>
      </c>
      <c r="BM486" s="37">
        <v>2</v>
      </c>
      <c r="BN486" s="39">
        <v>7</v>
      </c>
    </row>
    <row r="487" spans="1:66" s="3" customFormat="1" ht="18" customHeight="1" x14ac:dyDescent="0.2">
      <c r="A487" s="35">
        <v>9</v>
      </c>
      <c r="B487" s="36">
        <v>7</v>
      </c>
      <c r="C487" s="36">
        <v>1</v>
      </c>
      <c r="D487" s="37">
        <v>3</v>
      </c>
      <c r="R487" s="35">
        <v>32</v>
      </c>
      <c r="S487" s="36">
        <v>4</v>
      </c>
      <c r="T487" s="36">
        <v>4</v>
      </c>
      <c r="U487" s="37">
        <v>1</v>
      </c>
      <c r="BJ487" s="35">
        <v>32</v>
      </c>
      <c r="BK487" s="36">
        <v>5</v>
      </c>
      <c r="BL487" s="36">
        <v>4</v>
      </c>
      <c r="BM487" s="37">
        <v>2</v>
      </c>
      <c r="BN487" s="39">
        <v>7</v>
      </c>
    </row>
    <row r="488" spans="1:66" s="3" customFormat="1" ht="18" customHeight="1" x14ac:dyDescent="0.2">
      <c r="A488" s="35">
        <v>9</v>
      </c>
      <c r="B488" s="36">
        <v>7</v>
      </c>
      <c r="C488" s="36">
        <v>1</v>
      </c>
      <c r="D488" s="37">
        <v>4</v>
      </c>
      <c r="R488" s="35">
        <v>32</v>
      </c>
      <c r="S488" s="36">
        <v>5</v>
      </c>
      <c r="T488" s="36">
        <v>3</v>
      </c>
      <c r="U488" s="37">
        <v>1</v>
      </c>
      <c r="BJ488" s="35">
        <v>32</v>
      </c>
      <c r="BK488" s="36">
        <v>6</v>
      </c>
      <c r="BL488" s="36">
        <v>3</v>
      </c>
      <c r="BM488" s="37">
        <v>1</v>
      </c>
      <c r="BN488" s="39">
        <v>7</v>
      </c>
    </row>
    <row r="489" spans="1:66" s="3" customFormat="1" ht="18" customHeight="1" x14ac:dyDescent="0.2">
      <c r="A489" s="35">
        <v>9</v>
      </c>
      <c r="B489" s="36">
        <v>7</v>
      </c>
      <c r="C489" s="36">
        <v>2</v>
      </c>
      <c r="D489" s="37">
        <v>2</v>
      </c>
      <c r="R489" s="35">
        <v>32</v>
      </c>
      <c r="S489" s="36">
        <v>5</v>
      </c>
      <c r="T489" s="36">
        <v>4</v>
      </c>
      <c r="U489" s="37">
        <v>1</v>
      </c>
      <c r="BJ489" s="35">
        <v>32</v>
      </c>
      <c r="BK489" s="36">
        <v>6</v>
      </c>
      <c r="BL489" s="36">
        <v>4</v>
      </c>
      <c r="BM489" s="37">
        <v>1</v>
      </c>
      <c r="BN489" s="39">
        <v>7</v>
      </c>
    </row>
    <row r="490" spans="1:66" s="3" customFormat="1" ht="18" customHeight="1" x14ac:dyDescent="0.2">
      <c r="A490" s="35">
        <v>9</v>
      </c>
      <c r="B490" s="36">
        <v>7</v>
      </c>
      <c r="C490" s="36">
        <v>2</v>
      </c>
      <c r="D490" s="37">
        <v>3</v>
      </c>
      <c r="R490" s="35">
        <v>32</v>
      </c>
      <c r="S490" s="36">
        <v>6</v>
      </c>
      <c r="T490" s="36">
        <v>3</v>
      </c>
      <c r="U490" s="37">
        <v>1</v>
      </c>
      <c r="BJ490" s="35">
        <v>32</v>
      </c>
      <c r="BK490" s="36">
        <v>7</v>
      </c>
      <c r="BL490" s="36">
        <v>3</v>
      </c>
      <c r="BM490" s="37">
        <v>1</v>
      </c>
      <c r="BN490" s="39">
        <v>7</v>
      </c>
    </row>
    <row r="491" spans="1:66" s="3" customFormat="1" ht="18" customHeight="1" x14ac:dyDescent="0.2">
      <c r="A491" s="35">
        <v>9</v>
      </c>
      <c r="B491" s="36">
        <v>7</v>
      </c>
      <c r="C491" s="36">
        <v>2</v>
      </c>
      <c r="D491" s="37">
        <v>4</v>
      </c>
      <c r="R491" s="35">
        <v>32</v>
      </c>
      <c r="S491" s="36">
        <v>6</v>
      </c>
      <c r="T491" s="36">
        <v>4</v>
      </c>
      <c r="U491" s="37">
        <v>1</v>
      </c>
      <c r="BJ491" s="35">
        <v>32</v>
      </c>
      <c r="BK491" s="36">
        <v>7</v>
      </c>
      <c r="BL491" s="36">
        <v>4</v>
      </c>
      <c r="BM491" s="37">
        <v>1</v>
      </c>
      <c r="BN491" s="39">
        <v>7</v>
      </c>
    </row>
    <row r="492" spans="1:66" s="3" customFormat="1" ht="18" customHeight="1" x14ac:dyDescent="0.2">
      <c r="A492" s="35">
        <v>9</v>
      </c>
      <c r="B492" s="36">
        <v>7</v>
      </c>
      <c r="C492" s="36">
        <v>3</v>
      </c>
      <c r="D492" s="37">
        <v>2</v>
      </c>
      <c r="R492" s="35">
        <v>32</v>
      </c>
      <c r="S492" s="36">
        <v>7</v>
      </c>
      <c r="T492" s="36">
        <v>3</v>
      </c>
      <c r="U492" s="37">
        <v>1</v>
      </c>
      <c r="BJ492" s="35">
        <v>32</v>
      </c>
      <c r="BK492" s="36">
        <v>8</v>
      </c>
      <c r="BL492" s="36">
        <v>3</v>
      </c>
      <c r="BM492" s="37">
        <v>1</v>
      </c>
      <c r="BN492" s="39">
        <v>7</v>
      </c>
    </row>
    <row r="493" spans="1:66" s="3" customFormat="1" ht="18" customHeight="1" x14ac:dyDescent="0.2">
      <c r="A493" s="35">
        <v>9</v>
      </c>
      <c r="B493" s="36">
        <v>7</v>
      </c>
      <c r="C493" s="36">
        <v>3</v>
      </c>
      <c r="D493" s="37">
        <v>3</v>
      </c>
      <c r="R493" s="35">
        <v>32</v>
      </c>
      <c r="S493" s="36">
        <v>7</v>
      </c>
      <c r="T493" s="36">
        <v>4</v>
      </c>
      <c r="U493" s="37">
        <v>1</v>
      </c>
      <c r="BJ493" s="35">
        <v>32</v>
      </c>
      <c r="BK493" s="36">
        <v>8</v>
      </c>
      <c r="BL493" s="36">
        <v>4</v>
      </c>
      <c r="BM493" s="37">
        <v>1</v>
      </c>
      <c r="BN493" s="39">
        <v>7</v>
      </c>
    </row>
    <row r="494" spans="1:66" s="3" customFormat="1" ht="18" customHeight="1" x14ac:dyDescent="0.2">
      <c r="A494" s="35">
        <v>9</v>
      </c>
      <c r="B494" s="36">
        <v>7</v>
      </c>
      <c r="C494" s="36">
        <v>3</v>
      </c>
      <c r="D494" s="37">
        <v>4</v>
      </c>
      <c r="R494" s="35">
        <v>32</v>
      </c>
      <c r="S494" s="36">
        <v>8</v>
      </c>
      <c r="T494" s="36">
        <v>3</v>
      </c>
      <c r="U494" s="37">
        <v>1</v>
      </c>
      <c r="BJ494" s="35">
        <v>32</v>
      </c>
      <c r="BK494" s="36">
        <v>9</v>
      </c>
      <c r="BL494" s="36">
        <v>3</v>
      </c>
      <c r="BM494" s="37">
        <v>1</v>
      </c>
      <c r="BN494" s="39">
        <v>7</v>
      </c>
    </row>
    <row r="495" spans="1:66" s="3" customFormat="1" ht="18" customHeight="1" x14ac:dyDescent="0.2">
      <c r="A495" s="35">
        <v>9</v>
      </c>
      <c r="B495" s="36">
        <v>9</v>
      </c>
      <c r="C495" s="36">
        <v>1</v>
      </c>
      <c r="D495" s="37">
        <v>2</v>
      </c>
      <c r="R495" s="35">
        <v>32</v>
      </c>
      <c r="S495" s="36">
        <v>8</v>
      </c>
      <c r="T495" s="36">
        <v>4</v>
      </c>
      <c r="U495" s="37">
        <v>1</v>
      </c>
      <c r="BJ495" s="35">
        <v>32</v>
      </c>
      <c r="BK495" s="36">
        <v>9</v>
      </c>
      <c r="BL495" s="36">
        <v>4</v>
      </c>
      <c r="BM495" s="37">
        <v>1</v>
      </c>
      <c r="BN495" s="39">
        <v>7</v>
      </c>
    </row>
    <row r="496" spans="1:66" s="3" customFormat="1" ht="18" customHeight="1" x14ac:dyDescent="0.2">
      <c r="A496" s="35">
        <v>9</v>
      </c>
      <c r="B496" s="36">
        <v>9</v>
      </c>
      <c r="C496" s="36">
        <v>1</v>
      </c>
      <c r="D496" s="37">
        <v>3</v>
      </c>
      <c r="R496" s="35">
        <v>32</v>
      </c>
      <c r="S496" s="36">
        <v>9</v>
      </c>
      <c r="T496" s="36">
        <v>3</v>
      </c>
      <c r="U496" s="37">
        <v>1</v>
      </c>
      <c r="BJ496" s="35">
        <v>32</v>
      </c>
      <c r="BK496" s="36">
        <v>10</v>
      </c>
      <c r="BL496" s="36">
        <v>3</v>
      </c>
      <c r="BM496" s="37">
        <v>1</v>
      </c>
      <c r="BN496" s="39">
        <v>7</v>
      </c>
    </row>
    <row r="497" spans="1:66" s="3" customFormat="1" ht="18" customHeight="1" x14ac:dyDescent="0.2">
      <c r="A497" s="35">
        <v>9</v>
      </c>
      <c r="B497" s="36">
        <v>9</v>
      </c>
      <c r="C497" s="36">
        <v>1</v>
      </c>
      <c r="D497" s="37">
        <v>4</v>
      </c>
      <c r="R497" s="35">
        <v>32</v>
      </c>
      <c r="S497" s="36">
        <v>9</v>
      </c>
      <c r="T497" s="36">
        <v>4</v>
      </c>
      <c r="U497" s="37">
        <v>1</v>
      </c>
      <c r="BJ497" s="35">
        <v>32</v>
      </c>
      <c r="BK497" s="36">
        <v>10</v>
      </c>
      <c r="BL497" s="36">
        <v>4</v>
      </c>
      <c r="BM497" s="37">
        <v>1</v>
      </c>
      <c r="BN497" s="39">
        <v>7</v>
      </c>
    </row>
    <row r="498" spans="1:66" s="3" customFormat="1" ht="18" customHeight="1" x14ac:dyDescent="0.2">
      <c r="A498" s="35">
        <v>9</v>
      </c>
      <c r="B498" s="36">
        <v>9</v>
      </c>
      <c r="C498" s="36">
        <v>2</v>
      </c>
      <c r="D498" s="37">
        <v>2</v>
      </c>
      <c r="R498" s="35">
        <v>32</v>
      </c>
      <c r="S498" s="36">
        <v>10</v>
      </c>
      <c r="T498" s="36">
        <v>3</v>
      </c>
      <c r="U498" s="37">
        <v>1</v>
      </c>
      <c r="BJ498" s="35">
        <v>33</v>
      </c>
      <c r="BK498" s="36">
        <v>1</v>
      </c>
      <c r="BL498" s="36">
        <v>3</v>
      </c>
      <c r="BM498" s="37">
        <v>2</v>
      </c>
      <c r="BN498" s="39">
        <v>7</v>
      </c>
    </row>
    <row r="499" spans="1:66" s="3" customFormat="1" ht="18" customHeight="1" x14ac:dyDescent="0.2">
      <c r="A499" s="35">
        <v>9</v>
      </c>
      <c r="B499" s="36">
        <v>9</v>
      </c>
      <c r="C499" s="36">
        <v>2</v>
      </c>
      <c r="D499" s="37">
        <v>3</v>
      </c>
      <c r="R499" s="35">
        <v>32</v>
      </c>
      <c r="S499" s="36">
        <v>10</v>
      </c>
      <c r="T499" s="36">
        <v>4</v>
      </c>
      <c r="U499" s="37">
        <v>1</v>
      </c>
      <c r="BJ499" s="35">
        <v>33</v>
      </c>
      <c r="BK499" s="36">
        <v>1</v>
      </c>
      <c r="BL499" s="36">
        <v>4</v>
      </c>
      <c r="BM499" s="37">
        <v>2</v>
      </c>
      <c r="BN499" s="39">
        <v>7</v>
      </c>
    </row>
    <row r="500" spans="1:66" s="3" customFormat="1" ht="18" customHeight="1" x14ac:dyDescent="0.2">
      <c r="A500" s="35">
        <v>9</v>
      </c>
      <c r="B500" s="36">
        <v>9</v>
      </c>
      <c r="C500" s="36">
        <v>2</v>
      </c>
      <c r="D500" s="37">
        <v>4</v>
      </c>
      <c r="R500" s="35">
        <v>33</v>
      </c>
      <c r="S500" s="36">
        <v>1</v>
      </c>
      <c r="T500" s="36">
        <v>3</v>
      </c>
      <c r="U500" s="37">
        <v>1</v>
      </c>
      <c r="BJ500" s="35">
        <v>33</v>
      </c>
      <c r="BK500" s="36">
        <v>2</v>
      </c>
      <c r="BL500" s="36">
        <v>3</v>
      </c>
      <c r="BM500" s="37">
        <v>2</v>
      </c>
      <c r="BN500" s="39">
        <v>7</v>
      </c>
    </row>
    <row r="501" spans="1:66" s="3" customFormat="1" ht="18" customHeight="1" x14ac:dyDescent="0.2">
      <c r="A501" s="35">
        <v>9</v>
      </c>
      <c r="B501" s="36">
        <v>9</v>
      </c>
      <c r="C501" s="36">
        <v>3</v>
      </c>
      <c r="D501" s="37">
        <v>2</v>
      </c>
      <c r="R501" s="35">
        <v>33</v>
      </c>
      <c r="S501" s="36">
        <v>1</v>
      </c>
      <c r="T501" s="36">
        <v>4</v>
      </c>
      <c r="U501" s="37">
        <v>1</v>
      </c>
      <c r="BJ501" s="35">
        <v>33</v>
      </c>
      <c r="BK501" s="36">
        <v>2</v>
      </c>
      <c r="BL501" s="36">
        <v>4</v>
      </c>
      <c r="BM501" s="37">
        <v>2</v>
      </c>
      <c r="BN501" s="39">
        <v>7</v>
      </c>
    </row>
    <row r="502" spans="1:66" s="3" customFormat="1" ht="18" customHeight="1" x14ac:dyDescent="0.2">
      <c r="A502" s="35">
        <v>9</v>
      </c>
      <c r="B502" s="36">
        <v>9</v>
      </c>
      <c r="C502" s="36">
        <v>3</v>
      </c>
      <c r="D502" s="37">
        <v>3</v>
      </c>
      <c r="R502" s="35">
        <v>33</v>
      </c>
      <c r="S502" s="36">
        <v>2</v>
      </c>
      <c r="T502" s="36">
        <v>3</v>
      </c>
      <c r="U502" s="37">
        <v>1</v>
      </c>
      <c r="BJ502" s="35">
        <v>33</v>
      </c>
      <c r="BK502" s="36">
        <v>3</v>
      </c>
      <c r="BL502" s="36">
        <v>3</v>
      </c>
      <c r="BM502" s="37">
        <v>2</v>
      </c>
      <c r="BN502" s="39">
        <v>7</v>
      </c>
    </row>
    <row r="503" spans="1:66" s="3" customFormat="1" ht="18" customHeight="1" x14ac:dyDescent="0.2">
      <c r="A503" s="35">
        <v>9</v>
      </c>
      <c r="B503" s="36">
        <v>9</v>
      </c>
      <c r="C503" s="36">
        <v>3</v>
      </c>
      <c r="D503" s="37">
        <v>4</v>
      </c>
      <c r="R503" s="35">
        <v>33</v>
      </c>
      <c r="S503" s="36">
        <v>2</v>
      </c>
      <c r="T503" s="36">
        <v>4</v>
      </c>
      <c r="U503" s="37">
        <v>1</v>
      </c>
      <c r="BJ503" s="35">
        <v>33</v>
      </c>
      <c r="BK503" s="36">
        <v>3</v>
      </c>
      <c r="BL503" s="36">
        <v>4</v>
      </c>
      <c r="BM503" s="37">
        <v>2</v>
      </c>
      <c r="BN503" s="39">
        <v>7</v>
      </c>
    </row>
    <row r="504" spans="1:66" s="3" customFormat="1" ht="18" customHeight="1" x14ac:dyDescent="0.2">
      <c r="A504" s="35">
        <v>10</v>
      </c>
      <c r="B504" s="36">
        <v>4</v>
      </c>
      <c r="C504" s="36">
        <v>2</v>
      </c>
      <c r="D504" s="37">
        <v>3</v>
      </c>
      <c r="R504" s="35">
        <v>33</v>
      </c>
      <c r="S504" s="36">
        <v>3</v>
      </c>
      <c r="T504" s="36">
        <v>3</v>
      </c>
      <c r="U504" s="37">
        <v>1</v>
      </c>
      <c r="BJ504" s="35">
        <v>33</v>
      </c>
      <c r="BK504" s="36">
        <v>4</v>
      </c>
      <c r="BL504" s="36">
        <v>3</v>
      </c>
      <c r="BM504" s="37">
        <v>2</v>
      </c>
      <c r="BN504" s="39">
        <v>7</v>
      </c>
    </row>
    <row r="505" spans="1:66" s="3" customFormat="1" ht="18" customHeight="1" x14ac:dyDescent="0.2">
      <c r="A505" s="35">
        <v>10</v>
      </c>
      <c r="B505" s="36">
        <v>4</v>
      </c>
      <c r="C505" s="36">
        <v>2</v>
      </c>
      <c r="D505" s="37">
        <v>4</v>
      </c>
      <c r="R505" s="35">
        <v>33</v>
      </c>
      <c r="S505" s="36">
        <v>3</v>
      </c>
      <c r="T505" s="36">
        <v>4</v>
      </c>
      <c r="U505" s="37">
        <v>1</v>
      </c>
      <c r="BJ505" s="35">
        <v>33</v>
      </c>
      <c r="BK505" s="36">
        <v>4</v>
      </c>
      <c r="BL505" s="36">
        <v>4</v>
      </c>
      <c r="BM505" s="37">
        <v>2</v>
      </c>
      <c r="BN505" s="39">
        <v>7</v>
      </c>
    </row>
    <row r="506" spans="1:66" s="3" customFormat="1" ht="18" customHeight="1" x14ac:dyDescent="0.2">
      <c r="A506" s="35">
        <v>10</v>
      </c>
      <c r="B506" s="36">
        <v>4</v>
      </c>
      <c r="C506" s="36">
        <v>3</v>
      </c>
      <c r="D506" s="37">
        <v>3</v>
      </c>
      <c r="R506" s="35">
        <v>33</v>
      </c>
      <c r="S506" s="36">
        <v>4</v>
      </c>
      <c r="T506" s="36">
        <v>3</v>
      </c>
      <c r="U506" s="37">
        <v>1</v>
      </c>
      <c r="BJ506" s="35">
        <v>33</v>
      </c>
      <c r="BK506" s="36">
        <v>5</v>
      </c>
      <c r="BL506" s="36">
        <v>3</v>
      </c>
      <c r="BM506" s="37">
        <v>2</v>
      </c>
      <c r="BN506" s="39">
        <v>7</v>
      </c>
    </row>
    <row r="507" spans="1:66" s="3" customFormat="1" ht="18" customHeight="1" x14ac:dyDescent="0.2">
      <c r="A507" s="35">
        <v>10</v>
      </c>
      <c r="B507" s="36">
        <v>4</v>
      </c>
      <c r="C507" s="36">
        <v>3</v>
      </c>
      <c r="D507" s="37">
        <v>4</v>
      </c>
      <c r="R507" s="35">
        <v>33</v>
      </c>
      <c r="S507" s="36">
        <v>4</v>
      </c>
      <c r="T507" s="36">
        <v>4</v>
      </c>
      <c r="U507" s="37">
        <v>1</v>
      </c>
      <c r="BJ507" s="35">
        <v>33</v>
      </c>
      <c r="BK507" s="36">
        <v>5</v>
      </c>
      <c r="BL507" s="36">
        <v>4</v>
      </c>
      <c r="BM507" s="37">
        <v>2</v>
      </c>
      <c r="BN507" s="39">
        <v>7</v>
      </c>
    </row>
    <row r="508" spans="1:66" s="3" customFormat="1" ht="18" customHeight="1" x14ac:dyDescent="0.2">
      <c r="A508" s="35">
        <v>11</v>
      </c>
      <c r="B508" s="36">
        <v>1</v>
      </c>
      <c r="C508" s="36">
        <v>2</v>
      </c>
      <c r="D508" s="37">
        <v>3</v>
      </c>
      <c r="R508" s="35">
        <v>33</v>
      </c>
      <c r="S508" s="36">
        <v>5</v>
      </c>
      <c r="T508" s="36">
        <v>3</v>
      </c>
      <c r="U508" s="37">
        <v>1</v>
      </c>
      <c r="BJ508" s="35">
        <v>33</v>
      </c>
      <c r="BK508" s="36">
        <v>6</v>
      </c>
      <c r="BL508" s="36">
        <v>3</v>
      </c>
      <c r="BM508" s="37">
        <v>1</v>
      </c>
      <c r="BN508" s="39">
        <v>7</v>
      </c>
    </row>
    <row r="509" spans="1:66" s="3" customFormat="1" ht="18" customHeight="1" x14ac:dyDescent="0.2">
      <c r="A509" s="35">
        <v>11</v>
      </c>
      <c r="B509" s="36">
        <v>1</v>
      </c>
      <c r="C509" s="36">
        <v>2</v>
      </c>
      <c r="D509" s="37">
        <v>4</v>
      </c>
      <c r="R509" s="35">
        <v>33</v>
      </c>
      <c r="S509" s="36">
        <v>5</v>
      </c>
      <c r="T509" s="36">
        <v>4</v>
      </c>
      <c r="U509" s="37">
        <v>1</v>
      </c>
      <c r="BJ509" s="35">
        <v>33</v>
      </c>
      <c r="BK509" s="36">
        <v>6</v>
      </c>
      <c r="BL509" s="36">
        <v>4</v>
      </c>
      <c r="BM509" s="37">
        <v>1</v>
      </c>
      <c r="BN509" s="39">
        <v>7</v>
      </c>
    </row>
    <row r="510" spans="1:66" s="3" customFormat="1" ht="18" customHeight="1" x14ac:dyDescent="0.2">
      <c r="A510" s="35">
        <v>11</v>
      </c>
      <c r="B510" s="36">
        <v>1</v>
      </c>
      <c r="C510" s="36">
        <v>3</v>
      </c>
      <c r="D510" s="37">
        <v>3</v>
      </c>
      <c r="R510" s="35">
        <v>33</v>
      </c>
      <c r="S510" s="36">
        <v>6</v>
      </c>
      <c r="T510" s="36">
        <v>3</v>
      </c>
      <c r="U510" s="37">
        <v>1</v>
      </c>
      <c r="BJ510" s="35">
        <v>33</v>
      </c>
      <c r="BK510" s="36">
        <v>7</v>
      </c>
      <c r="BL510" s="36">
        <v>3</v>
      </c>
      <c r="BM510" s="37">
        <v>1</v>
      </c>
      <c r="BN510" s="39">
        <v>7</v>
      </c>
    </row>
    <row r="511" spans="1:66" s="3" customFormat="1" ht="18" customHeight="1" x14ac:dyDescent="0.2">
      <c r="A511" s="35">
        <v>11</v>
      </c>
      <c r="B511" s="36">
        <v>1</v>
      </c>
      <c r="C511" s="36">
        <v>3</v>
      </c>
      <c r="D511" s="37">
        <v>4</v>
      </c>
      <c r="R511" s="35">
        <v>33</v>
      </c>
      <c r="S511" s="36">
        <v>6</v>
      </c>
      <c r="T511" s="36">
        <v>4</v>
      </c>
      <c r="U511" s="37">
        <v>1</v>
      </c>
      <c r="BJ511" s="35">
        <v>33</v>
      </c>
      <c r="BK511" s="36">
        <v>7</v>
      </c>
      <c r="BL511" s="36">
        <v>4</v>
      </c>
      <c r="BM511" s="37">
        <v>1</v>
      </c>
      <c r="BN511" s="39">
        <v>7</v>
      </c>
    </row>
    <row r="512" spans="1:66" s="3" customFormat="1" ht="18" customHeight="1" x14ac:dyDescent="0.2">
      <c r="A512" s="35">
        <v>11</v>
      </c>
      <c r="B512" s="36">
        <v>2</v>
      </c>
      <c r="C512" s="36">
        <v>2</v>
      </c>
      <c r="D512" s="37">
        <v>3</v>
      </c>
      <c r="R512" s="35">
        <v>33</v>
      </c>
      <c r="S512" s="36">
        <v>7</v>
      </c>
      <c r="T512" s="36">
        <v>3</v>
      </c>
      <c r="U512" s="37">
        <v>1</v>
      </c>
      <c r="BJ512" s="35">
        <v>33</v>
      </c>
      <c r="BK512" s="36">
        <v>8</v>
      </c>
      <c r="BL512" s="36">
        <v>3</v>
      </c>
      <c r="BM512" s="37">
        <v>1</v>
      </c>
      <c r="BN512" s="39">
        <v>7</v>
      </c>
    </row>
    <row r="513" spans="1:66" s="3" customFormat="1" ht="18" customHeight="1" x14ac:dyDescent="0.2">
      <c r="A513" s="35">
        <v>11</v>
      </c>
      <c r="B513" s="36">
        <v>2</v>
      </c>
      <c r="C513" s="36">
        <v>2</v>
      </c>
      <c r="D513" s="37">
        <v>4</v>
      </c>
      <c r="R513" s="35">
        <v>33</v>
      </c>
      <c r="S513" s="36">
        <v>7</v>
      </c>
      <c r="T513" s="36">
        <v>4</v>
      </c>
      <c r="U513" s="37">
        <v>1</v>
      </c>
      <c r="BJ513" s="35">
        <v>33</v>
      </c>
      <c r="BK513" s="36">
        <v>8</v>
      </c>
      <c r="BL513" s="36">
        <v>4</v>
      </c>
      <c r="BM513" s="37">
        <v>1</v>
      </c>
      <c r="BN513" s="39">
        <v>7</v>
      </c>
    </row>
    <row r="514" spans="1:66" s="3" customFormat="1" ht="18" customHeight="1" x14ac:dyDescent="0.2">
      <c r="A514" s="35">
        <v>11</v>
      </c>
      <c r="B514" s="36">
        <v>2</v>
      </c>
      <c r="C514" s="36">
        <v>3</v>
      </c>
      <c r="D514" s="37">
        <v>3</v>
      </c>
      <c r="R514" s="35">
        <v>33</v>
      </c>
      <c r="S514" s="36">
        <v>8</v>
      </c>
      <c r="T514" s="36">
        <v>3</v>
      </c>
      <c r="U514" s="37">
        <v>1</v>
      </c>
      <c r="BJ514" s="35">
        <v>33</v>
      </c>
      <c r="BK514" s="36">
        <v>9</v>
      </c>
      <c r="BL514" s="36">
        <v>3</v>
      </c>
      <c r="BM514" s="37">
        <v>1</v>
      </c>
      <c r="BN514" s="39">
        <v>7</v>
      </c>
    </row>
    <row r="515" spans="1:66" s="3" customFormat="1" ht="18" customHeight="1" x14ac:dyDescent="0.2">
      <c r="A515" s="35">
        <v>11</v>
      </c>
      <c r="B515" s="36">
        <v>2</v>
      </c>
      <c r="C515" s="36">
        <v>3</v>
      </c>
      <c r="D515" s="37">
        <v>4</v>
      </c>
      <c r="R515" s="35">
        <v>33</v>
      </c>
      <c r="S515" s="36">
        <v>8</v>
      </c>
      <c r="T515" s="36">
        <v>4</v>
      </c>
      <c r="U515" s="37">
        <v>1</v>
      </c>
      <c r="BJ515" s="35">
        <v>33</v>
      </c>
      <c r="BK515" s="36">
        <v>9</v>
      </c>
      <c r="BL515" s="36">
        <v>4</v>
      </c>
      <c r="BM515" s="37">
        <v>1</v>
      </c>
      <c r="BN515" s="39">
        <v>7</v>
      </c>
    </row>
    <row r="516" spans="1:66" s="3" customFormat="1" ht="18" customHeight="1" x14ac:dyDescent="0.2">
      <c r="A516" s="35">
        <v>11</v>
      </c>
      <c r="B516" s="36">
        <v>3</v>
      </c>
      <c r="C516" s="36">
        <v>2</v>
      </c>
      <c r="D516" s="37">
        <v>3</v>
      </c>
      <c r="R516" s="35">
        <v>33</v>
      </c>
      <c r="S516" s="36">
        <v>9</v>
      </c>
      <c r="T516" s="36">
        <v>3</v>
      </c>
      <c r="U516" s="37">
        <v>1</v>
      </c>
      <c r="BJ516" s="35">
        <v>33</v>
      </c>
      <c r="BK516" s="36">
        <v>10</v>
      </c>
      <c r="BL516" s="36">
        <v>3</v>
      </c>
      <c r="BM516" s="37">
        <v>1</v>
      </c>
      <c r="BN516" s="39">
        <v>7</v>
      </c>
    </row>
    <row r="517" spans="1:66" s="3" customFormat="1" ht="18.5" customHeight="1" x14ac:dyDescent="0.2">
      <c r="A517" s="35">
        <v>11</v>
      </c>
      <c r="B517" s="36">
        <v>3</v>
      </c>
      <c r="C517" s="36">
        <v>2</v>
      </c>
      <c r="D517" s="37">
        <v>4</v>
      </c>
      <c r="R517" s="35">
        <v>33</v>
      </c>
      <c r="S517" s="36">
        <v>9</v>
      </c>
      <c r="T517" s="36">
        <v>4</v>
      </c>
      <c r="U517" s="37">
        <v>1</v>
      </c>
      <c r="BJ517" s="32">
        <v>33</v>
      </c>
      <c r="BK517" s="33">
        <v>10</v>
      </c>
      <c r="BL517" s="33">
        <v>4</v>
      </c>
      <c r="BM517" s="34">
        <v>1</v>
      </c>
      <c r="BN517" s="56">
        <v>7</v>
      </c>
    </row>
    <row r="518" spans="1:66" s="3" customFormat="1" ht="18.5" customHeight="1" x14ac:dyDescent="0.2">
      <c r="A518" s="35">
        <v>11</v>
      </c>
      <c r="B518" s="36">
        <v>3</v>
      </c>
      <c r="C518" s="36">
        <v>3</v>
      </c>
      <c r="D518" s="37">
        <v>3</v>
      </c>
      <c r="R518" s="35">
        <v>33</v>
      </c>
      <c r="S518" s="36">
        <v>10</v>
      </c>
      <c r="T518" s="36">
        <v>3</v>
      </c>
      <c r="U518" s="37">
        <v>1</v>
      </c>
    </row>
    <row r="519" spans="1:66" s="3" customFormat="1" ht="18.5" customHeight="1" x14ac:dyDescent="0.2">
      <c r="A519" s="35">
        <v>11</v>
      </c>
      <c r="B519" s="36">
        <v>3</v>
      </c>
      <c r="C519" s="36">
        <v>3</v>
      </c>
      <c r="D519" s="37">
        <v>4</v>
      </c>
      <c r="R519" s="32">
        <v>33</v>
      </c>
      <c r="S519" s="33">
        <v>10</v>
      </c>
      <c r="T519" s="33">
        <v>4</v>
      </c>
      <c r="U519" s="34">
        <v>1</v>
      </c>
    </row>
    <row r="520" spans="1:66" s="3" customFormat="1" ht="18.5" customHeight="1" x14ac:dyDescent="0.2">
      <c r="A520" s="35">
        <v>11</v>
      </c>
      <c r="B520" s="36">
        <v>4</v>
      </c>
      <c r="C520" s="36">
        <v>2</v>
      </c>
      <c r="D520" s="37">
        <v>3</v>
      </c>
    </row>
    <row r="521" spans="1:66" s="3" customFormat="1" ht="18" customHeight="1" x14ac:dyDescent="0.2">
      <c r="A521" s="35">
        <v>11</v>
      </c>
      <c r="B521" s="36">
        <v>4</v>
      </c>
      <c r="C521" s="36">
        <v>2</v>
      </c>
      <c r="D521" s="37">
        <v>4</v>
      </c>
    </row>
    <row r="522" spans="1:66" s="3" customFormat="1" ht="18" customHeight="1" x14ac:dyDescent="0.2">
      <c r="A522" s="35">
        <v>11</v>
      </c>
      <c r="B522" s="36">
        <v>4</v>
      </c>
      <c r="C522" s="36">
        <v>3</v>
      </c>
      <c r="D522" s="37">
        <v>3</v>
      </c>
    </row>
    <row r="523" spans="1:66" s="3" customFormat="1" ht="18" customHeight="1" x14ac:dyDescent="0.2">
      <c r="A523" s="35">
        <v>11</v>
      </c>
      <c r="B523" s="36">
        <v>4</v>
      </c>
      <c r="C523" s="36">
        <v>3</v>
      </c>
      <c r="D523" s="37">
        <v>4</v>
      </c>
    </row>
    <row r="524" spans="1:66" s="3" customFormat="1" ht="18" customHeight="1" x14ac:dyDescent="0.2">
      <c r="A524" s="35">
        <v>11</v>
      </c>
      <c r="B524" s="36">
        <v>5</v>
      </c>
      <c r="C524" s="36">
        <v>2</v>
      </c>
      <c r="D524" s="37">
        <v>3</v>
      </c>
    </row>
    <row r="525" spans="1:66" s="3" customFormat="1" ht="18" customHeight="1" x14ac:dyDescent="0.2">
      <c r="A525" s="35">
        <v>11</v>
      </c>
      <c r="B525" s="36">
        <v>5</v>
      </c>
      <c r="C525" s="36">
        <v>2</v>
      </c>
      <c r="D525" s="37">
        <v>4</v>
      </c>
    </row>
    <row r="526" spans="1:66" s="3" customFormat="1" ht="18" customHeight="1" x14ac:dyDescent="0.2">
      <c r="A526" s="35">
        <v>11</v>
      </c>
      <c r="B526" s="36">
        <v>5</v>
      </c>
      <c r="C526" s="36">
        <v>3</v>
      </c>
      <c r="D526" s="37">
        <v>3</v>
      </c>
    </row>
    <row r="527" spans="1:66" s="3" customFormat="1" ht="18" customHeight="1" x14ac:dyDescent="0.2">
      <c r="A527" s="35">
        <v>11</v>
      </c>
      <c r="B527" s="36">
        <v>5</v>
      </c>
      <c r="C527" s="36">
        <v>3</v>
      </c>
      <c r="D527" s="37">
        <v>4</v>
      </c>
    </row>
    <row r="528" spans="1:66" s="3" customFormat="1" ht="18" customHeight="1" x14ac:dyDescent="0.2">
      <c r="A528" s="35">
        <v>11</v>
      </c>
      <c r="B528" s="36">
        <v>6</v>
      </c>
      <c r="C528" s="36">
        <v>2</v>
      </c>
      <c r="D528" s="37">
        <v>3</v>
      </c>
    </row>
    <row r="529" spans="1:4" s="3" customFormat="1" ht="18" customHeight="1" x14ac:dyDescent="0.2">
      <c r="A529" s="35">
        <v>11</v>
      </c>
      <c r="B529" s="36">
        <v>6</v>
      </c>
      <c r="C529" s="36">
        <v>2</v>
      </c>
      <c r="D529" s="37">
        <v>4</v>
      </c>
    </row>
    <row r="530" spans="1:4" s="3" customFormat="1" ht="18" customHeight="1" x14ac:dyDescent="0.2">
      <c r="A530" s="35">
        <v>11</v>
      </c>
      <c r="B530" s="36">
        <v>6</v>
      </c>
      <c r="C530" s="36">
        <v>3</v>
      </c>
      <c r="D530" s="37">
        <v>3</v>
      </c>
    </row>
    <row r="531" spans="1:4" s="3" customFormat="1" ht="18" customHeight="1" x14ac:dyDescent="0.2">
      <c r="A531" s="35">
        <v>11</v>
      </c>
      <c r="B531" s="36">
        <v>6</v>
      </c>
      <c r="C531" s="36">
        <v>3</v>
      </c>
      <c r="D531" s="37">
        <v>4</v>
      </c>
    </row>
    <row r="532" spans="1:4" s="3" customFormat="1" ht="18" customHeight="1" x14ac:dyDescent="0.2">
      <c r="A532" s="35">
        <v>11</v>
      </c>
      <c r="B532" s="36">
        <v>7</v>
      </c>
      <c r="C532" s="36">
        <v>2</v>
      </c>
      <c r="D532" s="37">
        <v>3</v>
      </c>
    </row>
    <row r="533" spans="1:4" s="3" customFormat="1" ht="18" customHeight="1" x14ac:dyDescent="0.2">
      <c r="A533" s="35">
        <v>11</v>
      </c>
      <c r="B533" s="36">
        <v>7</v>
      </c>
      <c r="C533" s="36">
        <v>2</v>
      </c>
      <c r="D533" s="37">
        <v>4</v>
      </c>
    </row>
    <row r="534" spans="1:4" s="3" customFormat="1" ht="18" customHeight="1" x14ac:dyDescent="0.2">
      <c r="A534" s="35">
        <v>11</v>
      </c>
      <c r="B534" s="36">
        <v>7</v>
      </c>
      <c r="C534" s="36">
        <v>3</v>
      </c>
      <c r="D534" s="37">
        <v>3</v>
      </c>
    </row>
    <row r="535" spans="1:4" s="3" customFormat="1" ht="18" customHeight="1" x14ac:dyDescent="0.2">
      <c r="A535" s="35">
        <v>11</v>
      </c>
      <c r="B535" s="36">
        <v>7</v>
      </c>
      <c r="C535" s="36">
        <v>3</v>
      </c>
      <c r="D535" s="37">
        <v>4</v>
      </c>
    </row>
    <row r="536" spans="1:4" s="3" customFormat="1" ht="18" customHeight="1" x14ac:dyDescent="0.2">
      <c r="A536" s="35">
        <v>11</v>
      </c>
      <c r="B536" s="36">
        <v>8</v>
      </c>
      <c r="C536" s="36">
        <v>2</v>
      </c>
      <c r="D536" s="37">
        <v>3</v>
      </c>
    </row>
    <row r="537" spans="1:4" s="3" customFormat="1" ht="18" customHeight="1" x14ac:dyDescent="0.2">
      <c r="A537" s="35">
        <v>11</v>
      </c>
      <c r="B537" s="36">
        <v>8</v>
      </c>
      <c r="C537" s="36">
        <v>2</v>
      </c>
      <c r="D537" s="37">
        <v>4</v>
      </c>
    </row>
    <row r="538" spans="1:4" s="3" customFormat="1" ht="18" customHeight="1" x14ac:dyDescent="0.2">
      <c r="A538" s="35">
        <v>11</v>
      </c>
      <c r="B538" s="36">
        <v>8</v>
      </c>
      <c r="C538" s="36">
        <v>3</v>
      </c>
      <c r="D538" s="37">
        <v>3</v>
      </c>
    </row>
    <row r="539" spans="1:4" s="3" customFormat="1" ht="18" customHeight="1" x14ac:dyDescent="0.2">
      <c r="A539" s="35">
        <v>11</v>
      </c>
      <c r="B539" s="36">
        <v>8</v>
      </c>
      <c r="C539" s="36">
        <v>3</v>
      </c>
      <c r="D539" s="37">
        <v>4</v>
      </c>
    </row>
    <row r="540" spans="1:4" s="3" customFormat="1" ht="18" customHeight="1" x14ac:dyDescent="0.2">
      <c r="A540" s="35">
        <v>11</v>
      </c>
      <c r="B540" s="36">
        <v>9</v>
      </c>
      <c r="C540" s="36">
        <v>2</v>
      </c>
      <c r="D540" s="37">
        <v>3</v>
      </c>
    </row>
    <row r="541" spans="1:4" s="3" customFormat="1" ht="18" customHeight="1" x14ac:dyDescent="0.2">
      <c r="A541" s="35">
        <v>11</v>
      </c>
      <c r="B541" s="36">
        <v>9</v>
      </c>
      <c r="C541" s="36">
        <v>2</v>
      </c>
      <c r="D541" s="37">
        <v>4</v>
      </c>
    </row>
    <row r="542" spans="1:4" s="3" customFormat="1" ht="18" customHeight="1" x14ac:dyDescent="0.2">
      <c r="A542" s="35">
        <v>11</v>
      </c>
      <c r="B542" s="36">
        <v>9</v>
      </c>
      <c r="C542" s="36">
        <v>3</v>
      </c>
      <c r="D542" s="37">
        <v>3</v>
      </c>
    </row>
    <row r="543" spans="1:4" s="3" customFormat="1" ht="18" customHeight="1" x14ac:dyDescent="0.2">
      <c r="A543" s="35">
        <v>11</v>
      </c>
      <c r="B543" s="36">
        <v>9</v>
      </c>
      <c r="C543" s="36">
        <v>3</v>
      </c>
      <c r="D543" s="37">
        <v>4</v>
      </c>
    </row>
    <row r="544" spans="1:4" s="3" customFormat="1" ht="18" customHeight="1" x14ac:dyDescent="0.2">
      <c r="A544" s="35">
        <v>11</v>
      </c>
      <c r="B544" s="36">
        <v>10</v>
      </c>
      <c r="C544" s="36">
        <v>2</v>
      </c>
      <c r="D544" s="37">
        <v>3</v>
      </c>
    </row>
    <row r="545" spans="1:4" s="3" customFormat="1" ht="18" customHeight="1" x14ac:dyDescent="0.2">
      <c r="A545" s="35">
        <v>11</v>
      </c>
      <c r="B545" s="36">
        <v>10</v>
      </c>
      <c r="C545" s="36">
        <v>2</v>
      </c>
      <c r="D545" s="37">
        <v>4</v>
      </c>
    </row>
    <row r="546" spans="1:4" s="3" customFormat="1" ht="18" customHeight="1" x14ac:dyDescent="0.2">
      <c r="A546" s="35">
        <v>11</v>
      </c>
      <c r="B546" s="36">
        <v>10</v>
      </c>
      <c r="C546" s="36">
        <v>3</v>
      </c>
      <c r="D546" s="37">
        <v>3</v>
      </c>
    </row>
    <row r="547" spans="1:4" s="3" customFormat="1" ht="18" customHeight="1" x14ac:dyDescent="0.2">
      <c r="A547" s="35">
        <v>11</v>
      </c>
      <c r="B547" s="36">
        <v>10</v>
      </c>
      <c r="C547" s="36">
        <v>3</v>
      </c>
      <c r="D547" s="37">
        <v>4</v>
      </c>
    </row>
    <row r="548" spans="1:4" s="3" customFormat="1" ht="18" customHeight="1" x14ac:dyDescent="0.2">
      <c r="A548" s="35">
        <v>12</v>
      </c>
      <c r="B548" s="36">
        <v>4</v>
      </c>
      <c r="C548" s="36">
        <v>2</v>
      </c>
      <c r="D548" s="37">
        <v>3</v>
      </c>
    </row>
    <row r="549" spans="1:4" s="3" customFormat="1" ht="18" customHeight="1" x14ac:dyDescent="0.2">
      <c r="A549" s="35">
        <v>12</v>
      </c>
      <c r="B549" s="36">
        <v>4</v>
      </c>
      <c r="C549" s="36">
        <v>2</v>
      </c>
      <c r="D549" s="37">
        <v>4</v>
      </c>
    </row>
    <row r="550" spans="1:4" s="3" customFormat="1" ht="18" customHeight="1" x14ac:dyDescent="0.2">
      <c r="A550" s="35">
        <v>12</v>
      </c>
      <c r="B550" s="36">
        <v>4</v>
      </c>
      <c r="C550" s="36">
        <v>3</v>
      </c>
      <c r="D550" s="37">
        <v>3</v>
      </c>
    </row>
    <row r="551" spans="1:4" s="3" customFormat="1" ht="18" customHeight="1" x14ac:dyDescent="0.2">
      <c r="A551" s="35">
        <v>12</v>
      </c>
      <c r="B551" s="36">
        <v>4</v>
      </c>
      <c r="C551" s="36">
        <v>3</v>
      </c>
      <c r="D551" s="37">
        <v>4</v>
      </c>
    </row>
    <row r="552" spans="1:4" s="3" customFormat="1" ht="18" customHeight="1" x14ac:dyDescent="0.2">
      <c r="A552" s="35">
        <v>13</v>
      </c>
      <c r="B552" s="36">
        <v>1</v>
      </c>
      <c r="C552" s="36">
        <v>2</v>
      </c>
      <c r="D552" s="37">
        <v>3</v>
      </c>
    </row>
    <row r="553" spans="1:4" s="3" customFormat="1" ht="18" customHeight="1" x14ac:dyDescent="0.2">
      <c r="A553" s="35">
        <v>13</v>
      </c>
      <c r="B553" s="36">
        <v>1</v>
      </c>
      <c r="C553" s="36">
        <v>2</v>
      </c>
      <c r="D553" s="37">
        <v>4</v>
      </c>
    </row>
    <row r="554" spans="1:4" s="3" customFormat="1" ht="18" customHeight="1" x14ac:dyDescent="0.2">
      <c r="A554" s="35">
        <v>13</v>
      </c>
      <c r="B554" s="36">
        <v>1</v>
      </c>
      <c r="C554" s="36">
        <v>3</v>
      </c>
      <c r="D554" s="37">
        <v>3</v>
      </c>
    </row>
    <row r="555" spans="1:4" s="3" customFormat="1" ht="18" customHeight="1" x14ac:dyDescent="0.2">
      <c r="A555" s="35">
        <v>13</v>
      </c>
      <c r="B555" s="36">
        <v>1</v>
      </c>
      <c r="C555" s="36">
        <v>3</v>
      </c>
      <c r="D555" s="37">
        <v>4</v>
      </c>
    </row>
    <row r="556" spans="1:4" s="3" customFormat="1" ht="18" customHeight="1" x14ac:dyDescent="0.2">
      <c r="A556" s="35">
        <v>13</v>
      </c>
      <c r="B556" s="36">
        <v>2</v>
      </c>
      <c r="C556" s="36">
        <v>2</v>
      </c>
      <c r="D556" s="37">
        <v>3</v>
      </c>
    </row>
    <row r="557" spans="1:4" s="3" customFormat="1" ht="18" customHeight="1" x14ac:dyDescent="0.2">
      <c r="A557" s="35">
        <v>13</v>
      </c>
      <c r="B557" s="36">
        <v>2</v>
      </c>
      <c r="C557" s="36">
        <v>2</v>
      </c>
      <c r="D557" s="37">
        <v>4</v>
      </c>
    </row>
    <row r="558" spans="1:4" s="3" customFormat="1" ht="18" customHeight="1" x14ac:dyDescent="0.2">
      <c r="A558" s="35">
        <v>13</v>
      </c>
      <c r="B558" s="36">
        <v>2</v>
      </c>
      <c r="C558" s="36">
        <v>3</v>
      </c>
      <c r="D558" s="37">
        <v>3</v>
      </c>
    </row>
    <row r="559" spans="1:4" s="3" customFormat="1" ht="18" customHeight="1" x14ac:dyDescent="0.2">
      <c r="A559" s="35">
        <v>13</v>
      </c>
      <c r="B559" s="36">
        <v>2</v>
      </c>
      <c r="C559" s="36">
        <v>3</v>
      </c>
      <c r="D559" s="37">
        <v>4</v>
      </c>
    </row>
    <row r="560" spans="1:4" s="3" customFormat="1" ht="18" customHeight="1" x14ac:dyDescent="0.2">
      <c r="A560" s="35">
        <v>13</v>
      </c>
      <c r="B560" s="36">
        <v>3</v>
      </c>
      <c r="C560" s="36">
        <v>2</v>
      </c>
      <c r="D560" s="37">
        <v>3</v>
      </c>
    </row>
    <row r="561" spans="1:4" s="3" customFormat="1" ht="18" customHeight="1" x14ac:dyDescent="0.2">
      <c r="A561" s="35">
        <v>13</v>
      </c>
      <c r="B561" s="36">
        <v>3</v>
      </c>
      <c r="C561" s="36">
        <v>2</v>
      </c>
      <c r="D561" s="37">
        <v>4</v>
      </c>
    </row>
    <row r="562" spans="1:4" s="3" customFormat="1" ht="18" customHeight="1" x14ac:dyDescent="0.2">
      <c r="A562" s="35">
        <v>13</v>
      </c>
      <c r="B562" s="36">
        <v>3</v>
      </c>
      <c r="C562" s="36">
        <v>3</v>
      </c>
      <c r="D562" s="37">
        <v>3</v>
      </c>
    </row>
    <row r="563" spans="1:4" s="3" customFormat="1" ht="18" customHeight="1" x14ac:dyDescent="0.2">
      <c r="A563" s="35">
        <v>13</v>
      </c>
      <c r="B563" s="36">
        <v>3</v>
      </c>
      <c r="C563" s="36">
        <v>3</v>
      </c>
      <c r="D563" s="37">
        <v>4</v>
      </c>
    </row>
    <row r="564" spans="1:4" s="3" customFormat="1" ht="18" customHeight="1" x14ac:dyDescent="0.2">
      <c r="A564" s="35">
        <v>13</v>
      </c>
      <c r="B564" s="36">
        <v>4</v>
      </c>
      <c r="C564" s="36">
        <v>2</v>
      </c>
      <c r="D564" s="37">
        <v>3</v>
      </c>
    </row>
    <row r="565" spans="1:4" s="3" customFormat="1" ht="18" customHeight="1" x14ac:dyDescent="0.2">
      <c r="A565" s="35">
        <v>13</v>
      </c>
      <c r="B565" s="36">
        <v>4</v>
      </c>
      <c r="C565" s="36">
        <v>2</v>
      </c>
      <c r="D565" s="37">
        <v>4</v>
      </c>
    </row>
    <row r="566" spans="1:4" s="3" customFormat="1" ht="18" customHeight="1" x14ac:dyDescent="0.2">
      <c r="A566" s="35">
        <v>13</v>
      </c>
      <c r="B566" s="36">
        <v>4</v>
      </c>
      <c r="C566" s="36">
        <v>3</v>
      </c>
      <c r="D566" s="37">
        <v>3</v>
      </c>
    </row>
    <row r="567" spans="1:4" s="3" customFormat="1" ht="18" customHeight="1" x14ac:dyDescent="0.2">
      <c r="A567" s="35">
        <v>13</v>
      </c>
      <c r="B567" s="36">
        <v>4</v>
      </c>
      <c r="C567" s="36">
        <v>3</v>
      </c>
      <c r="D567" s="37">
        <v>4</v>
      </c>
    </row>
    <row r="568" spans="1:4" s="3" customFormat="1" ht="18" customHeight="1" x14ac:dyDescent="0.2">
      <c r="A568" s="35">
        <v>13</v>
      </c>
      <c r="B568" s="36">
        <v>5</v>
      </c>
      <c r="C568" s="36">
        <v>2</v>
      </c>
      <c r="D568" s="37">
        <v>3</v>
      </c>
    </row>
    <row r="569" spans="1:4" s="3" customFormat="1" ht="18" customHeight="1" x14ac:dyDescent="0.2">
      <c r="A569" s="35">
        <v>13</v>
      </c>
      <c r="B569" s="36">
        <v>5</v>
      </c>
      <c r="C569" s="36">
        <v>2</v>
      </c>
      <c r="D569" s="37">
        <v>4</v>
      </c>
    </row>
    <row r="570" spans="1:4" s="3" customFormat="1" ht="18" customHeight="1" x14ac:dyDescent="0.2">
      <c r="A570" s="35">
        <v>13</v>
      </c>
      <c r="B570" s="36">
        <v>5</v>
      </c>
      <c r="C570" s="36">
        <v>3</v>
      </c>
      <c r="D570" s="37">
        <v>3</v>
      </c>
    </row>
    <row r="571" spans="1:4" s="3" customFormat="1" ht="18" customHeight="1" x14ac:dyDescent="0.2">
      <c r="A571" s="35">
        <v>13</v>
      </c>
      <c r="B571" s="36">
        <v>5</v>
      </c>
      <c r="C571" s="36">
        <v>3</v>
      </c>
      <c r="D571" s="37">
        <v>4</v>
      </c>
    </row>
    <row r="572" spans="1:4" s="3" customFormat="1" ht="18" customHeight="1" x14ac:dyDescent="0.2">
      <c r="A572" s="35">
        <v>13</v>
      </c>
      <c r="B572" s="36">
        <v>6</v>
      </c>
      <c r="C572" s="36">
        <v>2</v>
      </c>
      <c r="D572" s="37">
        <v>3</v>
      </c>
    </row>
    <row r="573" spans="1:4" s="3" customFormat="1" ht="18" customHeight="1" x14ac:dyDescent="0.2">
      <c r="A573" s="35">
        <v>13</v>
      </c>
      <c r="B573" s="36">
        <v>6</v>
      </c>
      <c r="C573" s="36">
        <v>2</v>
      </c>
      <c r="D573" s="37">
        <v>4</v>
      </c>
    </row>
    <row r="574" spans="1:4" s="3" customFormat="1" ht="18" customHeight="1" x14ac:dyDescent="0.2">
      <c r="A574" s="35">
        <v>13</v>
      </c>
      <c r="B574" s="36">
        <v>6</v>
      </c>
      <c r="C574" s="36">
        <v>3</v>
      </c>
      <c r="D574" s="37">
        <v>3</v>
      </c>
    </row>
    <row r="575" spans="1:4" s="3" customFormat="1" ht="18" customHeight="1" x14ac:dyDescent="0.2">
      <c r="A575" s="35">
        <v>13</v>
      </c>
      <c r="B575" s="36">
        <v>6</v>
      </c>
      <c r="C575" s="36">
        <v>3</v>
      </c>
      <c r="D575" s="37">
        <v>4</v>
      </c>
    </row>
    <row r="576" spans="1:4" s="3" customFormat="1" ht="18" customHeight="1" x14ac:dyDescent="0.2">
      <c r="A576" s="35">
        <v>13</v>
      </c>
      <c r="B576" s="36">
        <v>7</v>
      </c>
      <c r="C576" s="36">
        <v>2</v>
      </c>
      <c r="D576" s="37">
        <v>3</v>
      </c>
    </row>
    <row r="577" spans="1:4" s="3" customFormat="1" ht="18" customHeight="1" x14ac:dyDescent="0.2">
      <c r="A577" s="35">
        <v>13</v>
      </c>
      <c r="B577" s="36">
        <v>7</v>
      </c>
      <c r="C577" s="36">
        <v>2</v>
      </c>
      <c r="D577" s="37">
        <v>4</v>
      </c>
    </row>
    <row r="578" spans="1:4" s="3" customFormat="1" ht="18" customHeight="1" x14ac:dyDescent="0.2">
      <c r="A578" s="35">
        <v>13</v>
      </c>
      <c r="B578" s="36">
        <v>7</v>
      </c>
      <c r="C578" s="36">
        <v>3</v>
      </c>
      <c r="D578" s="37">
        <v>3</v>
      </c>
    </row>
    <row r="579" spans="1:4" s="3" customFormat="1" ht="18" customHeight="1" x14ac:dyDescent="0.2">
      <c r="A579" s="35">
        <v>13</v>
      </c>
      <c r="B579" s="36">
        <v>7</v>
      </c>
      <c r="C579" s="36">
        <v>3</v>
      </c>
      <c r="D579" s="37">
        <v>4</v>
      </c>
    </row>
    <row r="580" spans="1:4" s="3" customFormat="1" ht="18" customHeight="1" x14ac:dyDescent="0.2">
      <c r="A580" s="35">
        <v>13</v>
      </c>
      <c r="B580" s="36">
        <v>8</v>
      </c>
      <c r="C580" s="36">
        <v>2</v>
      </c>
      <c r="D580" s="37">
        <v>3</v>
      </c>
    </row>
    <row r="581" spans="1:4" s="3" customFormat="1" ht="18" customHeight="1" x14ac:dyDescent="0.2">
      <c r="A581" s="35">
        <v>13</v>
      </c>
      <c r="B581" s="36">
        <v>8</v>
      </c>
      <c r="C581" s="36">
        <v>2</v>
      </c>
      <c r="D581" s="37">
        <v>4</v>
      </c>
    </row>
    <row r="582" spans="1:4" s="3" customFormat="1" ht="18" customHeight="1" x14ac:dyDescent="0.2">
      <c r="A582" s="35">
        <v>13</v>
      </c>
      <c r="B582" s="36">
        <v>8</v>
      </c>
      <c r="C582" s="36">
        <v>3</v>
      </c>
      <c r="D582" s="37">
        <v>3</v>
      </c>
    </row>
    <row r="583" spans="1:4" s="3" customFormat="1" ht="18" customHeight="1" x14ac:dyDescent="0.2">
      <c r="A583" s="35">
        <v>13</v>
      </c>
      <c r="B583" s="36">
        <v>8</v>
      </c>
      <c r="C583" s="36">
        <v>3</v>
      </c>
      <c r="D583" s="37">
        <v>4</v>
      </c>
    </row>
    <row r="584" spans="1:4" s="3" customFormat="1" ht="18" customHeight="1" x14ac:dyDescent="0.2">
      <c r="A584" s="35">
        <v>13</v>
      </c>
      <c r="B584" s="36">
        <v>9</v>
      </c>
      <c r="C584" s="36">
        <v>2</v>
      </c>
      <c r="D584" s="37">
        <v>3</v>
      </c>
    </row>
    <row r="585" spans="1:4" s="3" customFormat="1" ht="18" customHeight="1" x14ac:dyDescent="0.2">
      <c r="A585" s="35">
        <v>13</v>
      </c>
      <c r="B585" s="36">
        <v>9</v>
      </c>
      <c r="C585" s="36">
        <v>2</v>
      </c>
      <c r="D585" s="37">
        <v>4</v>
      </c>
    </row>
    <row r="586" spans="1:4" s="3" customFormat="1" ht="18" customHeight="1" x14ac:dyDescent="0.2">
      <c r="A586" s="35">
        <v>13</v>
      </c>
      <c r="B586" s="36">
        <v>9</v>
      </c>
      <c r="C586" s="36">
        <v>3</v>
      </c>
      <c r="D586" s="37">
        <v>3</v>
      </c>
    </row>
    <row r="587" spans="1:4" s="3" customFormat="1" ht="18" customHeight="1" x14ac:dyDescent="0.2">
      <c r="A587" s="35">
        <v>13</v>
      </c>
      <c r="B587" s="36">
        <v>9</v>
      </c>
      <c r="C587" s="36">
        <v>3</v>
      </c>
      <c r="D587" s="37">
        <v>4</v>
      </c>
    </row>
    <row r="588" spans="1:4" s="3" customFormat="1" ht="18" customHeight="1" x14ac:dyDescent="0.2">
      <c r="A588" s="35">
        <v>13</v>
      </c>
      <c r="B588" s="36">
        <v>10</v>
      </c>
      <c r="C588" s="36">
        <v>2</v>
      </c>
      <c r="D588" s="37">
        <v>3</v>
      </c>
    </row>
    <row r="589" spans="1:4" s="3" customFormat="1" ht="18" customHeight="1" x14ac:dyDescent="0.2">
      <c r="A589" s="35">
        <v>13</v>
      </c>
      <c r="B589" s="36">
        <v>10</v>
      </c>
      <c r="C589" s="36">
        <v>2</v>
      </c>
      <c r="D589" s="37">
        <v>4</v>
      </c>
    </row>
    <row r="590" spans="1:4" s="3" customFormat="1" ht="18" customHeight="1" x14ac:dyDescent="0.2">
      <c r="A590" s="35">
        <v>13</v>
      </c>
      <c r="B590" s="36">
        <v>10</v>
      </c>
      <c r="C590" s="36">
        <v>3</v>
      </c>
      <c r="D590" s="37">
        <v>3</v>
      </c>
    </row>
    <row r="591" spans="1:4" s="3" customFormat="1" ht="18" customHeight="1" x14ac:dyDescent="0.2">
      <c r="A591" s="35">
        <v>13</v>
      </c>
      <c r="B591" s="36">
        <v>10</v>
      </c>
      <c r="C591" s="36">
        <v>3</v>
      </c>
      <c r="D591" s="37">
        <v>4</v>
      </c>
    </row>
    <row r="592" spans="1:4" s="3" customFormat="1" ht="18" customHeight="1" x14ac:dyDescent="0.2">
      <c r="A592" s="35">
        <v>14</v>
      </c>
      <c r="B592" s="36">
        <v>4</v>
      </c>
      <c r="C592" s="36">
        <v>2</v>
      </c>
      <c r="D592" s="37">
        <v>3</v>
      </c>
    </row>
    <row r="593" spans="1:4" s="3" customFormat="1" ht="18" customHeight="1" x14ac:dyDescent="0.2">
      <c r="A593" s="35">
        <v>14</v>
      </c>
      <c r="B593" s="36">
        <v>4</v>
      </c>
      <c r="C593" s="36">
        <v>2</v>
      </c>
      <c r="D593" s="37">
        <v>4</v>
      </c>
    </row>
    <row r="594" spans="1:4" s="3" customFormat="1" ht="18" customHeight="1" x14ac:dyDescent="0.2">
      <c r="A594" s="35">
        <v>14</v>
      </c>
      <c r="B594" s="36">
        <v>4</v>
      </c>
      <c r="C594" s="36">
        <v>3</v>
      </c>
      <c r="D594" s="37">
        <v>3</v>
      </c>
    </row>
    <row r="595" spans="1:4" s="3" customFormat="1" ht="18" customHeight="1" x14ac:dyDescent="0.2">
      <c r="A595" s="35">
        <v>14</v>
      </c>
      <c r="B595" s="36">
        <v>4</v>
      </c>
      <c r="C595" s="36">
        <v>3</v>
      </c>
      <c r="D595" s="37">
        <v>4</v>
      </c>
    </row>
    <row r="596" spans="1:4" s="3" customFormat="1" ht="18" customHeight="1" x14ac:dyDescent="0.2">
      <c r="A596" s="35">
        <v>14</v>
      </c>
      <c r="B596" s="36">
        <v>7</v>
      </c>
      <c r="C596" s="36">
        <v>2</v>
      </c>
      <c r="D596" s="37">
        <v>3</v>
      </c>
    </row>
    <row r="597" spans="1:4" s="3" customFormat="1" ht="18" customHeight="1" x14ac:dyDescent="0.2">
      <c r="A597" s="35">
        <v>14</v>
      </c>
      <c r="B597" s="36">
        <v>7</v>
      </c>
      <c r="C597" s="36">
        <v>2</v>
      </c>
      <c r="D597" s="37">
        <v>4</v>
      </c>
    </row>
    <row r="598" spans="1:4" s="3" customFormat="1" ht="18" customHeight="1" x14ac:dyDescent="0.2">
      <c r="A598" s="35">
        <v>14</v>
      </c>
      <c r="B598" s="36">
        <v>7</v>
      </c>
      <c r="C598" s="36">
        <v>3</v>
      </c>
      <c r="D598" s="37">
        <v>3</v>
      </c>
    </row>
    <row r="599" spans="1:4" s="3" customFormat="1" ht="18" customHeight="1" x14ac:dyDescent="0.2">
      <c r="A599" s="35">
        <v>14</v>
      </c>
      <c r="B599" s="36">
        <v>7</v>
      </c>
      <c r="C599" s="36">
        <v>3</v>
      </c>
      <c r="D599" s="37">
        <v>4</v>
      </c>
    </row>
    <row r="600" spans="1:4" s="3" customFormat="1" ht="18" customHeight="1" x14ac:dyDescent="0.2">
      <c r="A600" s="35">
        <v>14</v>
      </c>
      <c r="B600" s="36">
        <v>9</v>
      </c>
      <c r="C600" s="36">
        <v>2</v>
      </c>
      <c r="D600" s="37">
        <v>3</v>
      </c>
    </row>
    <row r="601" spans="1:4" s="3" customFormat="1" ht="18" customHeight="1" x14ac:dyDescent="0.2">
      <c r="A601" s="35">
        <v>14</v>
      </c>
      <c r="B601" s="36">
        <v>9</v>
      </c>
      <c r="C601" s="36">
        <v>2</v>
      </c>
      <c r="D601" s="37">
        <v>4</v>
      </c>
    </row>
    <row r="602" spans="1:4" s="3" customFormat="1" ht="18" customHeight="1" x14ac:dyDescent="0.2">
      <c r="A602" s="35">
        <v>14</v>
      </c>
      <c r="B602" s="36">
        <v>9</v>
      </c>
      <c r="C602" s="36">
        <v>3</v>
      </c>
      <c r="D602" s="37">
        <v>3</v>
      </c>
    </row>
    <row r="603" spans="1:4" s="3" customFormat="1" ht="18" customHeight="1" x14ac:dyDescent="0.2">
      <c r="A603" s="35">
        <v>14</v>
      </c>
      <c r="B603" s="36">
        <v>9</v>
      </c>
      <c r="C603" s="36">
        <v>3</v>
      </c>
      <c r="D603" s="37">
        <v>4</v>
      </c>
    </row>
    <row r="604" spans="1:4" s="3" customFormat="1" ht="18" customHeight="1" x14ac:dyDescent="0.2">
      <c r="A604" s="35">
        <v>15</v>
      </c>
      <c r="B604" s="36">
        <v>1</v>
      </c>
      <c r="C604" s="36">
        <v>2</v>
      </c>
      <c r="D604" s="37">
        <v>3</v>
      </c>
    </row>
    <row r="605" spans="1:4" s="3" customFormat="1" ht="18" customHeight="1" x14ac:dyDescent="0.2">
      <c r="A605" s="35">
        <v>15</v>
      </c>
      <c r="B605" s="36">
        <v>1</v>
      </c>
      <c r="C605" s="36">
        <v>2</v>
      </c>
      <c r="D605" s="37">
        <v>4</v>
      </c>
    </row>
    <row r="606" spans="1:4" s="3" customFormat="1" ht="18" customHeight="1" x14ac:dyDescent="0.2">
      <c r="A606" s="35">
        <v>15</v>
      </c>
      <c r="B606" s="36">
        <v>1</v>
      </c>
      <c r="C606" s="36">
        <v>3</v>
      </c>
      <c r="D606" s="37">
        <v>3</v>
      </c>
    </row>
    <row r="607" spans="1:4" s="3" customFormat="1" ht="18" customHeight="1" x14ac:dyDescent="0.2">
      <c r="A607" s="35">
        <v>15</v>
      </c>
      <c r="B607" s="36">
        <v>1</v>
      </c>
      <c r="C607" s="36">
        <v>3</v>
      </c>
      <c r="D607" s="37">
        <v>4</v>
      </c>
    </row>
    <row r="608" spans="1:4" s="3" customFormat="1" ht="18" customHeight="1" x14ac:dyDescent="0.2">
      <c r="A608" s="35">
        <v>15</v>
      </c>
      <c r="B608" s="36">
        <v>2</v>
      </c>
      <c r="C608" s="36">
        <v>2</v>
      </c>
      <c r="D608" s="37">
        <v>3</v>
      </c>
    </row>
    <row r="609" spans="1:4" s="3" customFormat="1" ht="18" customHeight="1" x14ac:dyDescent="0.2">
      <c r="A609" s="35">
        <v>15</v>
      </c>
      <c r="B609" s="36">
        <v>2</v>
      </c>
      <c r="C609" s="36">
        <v>2</v>
      </c>
      <c r="D609" s="37">
        <v>4</v>
      </c>
    </row>
    <row r="610" spans="1:4" s="3" customFormat="1" ht="18" customHeight="1" x14ac:dyDescent="0.2">
      <c r="A610" s="35">
        <v>15</v>
      </c>
      <c r="B610" s="36">
        <v>2</v>
      </c>
      <c r="C610" s="36">
        <v>3</v>
      </c>
      <c r="D610" s="37">
        <v>3</v>
      </c>
    </row>
    <row r="611" spans="1:4" s="3" customFormat="1" ht="18" customHeight="1" x14ac:dyDescent="0.2">
      <c r="A611" s="35">
        <v>15</v>
      </c>
      <c r="B611" s="36">
        <v>2</v>
      </c>
      <c r="C611" s="36">
        <v>3</v>
      </c>
      <c r="D611" s="37">
        <v>4</v>
      </c>
    </row>
    <row r="612" spans="1:4" s="3" customFormat="1" ht="18" customHeight="1" x14ac:dyDescent="0.2">
      <c r="A612" s="35">
        <v>15</v>
      </c>
      <c r="B612" s="36">
        <v>4</v>
      </c>
      <c r="C612" s="36">
        <v>2</v>
      </c>
      <c r="D612" s="37">
        <v>3</v>
      </c>
    </row>
    <row r="613" spans="1:4" s="3" customFormat="1" ht="18" customHeight="1" x14ac:dyDescent="0.2">
      <c r="A613" s="35">
        <v>15</v>
      </c>
      <c r="B613" s="36">
        <v>4</v>
      </c>
      <c r="C613" s="36">
        <v>2</v>
      </c>
      <c r="D613" s="37">
        <v>4</v>
      </c>
    </row>
    <row r="614" spans="1:4" s="3" customFormat="1" ht="18" customHeight="1" x14ac:dyDescent="0.2">
      <c r="A614" s="35">
        <v>15</v>
      </c>
      <c r="B614" s="36">
        <v>4</v>
      </c>
      <c r="C614" s="36">
        <v>3</v>
      </c>
      <c r="D614" s="37">
        <v>3</v>
      </c>
    </row>
    <row r="615" spans="1:4" s="3" customFormat="1" ht="18" customHeight="1" x14ac:dyDescent="0.2">
      <c r="A615" s="35">
        <v>15</v>
      </c>
      <c r="B615" s="36">
        <v>4</v>
      </c>
      <c r="C615" s="36">
        <v>3</v>
      </c>
      <c r="D615" s="37">
        <v>4</v>
      </c>
    </row>
    <row r="616" spans="1:4" s="3" customFormat="1" ht="18" customHeight="1" x14ac:dyDescent="0.2">
      <c r="A616" s="35">
        <v>15</v>
      </c>
      <c r="B616" s="36">
        <v>6</v>
      </c>
      <c r="C616" s="36">
        <v>2</v>
      </c>
      <c r="D616" s="37">
        <v>3</v>
      </c>
    </row>
    <row r="617" spans="1:4" s="3" customFormat="1" ht="18" customHeight="1" x14ac:dyDescent="0.2">
      <c r="A617" s="35">
        <v>15</v>
      </c>
      <c r="B617" s="36">
        <v>6</v>
      </c>
      <c r="C617" s="36">
        <v>2</v>
      </c>
      <c r="D617" s="37">
        <v>4</v>
      </c>
    </row>
    <row r="618" spans="1:4" s="3" customFormat="1" ht="18" customHeight="1" x14ac:dyDescent="0.2">
      <c r="A618" s="35">
        <v>15</v>
      </c>
      <c r="B618" s="36">
        <v>6</v>
      </c>
      <c r="C618" s="36">
        <v>3</v>
      </c>
      <c r="D618" s="37">
        <v>3</v>
      </c>
    </row>
    <row r="619" spans="1:4" s="3" customFormat="1" ht="18" customHeight="1" x14ac:dyDescent="0.2">
      <c r="A619" s="35">
        <v>15</v>
      </c>
      <c r="B619" s="36">
        <v>6</v>
      </c>
      <c r="C619" s="36">
        <v>3</v>
      </c>
      <c r="D619" s="37">
        <v>4</v>
      </c>
    </row>
    <row r="620" spans="1:4" s="3" customFormat="1" ht="18" customHeight="1" x14ac:dyDescent="0.2">
      <c r="A620" s="35">
        <v>15</v>
      </c>
      <c r="B620" s="36">
        <v>7</v>
      </c>
      <c r="C620" s="36">
        <v>2</v>
      </c>
      <c r="D620" s="37">
        <v>3</v>
      </c>
    </row>
    <row r="621" spans="1:4" s="3" customFormat="1" ht="18" customHeight="1" x14ac:dyDescent="0.2">
      <c r="A621" s="35">
        <v>15</v>
      </c>
      <c r="B621" s="36">
        <v>7</v>
      </c>
      <c r="C621" s="36">
        <v>2</v>
      </c>
      <c r="D621" s="37">
        <v>4</v>
      </c>
    </row>
    <row r="622" spans="1:4" s="3" customFormat="1" ht="18" customHeight="1" x14ac:dyDescent="0.2">
      <c r="A622" s="35">
        <v>15</v>
      </c>
      <c r="B622" s="36">
        <v>7</v>
      </c>
      <c r="C622" s="36">
        <v>3</v>
      </c>
      <c r="D622" s="37">
        <v>3</v>
      </c>
    </row>
    <row r="623" spans="1:4" s="3" customFormat="1" ht="18" customHeight="1" x14ac:dyDescent="0.2">
      <c r="A623" s="35">
        <v>15</v>
      </c>
      <c r="B623" s="36">
        <v>7</v>
      </c>
      <c r="C623" s="36">
        <v>3</v>
      </c>
      <c r="D623" s="37">
        <v>4</v>
      </c>
    </row>
    <row r="624" spans="1:4" s="3" customFormat="1" ht="18" customHeight="1" x14ac:dyDescent="0.2">
      <c r="A624" s="35">
        <v>15</v>
      </c>
      <c r="B624" s="36">
        <v>9</v>
      </c>
      <c r="C624" s="36">
        <v>2</v>
      </c>
      <c r="D624" s="37">
        <v>3</v>
      </c>
    </row>
    <row r="625" spans="1:4" s="3" customFormat="1" ht="18" customHeight="1" x14ac:dyDescent="0.2">
      <c r="A625" s="35">
        <v>15</v>
      </c>
      <c r="B625" s="36">
        <v>9</v>
      </c>
      <c r="C625" s="36">
        <v>2</v>
      </c>
      <c r="D625" s="37">
        <v>4</v>
      </c>
    </row>
    <row r="626" spans="1:4" s="3" customFormat="1" ht="18" customHeight="1" x14ac:dyDescent="0.2">
      <c r="A626" s="35">
        <v>15</v>
      </c>
      <c r="B626" s="36">
        <v>9</v>
      </c>
      <c r="C626" s="36">
        <v>3</v>
      </c>
      <c r="D626" s="37">
        <v>3</v>
      </c>
    </row>
    <row r="627" spans="1:4" s="3" customFormat="1" ht="18" customHeight="1" x14ac:dyDescent="0.2">
      <c r="A627" s="35">
        <v>15</v>
      </c>
      <c r="B627" s="36">
        <v>9</v>
      </c>
      <c r="C627" s="36">
        <v>3</v>
      </c>
      <c r="D627" s="37">
        <v>4</v>
      </c>
    </row>
    <row r="628" spans="1:4" s="3" customFormat="1" ht="18" customHeight="1" x14ac:dyDescent="0.2">
      <c r="A628" s="35">
        <v>16</v>
      </c>
      <c r="B628" s="36">
        <v>1</v>
      </c>
      <c r="C628" s="36">
        <v>2</v>
      </c>
      <c r="D628" s="37">
        <v>3</v>
      </c>
    </row>
    <row r="629" spans="1:4" s="3" customFormat="1" ht="18" customHeight="1" x14ac:dyDescent="0.2">
      <c r="A629" s="35">
        <v>16</v>
      </c>
      <c r="B629" s="36">
        <v>1</v>
      </c>
      <c r="C629" s="36">
        <v>2</v>
      </c>
      <c r="D629" s="37">
        <v>4</v>
      </c>
    </row>
    <row r="630" spans="1:4" s="3" customFormat="1" ht="18" customHeight="1" x14ac:dyDescent="0.2">
      <c r="A630" s="35">
        <v>16</v>
      </c>
      <c r="B630" s="36">
        <v>1</v>
      </c>
      <c r="C630" s="36">
        <v>3</v>
      </c>
      <c r="D630" s="37">
        <v>3</v>
      </c>
    </row>
    <row r="631" spans="1:4" s="3" customFormat="1" ht="18" customHeight="1" x14ac:dyDescent="0.2">
      <c r="A631" s="35">
        <v>16</v>
      </c>
      <c r="B631" s="36">
        <v>1</v>
      </c>
      <c r="C631" s="36">
        <v>3</v>
      </c>
      <c r="D631" s="37">
        <v>4</v>
      </c>
    </row>
    <row r="632" spans="1:4" s="3" customFormat="1" ht="18" customHeight="1" x14ac:dyDescent="0.2">
      <c r="A632" s="35">
        <v>16</v>
      </c>
      <c r="B632" s="36">
        <v>2</v>
      </c>
      <c r="C632" s="36">
        <v>2</v>
      </c>
      <c r="D632" s="37">
        <v>3</v>
      </c>
    </row>
    <row r="633" spans="1:4" s="3" customFormat="1" ht="18" customHeight="1" x14ac:dyDescent="0.2">
      <c r="A633" s="35">
        <v>16</v>
      </c>
      <c r="B633" s="36">
        <v>2</v>
      </c>
      <c r="C633" s="36">
        <v>2</v>
      </c>
      <c r="D633" s="37">
        <v>4</v>
      </c>
    </row>
    <row r="634" spans="1:4" s="3" customFormat="1" ht="18" customHeight="1" x14ac:dyDescent="0.2">
      <c r="A634" s="35">
        <v>16</v>
      </c>
      <c r="B634" s="36">
        <v>2</v>
      </c>
      <c r="C634" s="36">
        <v>3</v>
      </c>
      <c r="D634" s="37">
        <v>3</v>
      </c>
    </row>
    <row r="635" spans="1:4" s="3" customFormat="1" ht="18" customHeight="1" x14ac:dyDescent="0.2">
      <c r="A635" s="35">
        <v>16</v>
      </c>
      <c r="B635" s="36">
        <v>2</v>
      </c>
      <c r="C635" s="36">
        <v>3</v>
      </c>
      <c r="D635" s="37">
        <v>4</v>
      </c>
    </row>
    <row r="636" spans="1:4" s="3" customFormat="1" ht="18" customHeight="1" x14ac:dyDescent="0.2">
      <c r="A636" s="35">
        <v>16</v>
      </c>
      <c r="B636" s="36">
        <v>3</v>
      </c>
      <c r="C636" s="36">
        <v>2</v>
      </c>
      <c r="D636" s="37">
        <v>3</v>
      </c>
    </row>
    <row r="637" spans="1:4" s="3" customFormat="1" ht="18" customHeight="1" x14ac:dyDescent="0.2">
      <c r="A637" s="35">
        <v>16</v>
      </c>
      <c r="B637" s="36">
        <v>3</v>
      </c>
      <c r="C637" s="36">
        <v>2</v>
      </c>
      <c r="D637" s="37">
        <v>4</v>
      </c>
    </row>
    <row r="638" spans="1:4" s="3" customFormat="1" ht="18" customHeight="1" x14ac:dyDescent="0.2">
      <c r="A638" s="35">
        <v>16</v>
      </c>
      <c r="B638" s="36">
        <v>3</v>
      </c>
      <c r="C638" s="36">
        <v>3</v>
      </c>
      <c r="D638" s="37">
        <v>3</v>
      </c>
    </row>
    <row r="639" spans="1:4" s="3" customFormat="1" ht="18" customHeight="1" x14ac:dyDescent="0.2">
      <c r="A639" s="35">
        <v>16</v>
      </c>
      <c r="B639" s="36">
        <v>3</v>
      </c>
      <c r="C639" s="36">
        <v>3</v>
      </c>
      <c r="D639" s="37">
        <v>4</v>
      </c>
    </row>
    <row r="640" spans="1:4" s="3" customFormat="1" ht="18" customHeight="1" x14ac:dyDescent="0.2">
      <c r="A640" s="35">
        <v>16</v>
      </c>
      <c r="B640" s="36">
        <v>4</v>
      </c>
      <c r="C640" s="36">
        <v>2</v>
      </c>
      <c r="D640" s="37">
        <v>3</v>
      </c>
    </row>
    <row r="641" spans="1:4" s="3" customFormat="1" ht="18" customHeight="1" x14ac:dyDescent="0.2">
      <c r="A641" s="35">
        <v>16</v>
      </c>
      <c r="B641" s="36">
        <v>4</v>
      </c>
      <c r="C641" s="36">
        <v>2</v>
      </c>
      <c r="D641" s="37">
        <v>4</v>
      </c>
    </row>
    <row r="642" spans="1:4" s="3" customFormat="1" ht="18" customHeight="1" x14ac:dyDescent="0.2">
      <c r="A642" s="35">
        <v>16</v>
      </c>
      <c r="B642" s="36">
        <v>4</v>
      </c>
      <c r="C642" s="36">
        <v>3</v>
      </c>
      <c r="D642" s="37">
        <v>3</v>
      </c>
    </row>
    <row r="643" spans="1:4" s="3" customFormat="1" ht="18" customHeight="1" x14ac:dyDescent="0.2">
      <c r="A643" s="35">
        <v>16</v>
      </c>
      <c r="B643" s="36">
        <v>4</v>
      </c>
      <c r="C643" s="36">
        <v>3</v>
      </c>
      <c r="D643" s="37">
        <v>4</v>
      </c>
    </row>
    <row r="644" spans="1:4" s="3" customFormat="1" ht="18" customHeight="1" x14ac:dyDescent="0.2">
      <c r="A644" s="35">
        <v>16</v>
      </c>
      <c r="B644" s="36">
        <v>5</v>
      </c>
      <c r="C644" s="36">
        <v>2</v>
      </c>
      <c r="D644" s="37">
        <v>3</v>
      </c>
    </row>
    <row r="645" spans="1:4" s="3" customFormat="1" ht="18" customHeight="1" x14ac:dyDescent="0.2">
      <c r="A645" s="35">
        <v>16</v>
      </c>
      <c r="B645" s="36">
        <v>5</v>
      </c>
      <c r="C645" s="36">
        <v>2</v>
      </c>
      <c r="D645" s="37">
        <v>4</v>
      </c>
    </row>
    <row r="646" spans="1:4" s="3" customFormat="1" ht="18" customHeight="1" x14ac:dyDescent="0.2">
      <c r="A646" s="35">
        <v>16</v>
      </c>
      <c r="B646" s="36">
        <v>5</v>
      </c>
      <c r="C646" s="36">
        <v>3</v>
      </c>
      <c r="D646" s="37">
        <v>3</v>
      </c>
    </row>
    <row r="647" spans="1:4" s="3" customFormat="1" ht="18" customHeight="1" x14ac:dyDescent="0.2">
      <c r="A647" s="35">
        <v>16</v>
      </c>
      <c r="B647" s="36">
        <v>5</v>
      </c>
      <c r="C647" s="36">
        <v>3</v>
      </c>
      <c r="D647" s="37">
        <v>4</v>
      </c>
    </row>
    <row r="648" spans="1:4" s="3" customFormat="1" ht="18" customHeight="1" x14ac:dyDescent="0.2">
      <c r="A648" s="35">
        <v>16</v>
      </c>
      <c r="B648" s="36">
        <v>6</v>
      </c>
      <c r="C648" s="36">
        <v>2</v>
      </c>
      <c r="D648" s="37">
        <v>3</v>
      </c>
    </row>
    <row r="649" spans="1:4" s="3" customFormat="1" ht="18" customHeight="1" x14ac:dyDescent="0.2">
      <c r="A649" s="35">
        <v>16</v>
      </c>
      <c r="B649" s="36">
        <v>6</v>
      </c>
      <c r="C649" s="36">
        <v>2</v>
      </c>
      <c r="D649" s="37">
        <v>4</v>
      </c>
    </row>
    <row r="650" spans="1:4" s="3" customFormat="1" ht="18" customHeight="1" x14ac:dyDescent="0.2">
      <c r="A650" s="35">
        <v>16</v>
      </c>
      <c r="B650" s="36">
        <v>6</v>
      </c>
      <c r="C650" s="36">
        <v>3</v>
      </c>
      <c r="D650" s="37">
        <v>3</v>
      </c>
    </row>
    <row r="651" spans="1:4" s="3" customFormat="1" ht="18" customHeight="1" x14ac:dyDescent="0.2">
      <c r="A651" s="35">
        <v>16</v>
      </c>
      <c r="B651" s="36">
        <v>6</v>
      </c>
      <c r="C651" s="36">
        <v>3</v>
      </c>
      <c r="D651" s="37">
        <v>4</v>
      </c>
    </row>
    <row r="652" spans="1:4" s="3" customFormat="1" ht="18" customHeight="1" x14ac:dyDescent="0.2">
      <c r="A652" s="35">
        <v>16</v>
      </c>
      <c r="B652" s="36">
        <v>7</v>
      </c>
      <c r="C652" s="36">
        <v>2</v>
      </c>
      <c r="D652" s="37">
        <v>3</v>
      </c>
    </row>
    <row r="653" spans="1:4" s="3" customFormat="1" ht="18" customHeight="1" x14ac:dyDescent="0.2">
      <c r="A653" s="35">
        <v>16</v>
      </c>
      <c r="B653" s="36">
        <v>7</v>
      </c>
      <c r="C653" s="36">
        <v>2</v>
      </c>
      <c r="D653" s="37">
        <v>4</v>
      </c>
    </row>
    <row r="654" spans="1:4" s="3" customFormat="1" ht="18" customHeight="1" x14ac:dyDescent="0.2">
      <c r="A654" s="35">
        <v>16</v>
      </c>
      <c r="B654" s="36">
        <v>7</v>
      </c>
      <c r="C654" s="36">
        <v>3</v>
      </c>
      <c r="D654" s="37">
        <v>3</v>
      </c>
    </row>
    <row r="655" spans="1:4" s="3" customFormat="1" ht="18" customHeight="1" x14ac:dyDescent="0.2">
      <c r="A655" s="35">
        <v>16</v>
      </c>
      <c r="B655" s="36">
        <v>7</v>
      </c>
      <c r="C655" s="36">
        <v>3</v>
      </c>
      <c r="D655" s="37">
        <v>4</v>
      </c>
    </row>
    <row r="656" spans="1:4" s="3" customFormat="1" ht="18" customHeight="1" x14ac:dyDescent="0.2">
      <c r="A656" s="35">
        <v>16</v>
      </c>
      <c r="B656" s="36">
        <v>8</v>
      </c>
      <c r="C656" s="36">
        <v>2</v>
      </c>
      <c r="D656" s="37">
        <v>3</v>
      </c>
    </row>
    <row r="657" spans="1:4" s="3" customFormat="1" ht="18" customHeight="1" x14ac:dyDescent="0.2">
      <c r="A657" s="35">
        <v>16</v>
      </c>
      <c r="B657" s="36">
        <v>8</v>
      </c>
      <c r="C657" s="36">
        <v>2</v>
      </c>
      <c r="D657" s="37">
        <v>4</v>
      </c>
    </row>
    <row r="658" spans="1:4" s="3" customFormat="1" ht="18" customHeight="1" x14ac:dyDescent="0.2">
      <c r="A658" s="35">
        <v>16</v>
      </c>
      <c r="B658" s="36">
        <v>8</v>
      </c>
      <c r="C658" s="36">
        <v>3</v>
      </c>
      <c r="D658" s="37">
        <v>3</v>
      </c>
    </row>
    <row r="659" spans="1:4" s="3" customFormat="1" ht="18" customHeight="1" x14ac:dyDescent="0.2">
      <c r="A659" s="35">
        <v>16</v>
      </c>
      <c r="B659" s="36">
        <v>8</v>
      </c>
      <c r="C659" s="36">
        <v>3</v>
      </c>
      <c r="D659" s="37">
        <v>4</v>
      </c>
    </row>
    <row r="660" spans="1:4" s="3" customFormat="1" ht="18" customHeight="1" x14ac:dyDescent="0.2">
      <c r="A660" s="35">
        <v>16</v>
      </c>
      <c r="B660" s="36">
        <v>9</v>
      </c>
      <c r="C660" s="36">
        <v>2</v>
      </c>
      <c r="D660" s="37">
        <v>3</v>
      </c>
    </row>
    <row r="661" spans="1:4" s="3" customFormat="1" ht="18" customHeight="1" x14ac:dyDescent="0.2">
      <c r="A661" s="35">
        <v>16</v>
      </c>
      <c r="B661" s="36">
        <v>9</v>
      </c>
      <c r="C661" s="36">
        <v>2</v>
      </c>
      <c r="D661" s="37">
        <v>4</v>
      </c>
    </row>
    <row r="662" spans="1:4" s="3" customFormat="1" ht="18" customHeight="1" x14ac:dyDescent="0.2">
      <c r="A662" s="35">
        <v>16</v>
      </c>
      <c r="B662" s="36">
        <v>9</v>
      </c>
      <c r="C662" s="36">
        <v>3</v>
      </c>
      <c r="D662" s="37">
        <v>3</v>
      </c>
    </row>
    <row r="663" spans="1:4" s="3" customFormat="1" ht="18" customHeight="1" x14ac:dyDescent="0.2">
      <c r="A663" s="35">
        <v>16</v>
      </c>
      <c r="B663" s="36">
        <v>9</v>
      </c>
      <c r="C663" s="36">
        <v>3</v>
      </c>
      <c r="D663" s="37">
        <v>4</v>
      </c>
    </row>
    <row r="664" spans="1:4" s="3" customFormat="1" ht="18" customHeight="1" x14ac:dyDescent="0.2">
      <c r="A664" s="35">
        <v>16</v>
      </c>
      <c r="B664" s="36">
        <v>10</v>
      </c>
      <c r="C664" s="36">
        <v>2</v>
      </c>
      <c r="D664" s="37">
        <v>3</v>
      </c>
    </row>
    <row r="665" spans="1:4" s="3" customFormat="1" ht="18" customHeight="1" x14ac:dyDescent="0.2">
      <c r="A665" s="35">
        <v>16</v>
      </c>
      <c r="B665" s="36">
        <v>10</v>
      </c>
      <c r="C665" s="36">
        <v>2</v>
      </c>
      <c r="D665" s="37">
        <v>4</v>
      </c>
    </row>
    <row r="666" spans="1:4" s="3" customFormat="1" ht="18" customHeight="1" x14ac:dyDescent="0.2">
      <c r="A666" s="35">
        <v>16</v>
      </c>
      <c r="B666" s="36">
        <v>10</v>
      </c>
      <c r="C666" s="36">
        <v>3</v>
      </c>
      <c r="D666" s="37">
        <v>3</v>
      </c>
    </row>
    <row r="667" spans="1:4" s="3" customFormat="1" ht="18" customHeight="1" x14ac:dyDescent="0.2">
      <c r="A667" s="35">
        <v>16</v>
      </c>
      <c r="B667" s="36">
        <v>10</v>
      </c>
      <c r="C667" s="36">
        <v>3</v>
      </c>
      <c r="D667" s="37">
        <v>4</v>
      </c>
    </row>
    <row r="668" spans="1:4" s="3" customFormat="1" ht="18" customHeight="1" x14ac:dyDescent="0.2">
      <c r="A668" s="35">
        <v>17</v>
      </c>
      <c r="B668" s="36">
        <v>1</v>
      </c>
      <c r="C668" s="36">
        <v>2</v>
      </c>
      <c r="D668" s="37">
        <v>3</v>
      </c>
    </row>
    <row r="669" spans="1:4" s="3" customFormat="1" ht="18" customHeight="1" x14ac:dyDescent="0.2">
      <c r="A669" s="35">
        <v>17</v>
      </c>
      <c r="B669" s="36">
        <v>1</v>
      </c>
      <c r="C669" s="36">
        <v>2</v>
      </c>
      <c r="D669" s="37">
        <v>4</v>
      </c>
    </row>
    <row r="670" spans="1:4" s="3" customFormat="1" ht="18" customHeight="1" x14ac:dyDescent="0.2">
      <c r="A670" s="35">
        <v>17</v>
      </c>
      <c r="B670" s="36">
        <v>1</v>
      </c>
      <c r="C670" s="36">
        <v>3</v>
      </c>
      <c r="D670" s="37">
        <v>3</v>
      </c>
    </row>
    <row r="671" spans="1:4" s="3" customFormat="1" ht="18" customHeight="1" x14ac:dyDescent="0.2">
      <c r="A671" s="35">
        <v>17</v>
      </c>
      <c r="B671" s="36">
        <v>1</v>
      </c>
      <c r="C671" s="36">
        <v>3</v>
      </c>
      <c r="D671" s="37">
        <v>4</v>
      </c>
    </row>
    <row r="672" spans="1:4" s="3" customFormat="1" ht="18" customHeight="1" x14ac:dyDescent="0.2">
      <c r="A672" s="35">
        <v>17</v>
      </c>
      <c r="B672" s="36">
        <v>2</v>
      </c>
      <c r="C672" s="36">
        <v>2</v>
      </c>
      <c r="D672" s="37">
        <v>3</v>
      </c>
    </row>
    <row r="673" spans="1:4" s="3" customFormat="1" ht="18" customHeight="1" x14ac:dyDescent="0.2">
      <c r="A673" s="35">
        <v>17</v>
      </c>
      <c r="B673" s="36">
        <v>2</v>
      </c>
      <c r="C673" s="36">
        <v>2</v>
      </c>
      <c r="D673" s="37">
        <v>4</v>
      </c>
    </row>
    <row r="674" spans="1:4" s="3" customFormat="1" ht="18" customHeight="1" x14ac:dyDescent="0.2">
      <c r="A674" s="35">
        <v>17</v>
      </c>
      <c r="B674" s="36">
        <v>2</v>
      </c>
      <c r="C674" s="36">
        <v>3</v>
      </c>
      <c r="D674" s="37">
        <v>3</v>
      </c>
    </row>
    <row r="675" spans="1:4" s="3" customFormat="1" ht="18" customHeight="1" x14ac:dyDescent="0.2">
      <c r="A675" s="35">
        <v>17</v>
      </c>
      <c r="B675" s="36">
        <v>2</v>
      </c>
      <c r="C675" s="36">
        <v>3</v>
      </c>
      <c r="D675" s="37">
        <v>4</v>
      </c>
    </row>
    <row r="676" spans="1:4" s="3" customFormat="1" ht="18" customHeight="1" x14ac:dyDescent="0.2">
      <c r="A676" s="35">
        <v>17</v>
      </c>
      <c r="B676" s="36">
        <v>3</v>
      </c>
      <c r="C676" s="36">
        <v>2</v>
      </c>
      <c r="D676" s="37">
        <v>3</v>
      </c>
    </row>
    <row r="677" spans="1:4" s="3" customFormat="1" ht="18" customHeight="1" x14ac:dyDescent="0.2">
      <c r="A677" s="35">
        <v>17</v>
      </c>
      <c r="B677" s="36">
        <v>3</v>
      </c>
      <c r="C677" s="36">
        <v>2</v>
      </c>
      <c r="D677" s="37">
        <v>4</v>
      </c>
    </row>
    <row r="678" spans="1:4" s="3" customFormat="1" ht="18" customHeight="1" x14ac:dyDescent="0.2">
      <c r="A678" s="35">
        <v>17</v>
      </c>
      <c r="B678" s="36">
        <v>3</v>
      </c>
      <c r="C678" s="36">
        <v>3</v>
      </c>
      <c r="D678" s="37">
        <v>3</v>
      </c>
    </row>
    <row r="679" spans="1:4" s="3" customFormat="1" ht="18" customHeight="1" x14ac:dyDescent="0.2">
      <c r="A679" s="35">
        <v>17</v>
      </c>
      <c r="B679" s="36">
        <v>3</v>
      </c>
      <c r="C679" s="36">
        <v>3</v>
      </c>
      <c r="D679" s="37">
        <v>4</v>
      </c>
    </row>
    <row r="680" spans="1:4" s="3" customFormat="1" ht="18" customHeight="1" x14ac:dyDescent="0.2">
      <c r="A680" s="35">
        <v>17</v>
      </c>
      <c r="B680" s="36">
        <v>4</v>
      </c>
      <c r="C680" s="36">
        <v>2</v>
      </c>
      <c r="D680" s="37">
        <v>3</v>
      </c>
    </row>
    <row r="681" spans="1:4" s="3" customFormat="1" ht="18" customHeight="1" x14ac:dyDescent="0.2">
      <c r="A681" s="35">
        <v>17</v>
      </c>
      <c r="B681" s="36">
        <v>4</v>
      </c>
      <c r="C681" s="36">
        <v>2</v>
      </c>
      <c r="D681" s="37">
        <v>4</v>
      </c>
    </row>
    <row r="682" spans="1:4" s="3" customFormat="1" ht="18" customHeight="1" x14ac:dyDescent="0.2">
      <c r="A682" s="35">
        <v>17</v>
      </c>
      <c r="B682" s="36">
        <v>4</v>
      </c>
      <c r="C682" s="36">
        <v>3</v>
      </c>
      <c r="D682" s="37">
        <v>3</v>
      </c>
    </row>
    <row r="683" spans="1:4" s="3" customFormat="1" ht="18" customHeight="1" x14ac:dyDescent="0.2">
      <c r="A683" s="35">
        <v>17</v>
      </c>
      <c r="B683" s="36">
        <v>4</v>
      </c>
      <c r="C683" s="36">
        <v>3</v>
      </c>
      <c r="D683" s="37">
        <v>4</v>
      </c>
    </row>
    <row r="684" spans="1:4" s="3" customFormat="1" ht="18" customHeight="1" x14ac:dyDescent="0.2">
      <c r="A684" s="35">
        <v>17</v>
      </c>
      <c r="B684" s="36">
        <v>5</v>
      </c>
      <c r="C684" s="36">
        <v>2</v>
      </c>
      <c r="D684" s="37">
        <v>3</v>
      </c>
    </row>
    <row r="685" spans="1:4" s="3" customFormat="1" ht="18" customHeight="1" x14ac:dyDescent="0.2">
      <c r="A685" s="35">
        <v>17</v>
      </c>
      <c r="B685" s="36">
        <v>5</v>
      </c>
      <c r="C685" s="36">
        <v>2</v>
      </c>
      <c r="D685" s="37">
        <v>4</v>
      </c>
    </row>
    <row r="686" spans="1:4" s="3" customFormat="1" ht="18" customHeight="1" x14ac:dyDescent="0.2">
      <c r="A686" s="35">
        <v>17</v>
      </c>
      <c r="B686" s="36">
        <v>5</v>
      </c>
      <c r="C686" s="36">
        <v>3</v>
      </c>
      <c r="D686" s="37">
        <v>3</v>
      </c>
    </row>
    <row r="687" spans="1:4" s="3" customFormat="1" ht="18" customHeight="1" x14ac:dyDescent="0.2">
      <c r="A687" s="35">
        <v>17</v>
      </c>
      <c r="B687" s="36">
        <v>5</v>
      </c>
      <c r="C687" s="36">
        <v>3</v>
      </c>
      <c r="D687" s="37">
        <v>4</v>
      </c>
    </row>
    <row r="688" spans="1:4" s="3" customFormat="1" ht="18" customHeight="1" x14ac:dyDescent="0.2">
      <c r="A688" s="35">
        <v>17</v>
      </c>
      <c r="B688" s="36">
        <v>6</v>
      </c>
      <c r="C688" s="36">
        <v>2</v>
      </c>
      <c r="D688" s="37">
        <v>3</v>
      </c>
    </row>
    <row r="689" spans="1:4" s="3" customFormat="1" ht="18" customHeight="1" x14ac:dyDescent="0.2">
      <c r="A689" s="35">
        <v>17</v>
      </c>
      <c r="B689" s="36">
        <v>6</v>
      </c>
      <c r="C689" s="36">
        <v>2</v>
      </c>
      <c r="D689" s="37">
        <v>4</v>
      </c>
    </row>
    <row r="690" spans="1:4" s="3" customFormat="1" ht="18" customHeight="1" x14ac:dyDescent="0.2">
      <c r="A690" s="35">
        <v>17</v>
      </c>
      <c r="B690" s="36">
        <v>6</v>
      </c>
      <c r="C690" s="36">
        <v>3</v>
      </c>
      <c r="D690" s="37">
        <v>3</v>
      </c>
    </row>
    <row r="691" spans="1:4" s="3" customFormat="1" ht="18" customHeight="1" x14ac:dyDescent="0.2">
      <c r="A691" s="35">
        <v>17</v>
      </c>
      <c r="B691" s="36">
        <v>6</v>
      </c>
      <c r="C691" s="36">
        <v>3</v>
      </c>
      <c r="D691" s="37">
        <v>4</v>
      </c>
    </row>
    <row r="692" spans="1:4" s="3" customFormat="1" ht="18" customHeight="1" x14ac:dyDescent="0.2">
      <c r="A692" s="35">
        <v>17</v>
      </c>
      <c r="B692" s="36">
        <v>7</v>
      </c>
      <c r="C692" s="36">
        <v>2</v>
      </c>
      <c r="D692" s="37">
        <v>3</v>
      </c>
    </row>
    <row r="693" spans="1:4" s="3" customFormat="1" ht="18" customHeight="1" x14ac:dyDescent="0.2">
      <c r="A693" s="35">
        <v>17</v>
      </c>
      <c r="B693" s="36">
        <v>7</v>
      </c>
      <c r="C693" s="36">
        <v>2</v>
      </c>
      <c r="D693" s="37">
        <v>4</v>
      </c>
    </row>
    <row r="694" spans="1:4" s="3" customFormat="1" ht="18" customHeight="1" x14ac:dyDescent="0.2">
      <c r="A694" s="35">
        <v>17</v>
      </c>
      <c r="B694" s="36">
        <v>7</v>
      </c>
      <c r="C694" s="36">
        <v>3</v>
      </c>
      <c r="D694" s="37">
        <v>3</v>
      </c>
    </row>
    <row r="695" spans="1:4" s="3" customFormat="1" ht="18" customHeight="1" x14ac:dyDescent="0.2">
      <c r="A695" s="35">
        <v>17</v>
      </c>
      <c r="B695" s="36">
        <v>7</v>
      </c>
      <c r="C695" s="36">
        <v>3</v>
      </c>
      <c r="D695" s="37">
        <v>4</v>
      </c>
    </row>
    <row r="696" spans="1:4" s="3" customFormat="1" ht="18" customHeight="1" x14ac:dyDescent="0.2">
      <c r="A696" s="35">
        <v>17</v>
      </c>
      <c r="B696" s="36">
        <v>8</v>
      </c>
      <c r="C696" s="36">
        <v>2</v>
      </c>
      <c r="D696" s="37">
        <v>3</v>
      </c>
    </row>
    <row r="697" spans="1:4" s="3" customFormat="1" ht="18" customHeight="1" x14ac:dyDescent="0.2">
      <c r="A697" s="35">
        <v>17</v>
      </c>
      <c r="B697" s="36">
        <v>8</v>
      </c>
      <c r="C697" s="36">
        <v>2</v>
      </c>
      <c r="D697" s="37">
        <v>4</v>
      </c>
    </row>
    <row r="698" spans="1:4" s="3" customFormat="1" ht="18" customHeight="1" x14ac:dyDescent="0.2">
      <c r="A698" s="35">
        <v>17</v>
      </c>
      <c r="B698" s="36">
        <v>8</v>
      </c>
      <c r="C698" s="36">
        <v>3</v>
      </c>
      <c r="D698" s="37">
        <v>3</v>
      </c>
    </row>
    <row r="699" spans="1:4" s="3" customFormat="1" ht="18" customHeight="1" x14ac:dyDescent="0.2">
      <c r="A699" s="35">
        <v>17</v>
      </c>
      <c r="B699" s="36">
        <v>8</v>
      </c>
      <c r="C699" s="36">
        <v>3</v>
      </c>
      <c r="D699" s="37">
        <v>4</v>
      </c>
    </row>
    <row r="700" spans="1:4" s="3" customFormat="1" ht="18" customHeight="1" x14ac:dyDescent="0.2">
      <c r="A700" s="35">
        <v>17</v>
      </c>
      <c r="B700" s="36">
        <v>9</v>
      </c>
      <c r="C700" s="36">
        <v>2</v>
      </c>
      <c r="D700" s="37">
        <v>3</v>
      </c>
    </row>
    <row r="701" spans="1:4" s="3" customFormat="1" ht="18" customHeight="1" x14ac:dyDescent="0.2">
      <c r="A701" s="35">
        <v>17</v>
      </c>
      <c r="B701" s="36">
        <v>9</v>
      </c>
      <c r="C701" s="36">
        <v>2</v>
      </c>
      <c r="D701" s="37">
        <v>4</v>
      </c>
    </row>
    <row r="702" spans="1:4" s="3" customFormat="1" ht="18" customHeight="1" x14ac:dyDescent="0.2">
      <c r="A702" s="35">
        <v>17</v>
      </c>
      <c r="B702" s="36">
        <v>9</v>
      </c>
      <c r="C702" s="36">
        <v>3</v>
      </c>
      <c r="D702" s="37">
        <v>3</v>
      </c>
    </row>
    <row r="703" spans="1:4" s="3" customFormat="1" ht="18" customHeight="1" x14ac:dyDescent="0.2">
      <c r="A703" s="35">
        <v>17</v>
      </c>
      <c r="B703" s="36">
        <v>9</v>
      </c>
      <c r="C703" s="36">
        <v>3</v>
      </c>
      <c r="D703" s="37">
        <v>4</v>
      </c>
    </row>
    <row r="704" spans="1:4" s="3" customFormat="1" ht="18" customHeight="1" x14ac:dyDescent="0.2">
      <c r="A704" s="35">
        <v>17</v>
      </c>
      <c r="B704" s="36">
        <v>10</v>
      </c>
      <c r="C704" s="36">
        <v>2</v>
      </c>
      <c r="D704" s="37">
        <v>3</v>
      </c>
    </row>
    <row r="705" spans="1:4" s="3" customFormat="1" ht="18" customHeight="1" x14ac:dyDescent="0.2">
      <c r="A705" s="35">
        <v>17</v>
      </c>
      <c r="B705" s="36">
        <v>10</v>
      </c>
      <c r="C705" s="36">
        <v>2</v>
      </c>
      <c r="D705" s="37">
        <v>4</v>
      </c>
    </row>
    <row r="706" spans="1:4" s="3" customFormat="1" ht="18" customHeight="1" x14ac:dyDescent="0.2">
      <c r="A706" s="35">
        <v>17</v>
      </c>
      <c r="B706" s="36">
        <v>10</v>
      </c>
      <c r="C706" s="36">
        <v>3</v>
      </c>
      <c r="D706" s="37">
        <v>3</v>
      </c>
    </row>
    <row r="707" spans="1:4" s="3" customFormat="1" ht="18" customHeight="1" x14ac:dyDescent="0.2">
      <c r="A707" s="35">
        <v>17</v>
      </c>
      <c r="B707" s="36">
        <v>10</v>
      </c>
      <c r="C707" s="36">
        <v>3</v>
      </c>
      <c r="D707" s="37">
        <v>4</v>
      </c>
    </row>
    <row r="708" spans="1:4" s="3" customFormat="1" ht="18" customHeight="1" x14ac:dyDescent="0.2">
      <c r="A708" s="35">
        <v>18</v>
      </c>
      <c r="B708" s="36">
        <v>1</v>
      </c>
      <c r="C708" s="36">
        <v>2</v>
      </c>
      <c r="D708" s="37">
        <v>3</v>
      </c>
    </row>
    <row r="709" spans="1:4" s="3" customFormat="1" ht="18" customHeight="1" x14ac:dyDescent="0.2">
      <c r="A709" s="35">
        <v>18</v>
      </c>
      <c r="B709" s="36">
        <v>1</v>
      </c>
      <c r="C709" s="36">
        <v>2</v>
      </c>
      <c r="D709" s="37">
        <v>4</v>
      </c>
    </row>
    <row r="710" spans="1:4" s="3" customFormat="1" ht="18" customHeight="1" x14ac:dyDescent="0.2">
      <c r="A710" s="35">
        <v>18</v>
      </c>
      <c r="B710" s="36">
        <v>1</v>
      </c>
      <c r="C710" s="36">
        <v>3</v>
      </c>
      <c r="D710" s="37">
        <v>3</v>
      </c>
    </row>
    <row r="711" spans="1:4" s="3" customFormat="1" ht="18" customHeight="1" x14ac:dyDescent="0.2">
      <c r="A711" s="35">
        <v>18</v>
      </c>
      <c r="B711" s="36">
        <v>1</v>
      </c>
      <c r="C711" s="36">
        <v>3</v>
      </c>
      <c r="D711" s="37">
        <v>4</v>
      </c>
    </row>
    <row r="712" spans="1:4" s="3" customFormat="1" ht="18" customHeight="1" x14ac:dyDescent="0.2">
      <c r="A712" s="35">
        <v>18</v>
      </c>
      <c r="B712" s="36">
        <v>2</v>
      </c>
      <c r="C712" s="36">
        <v>2</v>
      </c>
      <c r="D712" s="37">
        <v>3</v>
      </c>
    </row>
    <row r="713" spans="1:4" s="3" customFormat="1" ht="18" customHeight="1" x14ac:dyDescent="0.2">
      <c r="A713" s="35">
        <v>18</v>
      </c>
      <c r="B713" s="36">
        <v>2</v>
      </c>
      <c r="C713" s="36">
        <v>2</v>
      </c>
      <c r="D713" s="37">
        <v>4</v>
      </c>
    </row>
    <row r="714" spans="1:4" s="3" customFormat="1" ht="18" customHeight="1" x14ac:dyDescent="0.2">
      <c r="A714" s="35">
        <v>18</v>
      </c>
      <c r="B714" s="36">
        <v>2</v>
      </c>
      <c r="C714" s="36">
        <v>3</v>
      </c>
      <c r="D714" s="37">
        <v>3</v>
      </c>
    </row>
    <row r="715" spans="1:4" s="3" customFormat="1" ht="18" customHeight="1" x14ac:dyDescent="0.2">
      <c r="A715" s="35">
        <v>18</v>
      </c>
      <c r="B715" s="36">
        <v>2</v>
      </c>
      <c r="C715" s="36">
        <v>3</v>
      </c>
      <c r="D715" s="37">
        <v>4</v>
      </c>
    </row>
    <row r="716" spans="1:4" s="3" customFormat="1" ht="18" customHeight="1" x14ac:dyDescent="0.2">
      <c r="A716" s="35">
        <v>18</v>
      </c>
      <c r="B716" s="36">
        <v>3</v>
      </c>
      <c r="C716" s="36">
        <v>2</v>
      </c>
      <c r="D716" s="37">
        <v>3</v>
      </c>
    </row>
    <row r="717" spans="1:4" s="3" customFormat="1" ht="18" customHeight="1" x14ac:dyDescent="0.2">
      <c r="A717" s="35">
        <v>18</v>
      </c>
      <c r="B717" s="36">
        <v>3</v>
      </c>
      <c r="C717" s="36">
        <v>2</v>
      </c>
      <c r="D717" s="37">
        <v>4</v>
      </c>
    </row>
    <row r="718" spans="1:4" s="3" customFormat="1" ht="18" customHeight="1" x14ac:dyDescent="0.2">
      <c r="A718" s="35">
        <v>18</v>
      </c>
      <c r="B718" s="36">
        <v>3</v>
      </c>
      <c r="C718" s="36">
        <v>3</v>
      </c>
      <c r="D718" s="37">
        <v>3</v>
      </c>
    </row>
    <row r="719" spans="1:4" s="3" customFormat="1" ht="18" customHeight="1" x14ac:dyDescent="0.2">
      <c r="A719" s="35">
        <v>18</v>
      </c>
      <c r="B719" s="36">
        <v>3</v>
      </c>
      <c r="C719" s="36">
        <v>3</v>
      </c>
      <c r="D719" s="37">
        <v>4</v>
      </c>
    </row>
    <row r="720" spans="1:4" s="3" customFormat="1" ht="18" customHeight="1" x14ac:dyDescent="0.2">
      <c r="A720" s="35">
        <v>18</v>
      </c>
      <c r="B720" s="36">
        <v>4</v>
      </c>
      <c r="C720" s="36">
        <v>2</v>
      </c>
      <c r="D720" s="37">
        <v>3</v>
      </c>
    </row>
    <row r="721" spans="1:4" s="3" customFormat="1" ht="18" customHeight="1" x14ac:dyDescent="0.2">
      <c r="A721" s="35">
        <v>18</v>
      </c>
      <c r="B721" s="36">
        <v>4</v>
      </c>
      <c r="C721" s="36">
        <v>2</v>
      </c>
      <c r="D721" s="37">
        <v>4</v>
      </c>
    </row>
    <row r="722" spans="1:4" s="3" customFormat="1" ht="18" customHeight="1" x14ac:dyDescent="0.2">
      <c r="A722" s="35">
        <v>18</v>
      </c>
      <c r="B722" s="36">
        <v>4</v>
      </c>
      <c r="C722" s="36">
        <v>3</v>
      </c>
      <c r="D722" s="37">
        <v>3</v>
      </c>
    </row>
    <row r="723" spans="1:4" s="3" customFormat="1" ht="18" customHeight="1" x14ac:dyDescent="0.2">
      <c r="A723" s="35">
        <v>18</v>
      </c>
      <c r="B723" s="36">
        <v>4</v>
      </c>
      <c r="C723" s="36">
        <v>3</v>
      </c>
      <c r="D723" s="37">
        <v>4</v>
      </c>
    </row>
    <row r="724" spans="1:4" s="3" customFormat="1" ht="18" customHeight="1" x14ac:dyDescent="0.2">
      <c r="A724" s="35">
        <v>18</v>
      </c>
      <c r="B724" s="36">
        <v>5</v>
      </c>
      <c r="C724" s="36">
        <v>2</v>
      </c>
      <c r="D724" s="37">
        <v>3</v>
      </c>
    </row>
    <row r="725" spans="1:4" s="3" customFormat="1" ht="18" customHeight="1" x14ac:dyDescent="0.2">
      <c r="A725" s="35">
        <v>18</v>
      </c>
      <c r="B725" s="36">
        <v>5</v>
      </c>
      <c r="C725" s="36">
        <v>2</v>
      </c>
      <c r="D725" s="37">
        <v>4</v>
      </c>
    </row>
    <row r="726" spans="1:4" s="3" customFormat="1" ht="18" customHeight="1" x14ac:dyDescent="0.2">
      <c r="A726" s="35">
        <v>18</v>
      </c>
      <c r="B726" s="36">
        <v>5</v>
      </c>
      <c r="C726" s="36">
        <v>3</v>
      </c>
      <c r="D726" s="37">
        <v>3</v>
      </c>
    </row>
    <row r="727" spans="1:4" s="3" customFormat="1" ht="18" customHeight="1" x14ac:dyDescent="0.2">
      <c r="A727" s="35">
        <v>18</v>
      </c>
      <c r="B727" s="36">
        <v>5</v>
      </c>
      <c r="C727" s="36">
        <v>3</v>
      </c>
      <c r="D727" s="37">
        <v>4</v>
      </c>
    </row>
    <row r="728" spans="1:4" s="3" customFormat="1" ht="18" customHeight="1" x14ac:dyDescent="0.2">
      <c r="A728" s="35">
        <v>18</v>
      </c>
      <c r="B728" s="36">
        <v>6</v>
      </c>
      <c r="C728" s="36">
        <v>2</v>
      </c>
      <c r="D728" s="37">
        <v>3</v>
      </c>
    </row>
    <row r="729" spans="1:4" s="3" customFormat="1" ht="18" customHeight="1" x14ac:dyDescent="0.2">
      <c r="A729" s="35">
        <v>18</v>
      </c>
      <c r="B729" s="36">
        <v>6</v>
      </c>
      <c r="C729" s="36">
        <v>2</v>
      </c>
      <c r="D729" s="37">
        <v>4</v>
      </c>
    </row>
    <row r="730" spans="1:4" s="3" customFormat="1" ht="18" customHeight="1" x14ac:dyDescent="0.2">
      <c r="A730" s="35">
        <v>18</v>
      </c>
      <c r="B730" s="36">
        <v>6</v>
      </c>
      <c r="C730" s="36">
        <v>3</v>
      </c>
      <c r="D730" s="37">
        <v>3</v>
      </c>
    </row>
    <row r="731" spans="1:4" s="3" customFormat="1" ht="18" customHeight="1" x14ac:dyDescent="0.2">
      <c r="A731" s="35">
        <v>18</v>
      </c>
      <c r="B731" s="36">
        <v>6</v>
      </c>
      <c r="C731" s="36">
        <v>3</v>
      </c>
      <c r="D731" s="37">
        <v>4</v>
      </c>
    </row>
    <row r="732" spans="1:4" s="3" customFormat="1" ht="18" customHeight="1" x14ac:dyDescent="0.2">
      <c r="A732" s="35">
        <v>18</v>
      </c>
      <c r="B732" s="36">
        <v>7</v>
      </c>
      <c r="C732" s="36">
        <v>2</v>
      </c>
      <c r="D732" s="37">
        <v>3</v>
      </c>
    </row>
    <row r="733" spans="1:4" s="3" customFormat="1" ht="18" customHeight="1" x14ac:dyDescent="0.2">
      <c r="A733" s="35">
        <v>18</v>
      </c>
      <c r="B733" s="36">
        <v>7</v>
      </c>
      <c r="C733" s="36">
        <v>2</v>
      </c>
      <c r="D733" s="37">
        <v>4</v>
      </c>
    </row>
    <row r="734" spans="1:4" s="3" customFormat="1" ht="18" customHeight="1" x14ac:dyDescent="0.2">
      <c r="A734" s="35">
        <v>18</v>
      </c>
      <c r="B734" s="36">
        <v>7</v>
      </c>
      <c r="C734" s="36">
        <v>3</v>
      </c>
      <c r="D734" s="37">
        <v>3</v>
      </c>
    </row>
    <row r="735" spans="1:4" s="3" customFormat="1" ht="18" customHeight="1" x14ac:dyDescent="0.2">
      <c r="A735" s="35">
        <v>18</v>
      </c>
      <c r="B735" s="36">
        <v>7</v>
      </c>
      <c r="C735" s="36">
        <v>3</v>
      </c>
      <c r="D735" s="37">
        <v>4</v>
      </c>
    </row>
    <row r="736" spans="1:4" s="3" customFormat="1" ht="18" customHeight="1" x14ac:dyDescent="0.2">
      <c r="A736" s="35">
        <v>18</v>
      </c>
      <c r="B736" s="36">
        <v>8</v>
      </c>
      <c r="C736" s="36">
        <v>2</v>
      </c>
      <c r="D736" s="37">
        <v>3</v>
      </c>
    </row>
    <row r="737" spans="1:4" s="3" customFormat="1" ht="18" customHeight="1" x14ac:dyDescent="0.2">
      <c r="A737" s="35">
        <v>18</v>
      </c>
      <c r="B737" s="36">
        <v>8</v>
      </c>
      <c r="C737" s="36">
        <v>2</v>
      </c>
      <c r="D737" s="37">
        <v>4</v>
      </c>
    </row>
    <row r="738" spans="1:4" s="3" customFormat="1" ht="18" customHeight="1" x14ac:dyDescent="0.2">
      <c r="A738" s="35">
        <v>18</v>
      </c>
      <c r="B738" s="36">
        <v>8</v>
      </c>
      <c r="C738" s="36">
        <v>3</v>
      </c>
      <c r="D738" s="37">
        <v>3</v>
      </c>
    </row>
    <row r="739" spans="1:4" s="3" customFormat="1" ht="18" customHeight="1" x14ac:dyDescent="0.2">
      <c r="A739" s="35">
        <v>18</v>
      </c>
      <c r="B739" s="36">
        <v>8</v>
      </c>
      <c r="C739" s="36">
        <v>3</v>
      </c>
      <c r="D739" s="37">
        <v>4</v>
      </c>
    </row>
    <row r="740" spans="1:4" s="3" customFormat="1" ht="18" customHeight="1" x14ac:dyDescent="0.2">
      <c r="A740" s="35">
        <v>18</v>
      </c>
      <c r="B740" s="36">
        <v>9</v>
      </c>
      <c r="C740" s="36">
        <v>2</v>
      </c>
      <c r="D740" s="37">
        <v>3</v>
      </c>
    </row>
    <row r="741" spans="1:4" s="3" customFormat="1" ht="18" customHeight="1" x14ac:dyDescent="0.2">
      <c r="A741" s="35">
        <v>18</v>
      </c>
      <c r="B741" s="36">
        <v>9</v>
      </c>
      <c r="C741" s="36">
        <v>2</v>
      </c>
      <c r="D741" s="37">
        <v>4</v>
      </c>
    </row>
    <row r="742" spans="1:4" s="3" customFormat="1" ht="18" customHeight="1" x14ac:dyDescent="0.2">
      <c r="A742" s="35">
        <v>18</v>
      </c>
      <c r="B742" s="36">
        <v>9</v>
      </c>
      <c r="C742" s="36">
        <v>3</v>
      </c>
      <c r="D742" s="37">
        <v>3</v>
      </c>
    </row>
    <row r="743" spans="1:4" s="3" customFormat="1" ht="18" customHeight="1" x14ac:dyDescent="0.2">
      <c r="A743" s="35">
        <v>18</v>
      </c>
      <c r="B743" s="36">
        <v>9</v>
      </c>
      <c r="C743" s="36">
        <v>3</v>
      </c>
      <c r="D743" s="37">
        <v>4</v>
      </c>
    </row>
    <row r="744" spans="1:4" s="3" customFormat="1" ht="18" customHeight="1" x14ac:dyDescent="0.2">
      <c r="A744" s="35">
        <v>18</v>
      </c>
      <c r="B744" s="36">
        <v>10</v>
      </c>
      <c r="C744" s="36">
        <v>2</v>
      </c>
      <c r="D744" s="37">
        <v>3</v>
      </c>
    </row>
    <row r="745" spans="1:4" s="3" customFormat="1" ht="18" customHeight="1" x14ac:dyDescent="0.2">
      <c r="A745" s="35">
        <v>18</v>
      </c>
      <c r="B745" s="36">
        <v>10</v>
      </c>
      <c r="C745" s="36">
        <v>2</v>
      </c>
      <c r="D745" s="37">
        <v>4</v>
      </c>
    </row>
    <row r="746" spans="1:4" s="3" customFormat="1" ht="18" customHeight="1" x14ac:dyDescent="0.2">
      <c r="A746" s="35">
        <v>18</v>
      </c>
      <c r="B746" s="36">
        <v>10</v>
      </c>
      <c r="C746" s="36">
        <v>3</v>
      </c>
      <c r="D746" s="37">
        <v>3</v>
      </c>
    </row>
    <row r="747" spans="1:4" s="3" customFormat="1" ht="18" customHeight="1" x14ac:dyDescent="0.2">
      <c r="A747" s="35">
        <v>18</v>
      </c>
      <c r="B747" s="36">
        <v>10</v>
      </c>
      <c r="C747" s="36">
        <v>3</v>
      </c>
      <c r="D747" s="37">
        <v>4</v>
      </c>
    </row>
    <row r="748" spans="1:4" s="3" customFormat="1" ht="18" customHeight="1" x14ac:dyDescent="0.2">
      <c r="A748" s="35">
        <v>19</v>
      </c>
      <c r="B748" s="36">
        <v>1</v>
      </c>
      <c r="C748" s="36">
        <v>2</v>
      </c>
      <c r="D748" s="37">
        <v>3</v>
      </c>
    </row>
    <row r="749" spans="1:4" s="3" customFormat="1" ht="18" customHeight="1" x14ac:dyDescent="0.2">
      <c r="A749" s="35">
        <v>19</v>
      </c>
      <c r="B749" s="36">
        <v>1</v>
      </c>
      <c r="C749" s="36">
        <v>2</v>
      </c>
      <c r="D749" s="37">
        <v>4</v>
      </c>
    </row>
    <row r="750" spans="1:4" s="3" customFormat="1" ht="18" customHeight="1" x14ac:dyDescent="0.2">
      <c r="A750" s="35">
        <v>19</v>
      </c>
      <c r="B750" s="36">
        <v>1</v>
      </c>
      <c r="C750" s="36">
        <v>3</v>
      </c>
      <c r="D750" s="37">
        <v>3</v>
      </c>
    </row>
    <row r="751" spans="1:4" s="3" customFormat="1" ht="18" customHeight="1" x14ac:dyDescent="0.2">
      <c r="A751" s="35">
        <v>19</v>
      </c>
      <c r="B751" s="36">
        <v>1</v>
      </c>
      <c r="C751" s="36">
        <v>3</v>
      </c>
      <c r="D751" s="37">
        <v>4</v>
      </c>
    </row>
    <row r="752" spans="1:4" s="3" customFormat="1" ht="18" customHeight="1" x14ac:dyDescent="0.2">
      <c r="A752" s="35">
        <v>19</v>
      </c>
      <c r="B752" s="36">
        <v>2</v>
      </c>
      <c r="C752" s="36">
        <v>2</v>
      </c>
      <c r="D752" s="37">
        <v>3</v>
      </c>
    </row>
    <row r="753" spans="1:4" s="3" customFormat="1" ht="18" customHeight="1" x14ac:dyDescent="0.2">
      <c r="A753" s="35">
        <v>19</v>
      </c>
      <c r="B753" s="36">
        <v>2</v>
      </c>
      <c r="C753" s="36">
        <v>2</v>
      </c>
      <c r="D753" s="37">
        <v>4</v>
      </c>
    </row>
    <row r="754" spans="1:4" s="3" customFormat="1" ht="18" customHeight="1" x14ac:dyDescent="0.2">
      <c r="A754" s="35">
        <v>19</v>
      </c>
      <c r="B754" s="36">
        <v>2</v>
      </c>
      <c r="C754" s="36">
        <v>3</v>
      </c>
      <c r="D754" s="37">
        <v>3</v>
      </c>
    </row>
    <row r="755" spans="1:4" s="3" customFormat="1" ht="18" customHeight="1" x14ac:dyDescent="0.2">
      <c r="A755" s="35">
        <v>19</v>
      </c>
      <c r="B755" s="36">
        <v>2</v>
      </c>
      <c r="C755" s="36">
        <v>3</v>
      </c>
      <c r="D755" s="37">
        <v>4</v>
      </c>
    </row>
    <row r="756" spans="1:4" s="3" customFormat="1" ht="18" customHeight="1" x14ac:dyDescent="0.2">
      <c r="A756" s="35">
        <v>19</v>
      </c>
      <c r="B756" s="36">
        <v>3</v>
      </c>
      <c r="C756" s="36">
        <v>2</v>
      </c>
      <c r="D756" s="37">
        <v>3</v>
      </c>
    </row>
    <row r="757" spans="1:4" s="3" customFormat="1" ht="18" customHeight="1" x14ac:dyDescent="0.2">
      <c r="A757" s="35">
        <v>19</v>
      </c>
      <c r="B757" s="36">
        <v>3</v>
      </c>
      <c r="C757" s="36">
        <v>2</v>
      </c>
      <c r="D757" s="37">
        <v>4</v>
      </c>
    </row>
    <row r="758" spans="1:4" s="3" customFormat="1" ht="18" customHeight="1" x14ac:dyDescent="0.2">
      <c r="A758" s="35">
        <v>19</v>
      </c>
      <c r="B758" s="36">
        <v>3</v>
      </c>
      <c r="C758" s="36">
        <v>3</v>
      </c>
      <c r="D758" s="37">
        <v>3</v>
      </c>
    </row>
    <row r="759" spans="1:4" s="3" customFormat="1" ht="18" customHeight="1" x14ac:dyDescent="0.2">
      <c r="A759" s="35">
        <v>19</v>
      </c>
      <c r="B759" s="36">
        <v>3</v>
      </c>
      <c r="C759" s="36">
        <v>3</v>
      </c>
      <c r="D759" s="37">
        <v>4</v>
      </c>
    </row>
    <row r="760" spans="1:4" s="3" customFormat="1" ht="18" customHeight="1" x14ac:dyDescent="0.2">
      <c r="A760" s="35">
        <v>19</v>
      </c>
      <c r="B760" s="36">
        <v>4</v>
      </c>
      <c r="C760" s="36">
        <v>2</v>
      </c>
      <c r="D760" s="37">
        <v>3</v>
      </c>
    </row>
    <row r="761" spans="1:4" s="3" customFormat="1" ht="18" customHeight="1" x14ac:dyDescent="0.2">
      <c r="A761" s="35">
        <v>19</v>
      </c>
      <c r="B761" s="36">
        <v>4</v>
      </c>
      <c r="C761" s="36">
        <v>2</v>
      </c>
      <c r="D761" s="37">
        <v>4</v>
      </c>
    </row>
    <row r="762" spans="1:4" s="3" customFormat="1" ht="18" customHeight="1" x14ac:dyDescent="0.2">
      <c r="A762" s="35">
        <v>19</v>
      </c>
      <c r="B762" s="36">
        <v>4</v>
      </c>
      <c r="C762" s="36">
        <v>3</v>
      </c>
      <c r="D762" s="37">
        <v>3</v>
      </c>
    </row>
    <row r="763" spans="1:4" s="3" customFormat="1" ht="18" customHeight="1" x14ac:dyDescent="0.2">
      <c r="A763" s="35">
        <v>19</v>
      </c>
      <c r="B763" s="36">
        <v>4</v>
      </c>
      <c r="C763" s="36">
        <v>3</v>
      </c>
      <c r="D763" s="37">
        <v>4</v>
      </c>
    </row>
    <row r="764" spans="1:4" s="3" customFormat="1" ht="18" customHeight="1" x14ac:dyDescent="0.2">
      <c r="A764" s="35">
        <v>19</v>
      </c>
      <c r="B764" s="36">
        <v>5</v>
      </c>
      <c r="C764" s="36">
        <v>2</v>
      </c>
      <c r="D764" s="37">
        <v>3</v>
      </c>
    </row>
    <row r="765" spans="1:4" s="3" customFormat="1" ht="18" customHeight="1" x14ac:dyDescent="0.2">
      <c r="A765" s="35">
        <v>19</v>
      </c>
      <c r="B765" s="36">
        <v>5</v>
      </c>
      <c r="C765" s="36">
        <v>2</v>
      </c>
      <c r="D765" s="37">
        <v>4</v>
      </c>
    </row>
    <row r="766" spans="1:4" s="3" customFormat="1" ht="18" customHeight="1" x14ac:dyDescent="0.2">
      <c r="A766" s="35">
        <v>19</v>
      </c>
      <c r="B766" s="36">
        <v>5</v>
      </c>
      <c r="C766" s="36">
        <v>3</v>
      </c>
      <c r="D766" s="37">
        <v>3</v>
      </c>
    </row>
    <row r="767" spans="1:4" s="3" customFormat="1" ht="18" customHeight="1" x14ac:dyDescent="0.2">
      <c r="A767" s="35">
        <v>19</v>
      </c>
      <c r="B767" s="36">
        <v>5</v>
      </c>
      <c r="C767" s="36">
        <v>3</v>
      </c>
      <c r="D767" s="37">
        <v>4</v>
      </c>
    </row>
    <row r="768" spans="1:4" s="3" customFormat="1" ht="18" customHeight="1" x14ac:dyDescent="0.2">
      <c r="A768" s="35">
        <v>19</v>
      </c>
      <c r="B768" s="36">
        <v>6</v>
      </c>
      <c r="C768" s="36">
        <v>2</v>
      </c>
      <c r="D768" s="37">
        <v>3</v>
      </c>
    </row>
    <row r="769" spans="1:4" s="3" customFormat="1" ht="18" customHeight="1" x14ac:dyDescent="0.2">
      <c r="A769" s="35">
        <v>19</v>
      </c>
      <c r="B769" s="36">
        <v>6</v>
      </c>
      <c r="C769" s="36">
        <v>2</v>
      </c>
      <c r="D769" s="37">
        <v>4</v>
      </c>
    </row>
    <row r="770" spans="1:4" s="3" customFormat="1" ht="18" customHeight="1" x14ac:dyDescent="0.2">
      <c r="A770" s="35">
        <v>19</v>
      </c>
      <c r="B770" s="36">
        <v>6</v>
      </c>
      <c r="C770" s="36">
        <v>3</v>
      </c>
      <c r="D770" s="37">
        <v>3</v>
      </c>
    </row>
    <row r="771" spans="1:4" s="3" customFormat="1" ht="18" customHeight="1" x14ac:dyDescent="0.2">
      <c r="A771" s="35">
        <v>19</v>
      </c>
      <c r="B771" s="36">
        <v>6</v>
      </c>
      <c r="C771" s="36">
        <v>3</v>
      </c>
      <c r="D771" s="37">
        <v>4</v>
      </c>
    </row>
    <row r="772" spans="1:4" s="3" customFormat="1" ht="18" customHeight="1" x14ac:dyDescent="0.2">
      <c r="A772" s="35">
        <v>19</v>
      </c>
      <c r="B772" s="36">
        <v>7</v>
      </c>
      <c r="C772" s="36">
        <v>2</v>
      </c>
      <c r="D772" s="37">
        <v>3</v>
      </c>
    </row>
    <row r="773" spans="1:4" s="3" customFormat="1" ht="18" customHeight="1" x14ac:dyDescent="0.2">
      <c r="A773" s="35">
        <v>19</v>
      </c>
      <c r="B773" s="36">
        <v>7</v>
      </c>
      <c r="C773" s="36">
        <v>2</v>
      </c>
      <c r="D773" s="37">
        <v>4</v>
      </c>
    </row>
    <row r="774" spans="1:4" s="3" customFormat="1" ht="18" customHeight="1" x14ac:dyDescent="0.2">
      <c r="A774" s="35">
        <v>19</v>
      </c>
      <c r="B774" s="36">
        <v>7</v>
      </c>
      <c r="C774" s="36">
        <v>3</v>
      </c>
      <c r="D774" s="37">
        <v>3</v>
      </c>
    </row>
    <row r="775" spans="1:4" s="3" customFormat="1" ht="18" customHeight="1" x14ac:dyDescent="0.2">
      <c r="A775" s="35">
        <v>19</v>
      </c>
      <c r="B775" s="36">
        <v>7</v>
      </c>
      <c r="C775" s="36">
        <v>3</v>
      </c>
      <c r="D775" s="37">
        <v>4</v>
      </c>
    </row>
    <row r="776" spans="1:4" s="3" customFormat="1" ht="18" customHeight="1" x14ac:dyDescent="0.2">
      <c r="A776" s="35">
        <v>19</v>
      </c>
      <c r="B776" s="36">
        <v>8</v>
      </c>
      <c r="C776" s="36">
        <v>2</v>
      </c>
      <c r="D776" s="37">
        <v>3</v>
      </c>
    </row>
    <row r="777" spans="1:4" s="3" customFormat="1" ht="18" customHeight="1" x14ac:dyDescent="0.2">
      <c r="A777" s="35">
        <v>19</v>
      </c>
      <c r="B777" s="36">
        <v>8</v>
      </c>
      <c r="C777" s="36">
        <v>2</v>
      </c>
      <c r="D777" s="37">
        <v>4</v>
      </c>
    </row>
    <row r="778" spans="1:4" s="3" customFormat="1" ht="18" customHeight="1" x14ac:dyDescent="0.2">
      <c r="A778" s="35">
        <v>19</v>
      </c>
      <c r="B778" s="36">
        <v>8</v>
      </c>
      <c r="C778" s="36">
        <v>3</v>
      </c>
      <c r="D778" s="37">
        <v>3</v>
      </c>
    </row>
    <row r="779" spans="1:4" s="3" customFormat="1" ht="18" customHeight="1" x14ac:dyDescent="0.2">
      <c r="A779" s="35">
        <v>19</v>
      </c>
      <c r="B779" s="36">
        <v>8</v>
      </c>
      <c r="C779" s="36">
        <v>3</v>
      </c>
      <c r="D779" s="37">
        <v>4</v>
      </c>
    </row>
    <row r="780" spans="1:4" s="3" customFormat="1" ht="18" customHeight="1" x14ac:dyDescent="0.2">
      <c r="A780" s="35">
        <v>19</v>
      </c>
      <c r="B780" s="36">
        <v>9</v>
      </c>
      <c r="C780" s="36">
        <v>2</v>
      </c>
      <c r="D780" s="37">
        <v>3</v>
      </c>
    </row>
    <row r="781" spans="1:4" s="3" customFormat="1" ht="18" customHeight="1" x14ac:dyDescent="0.2">
      <c r="A781" s="35">
        <v>19</v>
      </c>
      <c r="B781" s="36">
        <v>9</v>
      </c>
      <c r="C781" s="36">
        <v>2</v>
      </c>
      <c r="D781" s="37">
        <v>4</v>
      </c>
    </row>
    <row r="782" spans="1:4" s="3" customFormat="1" ht="18" customHeight="1" x14ac:dyDescent="0.2">
      <c r="A782" s="35">
        <v>19</v>
      </c>
      <c r="B782" s="36">
        <v>9</v>
      </c>
      <c r="C782" s="36">
        <v>3</v>
      </c>
      <c r="D782" s="37">
        <v>3</v>
      </c>
    </row>
    <row r="783" spans="1:4" s="3" customFormat="1" ht="18" customHeight="1" x14ac:dyDescent="0.2">
      <c r="A783" s="35">
        <v>19</v>
      </c>
      <c r="B783" s="36">
        <v>9</v>
      </c>
      <c r="C783" s="36">
        <v>3</v>
      </c>
      <c r="D783" s="37">
        <v>4</v>
      </c>
    </row>
    <row r="784" spans="1:4" s="3" customFormat="1" ht="18" customHeight="1" x14ac:dyDescent="0.2">
      <c r="A784" s="35">
        <v>19</v>
      </c>
      <c r="B784" s="36">
        <v>10</v>
      </c>
      <c r="C784" s="36">
        <v>2</v>
      </c>
      <c r="D784" s="37">
        <v>3</v>
      </c>
    </row>
    <row r="785" spans="1:4" s="3" customFormat="1" ht="18" customHeight="1" x14ac:dyDescent="0.2">
      <c r="A785" s="35">
        <v>19</v>
      </c>
      <c r="B785" s="36">
        <v>10</v>
      </c>
      <c r="C785" s="36">
        <v>2</v>
      </c>
      <c r="D785" s="37">
        <v>4</v>
      </c>
    </row>
    <row r="786" spans="1:4" s="3" customFormat="1" ht="18" customHeight="1" x14ac:dyDescent="0.2">
      <c r="A786" s="35">
        <v>19</v>
      </c>
      <c r="B786" s="36">
        <v>10</v>
      </c>
      <c r="C786" s="36">
        <v>3</v>
      </c>
      <c r="D786" s="37">
        <v>3</v>
      </c>
    </row>
    <row r="787" spans="1:4" s="3" customFormat="1" ht="18" customHeight="1" x14ac:dyDescent="0.2">
      <c r="A787" s="35">
        <v>19</v>
      </c>
      <c r="B787" s="36">
        <v>10</v>
      </c>
      <c r="C787" s="36">
        <v>3</v>
      </c>
      <c r="D787" s="37">
        <v>4</v>
      </c>
    </row>
    <row r="788" spans="1:4" s="3" customFormat="1" ht="18" customHeight="1" x14ac:dyDescent="0.2">
      <c r="A788" s="35">
        <v>20</v>
      </c>
      <c r="B788" s="36">
        <v>1</v>
      </c>
      <c r="C788" s="36">
        <v>2</v>
      </c>
      <c r="D788" s="37">
        <v>3</v>
      </c>
    </row>
    <row r="789" spans="1:4" s="3" customFormat="1" ht="18" customHeight="1" x14ac:dyDescent="0.2">
      <c r="A789" s="35">
        <v>20</v>
      </c>
      <c r="B789" s="36">
        <v>1</v>
      </c>
      <c r="C789" s="36">
        <v>2</v>
      </c>
      <c r="D789" s="37">
        <v>4</v>
      </c>
    </row>
    <row r="790" spans="1:4" s="3" customFormat="1" ht="18" customHeight="1" x14ac:dyDescent="0.2">
      <c r="A790" s="35">
        <v>20</v>
      </c>
      <c r="B790" s="36">
        <v>1</v>
      </c>
      <c r="C790" s="36">
        <v>3</v>
      </c>
      <c r="D790" s="37">
        <v>3</v>
      </c>
    </row>
    <row r="791" spans="1:4" s="3" customFormat="1" ht="18" customHeight="1" x14ac:dyDescent="0.2">
      <c r="A791" s="35">
        <v>20</v>
      </c>
      <c r="B791" s="36">
        <v>1</v>
      </c>
      <c r="C791" s="36">
        <v>3</v>
      </c>
      <c r="D791" s="37">
        <v>4</v>
      </c>
    </row>
    <row r="792" spans="1:4" s="3" customFormat="1" ht="18" customHeight="1" x14ac:dyDescent="0.2">
      <c r="A792" s="35">
        <v>20</v>
      </c>
      <c r="B792" s="36">
        <v>2</v>
      </c>
      <c r="C792" s="36">
        <v>2</v>
      </c>
      <c r="D792" s="37">
        <v>3</v>
      </c>
    </row>
    <row r="793" spans="1:4" s="3" customFormat="1" ht="18" customHeight="1" x14ac:dyDescent="0.2">
      <c r="A793" s="35">
        <v>20</v>
      </c>
      <c r="B793" s="36">
        <v>2</v>
      </c>
      <c r="C793" s="36">
        <v>2</v>
      </c>
      <c r="D793" s="37">
        <v>4</v>
      </c>
    </row>
    <row r="794" spans="1:4" s="3" customFormat="1" ht="18" customHeight="1" x14ac:dyDescent="0.2">
      <c r="A794" s="35">
        <v>20</v>
      </c>
      <c r="B794" s="36">
        <v>2</v>
      </c>
      <c r="C794" s="36">
        <v>3</v>
      </c>
      <c r="D794" s="37">
        <v>3</v>
      </c>
    </row>
    <row r="795" spans="1:4" s="3" customFormat="1" ht="18" customHeight="1" x14ac:dyDescent="0.2">
      <c r="A795" s="35">
        <v>20</v>
      </c>
      <c r="B795" s="36">
        <v>2</v>
      </c>
      <c r="C795" s="36">
        <v>3</v>
      </c>
      <c r="D795" s="37">
        <v>4</v>
      </c>
    </row>
    <row r="796" spans="1:4" s="3" customFormat="1" ht="18" customHeight="1" x14ac:dyDescent="0.2">
      <c r="A796" s="35">
        <v>20</v>
      </c>
      <c r="B796" s="36">
        <v>4</v>
      </c>
      <c r="C796" s="36">
        <v>2</v>
      </c>
      <c r="D796" s="37">
        <v>3</v>
      </c>
    </row>
    <row r="797" spans="1:4" s="3" customFormat="1" ht="18" customHeight="1" x14ac:dyDescent="0.2">
      <c r="A797" s="35">
        <v>20</v>
      </c>
      <c r="B797" s="36">
        <v>4</v>
      </c>
      <c r="C797" s="36">
        <v>2</v>
      </c>
      <c r="D797" s="37">
        <v>4</v>
      </c>
    </row>
    <row r="798" spans="1:4" s="3" customFormat="1" ht="18" customHeight="1" x14ac:dyDescent="0.2">
      <c r="A798" s="35">
        <v>20</v>
      </c>
      <c r="B798" s="36">
        <v>4</v>
      </c>
      <c r="C798" s="36">
        <v>3</v>
      </c>
      <c r="D798" s="37">
        <v>3</v>
      </c>
    </row>
    <row r="799" spans="1:4" s="3" customFormat="1" ht="18" customHeight="1" x14ac:dyDescent="0.2">
      <c r="A799" s="35">
        <v>20</v>
      </c>
      <c r="B799" s="36">
        <v>4</v>
      </c>
      <c r="C799" s="36">
        <v>3</v>
      </c>
      <c r="D799" s="37">
        <v>4</v>
      </c>
    </row>
    <row r="800" spans="1:4" s="3" customFormat="1" ht="18" customHeight="1" x14ac:dyDescent="0.2">
      <c r="A800" s="35">
        <v>20</v>
      </c>
      <c r="B800" s="36">
        <v>6</v>
      </c>
      <c r="C800" s="36">
        <v>2</v>
      </c>
      <c r="D800" s="37">
        <v>3</v>
      </c>
    </row>
    <row r="801" spans="1:4" s="3" customFormat="1" ht="18" customHeight="1" x14ac:dyDescent="0.2">
      <c r="A801" s="35">
        <v>20</v>
      </c>
      <c r="B801" s="36">
        <v>6</v>
      </c>
      <c r="C801" s="36">
        <v>2</v>
      </c>
      <c r="D801" s="37">
        <v>4</v>
      </c>
    </row>
    <row r="802" spans="1:4" s="3" customFormat="1" ht="18" customHeight="1" x14ac:dyDescent="0.2">
      <c r="A802" s="35">
        <v>20</v>
      </c>
      <c r="B802" s="36">
        <v>6</v>
      </c>
      <c r="C802" s="36">
        <v>3</v>
      </c>
      <c r="D802" s="37">
        <v>3</v>
      </c>
    </row>
    <row r="803" spans="1:4" s="3" customFormat="1" ht="18" customHeight="1" x14ac:dyDescent="0.2">
      <c r="A803" s="35">
        <v>20</v>
      </c>
      <c r="B803" s="36">
        <v>6</v>
      </c>
      <c r="C803" s="36">
        <v>3</v>
      </c>
      <c r="D803" s="37">
        <v>4</v>
      </c>
    </row>
    <row r="804" spans="1:4" s="3" customFormat="1" ht="18" customHeight="1" x14ac:dyDescent="0.2">
      <c r="A804" s="35">
        <v>20</v>
      </c>
      <c r="B804" s="36">
        <v>7</v>
      </c>
      <c r="C804" s="36">
        <v>2</v>
      </c>
      <c r="D804" s="37">
        <v>3</v>
      </c>
    </row>
    <row r="805" spans="1:4" s="3" customFormat="1" ht="18" customHeight="1" x14ac:dyDescent="0.2">
      <c r="A805" s="35">
        <v>20</v>
      </c>
      <c r="B805" s="36">
        <v>7</v>
      </c>
      <c r="C805" s="36">
        <v>2</v>
      </c>
      <c r="D805" s="37">
        <v>4</v>
      </c>
    </row>
    <row r="806" spans="1:4" s="3" customFormat="1" ht="18" customHeight="1" x14ac:dyDescent="0.2">
      <c r="A806" s="35">
        <v>20</v>
      </c>
      <c r="B806" s="36">
        <v>7</v>
      </c>
      <c r="C806" s="36">
        <v>3</v>
      </c>
      <c r="D806" s="37">
        <v>3</v>
      </c>
    </row>
    <row r="807" spans="1:4" s="3" customFormat="1" ht="18" customHeight="1" x14ac:dyDescent="0.2">
      <c r="A807" s="35">
        <v>20</v>
      </c>
      <c r="B807" s="36">
        <v>7</v>
      </c>
      <c r="C807" s="36">
        <v>3</v>
      </c>
      <c r="D807" s="37">
        <v>4</v>
      </c>
    </row>
    <row r="808" spans="1:4" s="3" customFormat="1" ht="18" customHeight="1" x14ac:dyDescent="0.2">
      <c r="A808" s="35">
        <v>20</v>
      </c>
      <c r="B808" s="36">
        <v>9</v>
      </c>
      <c r="C808" s="36">
        <v>2</v>
      </c>
      <c r="D808" s="37">
        <v>3</v>
      </c>
    </row>
    <row r="809" spans="1:4" s="3" customFormat="1" ht="18" customHeight="1" x14ac:dyDescent="0.2">
      <c r="A809" s="35">
        <v>20</v>
      </c>
      <c r="B809" s="36">
        <v>9</v>
      </c>
      <c r="C809" s="36">
        <v>2</v>
      </c>
      <c r="D809" s="37">
        <v>4</v>
      </c>
    </row>
    <row r="810" spans="1:4" s="3" customFormat="1" ht="18" customHeight="1" x14ac:dyDescent="0.2">
      <c r="A810" s="35">
        <v>20</v>
      </c>
      <c r="B810" s="36">
        <v>9</v>
      </c>
      <c r="C810" s="36">
        <v>3</v>
      </c>
      <c r="D810" s="37">
        <v>3</v>
      </c>
    </row>
    <row r="811" spans="1:4" s="3" customFormat="1" ht="18" customHeight="1" x14ac:dyDescent="0.2">
      <c r="A811" s="35">
        <v>20</v>
      </c>
      <c r="B811" s="36">
        <v>9</v>
      </c>
      <c r="C811" s="36">
        <v>3</v>
      </c>
      <c r="D811" s="37">
        <v>4</v>
      </c>
    </row>
    <row r="812" spans="1:4" s="3" customFormat="1" ht="18" customHeight="1" x14ac:dyDescent="0.2">
      <c r="A812" s="35">
        <v>21</v>
      </c>
      <c r="B812" s="36">
        <v>1</v>
      </c>
      <c r="C812" s="36">
        <v>2</v>
      </c>
      <c r="D812" s="37">
        <v>3</v>
      </c>
    </row>
    <row r="813" spans="1:4" s="3" customFormat="1" ht="18" customHeight="1" x14ac:dyDescent="0.2">
      <c r="A813" s="35">
        <v>21</v>
      </c>
      <c r="B813" s="36">
        <v>1</v>
      </c>
      <c r="C813" s="36">
        <v>2</v>
      </c>
      <c r="D813" s="37">
        <v>4</v>
      </c>
    </row>
    <row r="814" spans="1:4" s="3" customFormat="1" ht="18" customHeight="1" x14ac:dyDescent="0.2">
      <c r="A814" s="35">
        <v>21</v>
      </c>
      <c r="B814" s="36">
        <v>1</v>
      </c>
      <c r="C814" s="36">
        <v>3</v>
      </c>
      <c r="D814" s="37">
        <v>3</v>
      </c>
    </row>
    <row r="815" spans="1:4" s="3" customFormat="1" ht="18" customHeight="1" x14ac:dyDescent="0.2">
      <c r="A815" s="35">
        <v>21</v>
      </c>
      <c r="B815" s="36">
        <v>1</v>
      </c>
      <c r="C815" s="36">
        <v>3</v>
      </c>
      <c r="D815" s="37">
        <v>4</v>
      </c>
    </row>
    <row r="816" spans="1:4" s="3" customFormat="1" ht="18" customHeight="1" x14ac:dyDescent="0.2">
      <c r="A816" s="35">
        <v>21</v>
      </c>
      <c r="B816" s="36">
        <v>2</v>
      </c>
      <c r="C816" s="36">
        <v>2</v>
      </c>
      <c r="D816" s="37">
        <v>3</v>
      </c>
    </row>
    <row r="817" spans="1:4" s="3" customFormat="1" ht="18" customHeight="1" x14ac:dyDescent="0.2">
      <c r="A817" s="35">
        <v>21</v>
      </c>
      <c r="B817" s="36">
        <v>2</v>
      </c>
      <c r="C817" s="36">
        <v>2</v>
      </c>
      <c r="D817" s="37">
        <v>4</v>
      </c>
    </row>
    <row r="818" spans="1:4" s="3" customFormat="1" ht="18" customHeight="1" x14ac:dyDescent="0.2">
      <c r="A818" s="35">
        <v>21</v>
      </c>
      <c r="B818" s="36">
        <v>2</v>
      </c>
      <c r="C818" s="36">
        <v>3</v>
      </c>
      <c r="D818" s="37">
        <v>3</v>
      </c>
    </row>
    <row r="819" spans="1:4" s="3" customFormat="1" ht="18" customHeight="1" x14ac:dyDescent="0.2">
      <c r="A819" s="35">
        <v>21</v>
      </c>
      <c r="B819" s="36">
        <v>2</v>
      </c>
      <c r="C819" s="36">
        <v>3</v>
      </c>
      <c r="D819" s="37">
        <v>4</v>
      </c>
    </row>
    <row r="820" spans="1:4" s="3" customFormat="1" ht="18" customHeight="1" x14ac:dyDescent="0.2">
      <c r="A820" s="35">
        <v>21</v>
      </c>
      <c r="B820" s="36">
        <v>3</v>
      </c>
      <c r="C820" s="36">
        <v>2</v>
      </c>
      <c r="D820" s="37">
        <v>3</v>
      </c>
    </row>
    <row r="821" spans="1:4" s="3" customFormat="1" ht="18" customHeight="1" x14ac:dyDescent="0.2">
      <c r="A821" s="35">
        <v>21</v>
      </c>
      <c r="B821" s="36">
        <v>3</v>
      </c>
      <c r="C821" s="36">
        <v>2</v>
      </c>
      <c r="D821" s="37">
        <v>4</v>
      </c>
    </row>
    <row r="822" spans="1:4" s="3" customFormat="1" ht="18" customHeight="1" x14ac:dyDescent="0.2">
      <c r="A822" s="35">
        <v>21</v>
      </c>
      <c r="B822" s="36">
        <v>3</v>
      </c>
      <c r="C822" s="36">
        <v>3</v>
      </c>
      <c r="D822" s="37">
        <v>3</v>
      </c>
    </row>
    <row r="823" spans="1:4" s="3" customFormat="1" ht="18" customHeight="1" x14ac:dyDescent="0.2">
      <c r="A823" s="35">
        <v>21</v>
      </c>
      <c r="B823" s="36">
        <v>3</v>
      </c>
      <c r="C823" s="36">
        <v>3</v>
      </c>
      <c r="D823" s="37">
        <v>4</v>
      </c>
    </row>
    <row r="824" spans="1:4" s="3" customFormat="1" ht="18" customHeight="1" x14ac:dyDescent="0.2">
      <c r="A824" s="35">
        <v>21</v>
      </c>
      <c r="B824" s="36">
        <v>4</v>
      </c>
      <c r="C824" s="36">
        <v>2</v>
      </c>
      <c r="D824" s="37">
        <v>3</v>
      </c>
    </row>
    <row r="825" spans="1:4" s="3" customFormat="1" ht="18" customHeight="1" x14ac:dyDescent="0.2">
      <c r="A825" s="35">
        <v>21</v>
      </c>
      <c r="B825" s="36">
        <v>4</v>
      </c>
      <c r="C825" s="36">
        <v>2</v>
      </c>
      <c r="D825" s="37">
        <v>4</v>
      </c>
    </row>
    <row r="826" spans="1:4" s="3" customFormat="1" ht="18" customHeight="1" x14ac:dyDescent="0.2">
      <c r="A826" s="35">
        <v>21</v>
      </c>
      <c r="B826" s="36">
        <v>4</v>
      </c>
      <c r="C826" s="36">
        <v>3</v>
      </c>
      <c r="D826" s="37">
        <v>3</v>
      </c>
    </row>
    <row r="827" spans="1:4" s="3" customFormat="1" ht="18" customHeight="1" x14ac:dyDescent="0.2">
      <c r="A827" s="35">
        <v>21</v>
      </c>
      <c r="B827" s="36">
        <v>4</v>
      </c>
      <c r="C827" s="36">
        <v>3</v>
      </c>
      <c r="D827" s="37">
        <v>4</v>
      </c>
    </row>
    <row r="828" spans="1:4" s="3" customFormat="1" ht="18" customHeight="1" x14ac:dyDescent="0.2">
      <c r="A828" s="35">
        <v>21</v>
      </c>
      <c r="B828" s="36">
        <v>5</v>
      </c>
      <c r="C828" s="36">
        <v>2</v>
      </c>
      <c r="D828" s="37">
        <v>3</v>
      </c>
    </row>
    <row r="829" spans="1:4" s="3" customFormat="1" ht="18" customHeight="1" x14ac:dyDescent="0.2">
      <c r="A829" s="35">
        <v>21</v>
      </c>
      <c r="B829" s="36">
        <v>5</v>
      </c>
      <c r="C829" s="36">
        <v>2</v>
      </c>
      <c r="D829" s="37">
        <v>4</v>
      </c>
    </row>
    <row r="830" spans="1:4" s="3" customFormat="1" ht="18" customHeight="1" x14ac:dyDescent="0.2">
      <c r="A830" s="35">
        <v>21</v>
      </c>
      <c r="B830" s="36">
        <v>5</v>
      </c>
      <c r="C830" s="36">
        <v>3</v>
      </c>
      <c r="D830" s="37">
        <v>3</v>
      </c>
    </row>
    <row r="831" spans="1:4" s="3" customFormat="1" ht="18" customHeight="1" x14ac:dyDescent="0.2">
      <c r="A831" s="35">
        <v>21</v>
      </c>
      <c r="B831" s="36">
        <v>5</v>
      </c>
      <c r="C831" s="36">
        <v>3</v>
      </c>
      <c r="D831" s="37">
        <v>4</v>
      </c>
    </row>
    <row r="832" spans="1:4" s="3" customFormat="1" ht="18" customHeight="1" x14ac:dyDescent="0.2">
      <c r="A832" s="35">
        <v>21</v>
      </c>
      <c r="B832" s="36">
        <v>6</v>
      </c>
      <c r="C832" s="36">
        <v>2</v>
      </c>
      <c r="D832" s="37">
        <v>3</v>
      </c>
    </row>
    <row r="833" spans="1:4" s="3" customFormat="1" ht="18" customHeight="1" x14ac:dyDescent="0.2">
      <c r="A833" s="35">
        <v>21</v>
      </c>
      <c r="B833" s="36">
        <v>6</v>
      </c>
      <c r="C833" s="36">
        <v>2</v>
      </c>
      <c r="D833" s="37">
        <v>4</v>
      </c>
    </row>
    <row r="834" spans="1:4" s="3" customFormat="1" ht="18" customHeight="1" x14ac:dyDescent="0.2">
      <c r="A834" s="35">
        <v>21</v>
      </c>
      <c r="B834" s="36">
        <v>6</v>
      </c>
      <c r="C834" s="36">
        <v>3</v>
      </c>
      <c r="D834" s="37">
        <v>3</v>
      </c>
    </row>
    <row r="835" spans="1:4" s="3" customFormat="1" ht="18" customHeight="1" x14ac:dyDescent="0.2">
      <c r="A835" s="35">
        <v>21</v>
      </c>
      <c r="B835" s="36">
        <v>6</v>
      </c>
      <c r="C835" s="36">
        <v>3</v>
      </c>
      <c r="D835" s="37">
        <v>4</v>
      </c>
    </row>
    <row r="836" spans="1:4" s="3" customFormat="1" ht="18" customHeight="1" x14ac:dyDescent="0.2">
      <c r="A836" s="35">
        <v>21</v>
      </c>
      <c r="B836" s="36">
        <v>7</v>
      </c>
      <c r="C836" s="36">
        <v>2</v>
      </c>
      <c r="D836" s="37">
        <v>3</v>
      </c>
    </row>
    <row r="837" spans="1:4" s="3" customFormat="1" ht="18" customHeight="1" x14ac:dyDescent="0.2">
      <c r="A837" s="35">
        <v>21</v>
      </c>
      <c r="B837" s="36">
        <v>7</v>
      </c>
      <c r="C837" s="36">
        <v>2</v>
      </c>
      <c r="D837" s="37">
        <v>4</v>
      </c>
    </row>
    <row r="838" spans="1:4" s="3" customFormat="1" ht="18" customHeight="1" x14ac:dyDescent="0.2">
      <c r="A838" s="35">
        <v>21</v>
      </c>
      <c r="B838" s="36">
        <v>7</v>
      </c>
      <c r="C838" s="36">
        <v>3</v>
      </c>
      <c r="D838" s="37">
        <v>3</v>
      </c>
    </row>
    <row r="839" spans="1:4" s="3" customFormat="1" ht="18" customHeight="1" x14ac:dyDescent="0.2">
      <c r="A839" s="35">
        <v>21</v>
      </c>
      <c r="B839" s="36">
        <v>7</v>
      </c>
      <c r="C839" s="36">
        <v>3</v>
      </c>
      <c r="D839" s="37">
        <v>4</v>
      </c>
    </row>
    <row r="840" spans="1:4" s="3" customFormat="1" ht="18" customHeight="1" x14ac:dyDescent="0.2">
      <c r="A840" s="35">
        <v>21</v>
      </c>
      <c r="B840" s="36">
        <v>8</v>
      </c>
      <c r="C840" s="36">
        <v>2</v>
      </c>
      <c r="D840" s="37">
        <v>3</v>
      </c>
    </row>
    <row r="841" spans="1:4" s="3" customFormat="1" ht="18" customHeight="1" x14ac:dyDescent="0.2">
      <c r="A841" s="35">
        <v>21</v>
      </c>
      <c r="B841" s="36">
        <v>8</v>
      </c>
      <c r="C841" s="36">
        <v>2</v>
      </c>
      <c r="D841" s="37">
        <v>4</v>
      </c>
    </row>
    <row r="842" spans="1:4" s="3" customFormat="1" ht="18" customHeight="1" x14ac:dyDescent="0.2">
      <c r="A842" s="35">
        <v>21</v>
      </c>
      <c r="B842" s="36">
        <v>8</v>
      </c>
      <c r="C842" s="36">
        <v>3</v>
      </c>
      <c r="D842" s="37">
        <v>3</v>
      </c>
    </row>
    <row r="843" spans="1:4" s="3" customFormat="1" ht="18" customHeight="1" x14ac:dyDescent="0.2">
      <c r="A843" s="35">
        <v>21</v>
      </c>
      <c r="B843" s="36">
        <v>8</v>
      </c>
      <c r="C843" s="36">
        <v>3</v>
      </c>
      <c r="D843" s="37">
        <v>4</v>
      </c>
    </row>
    <row r="844" spans="1:4" s="3" customFormat="1" ht="18" customHeight="1" x14ac:dyDescent="0.2">
      <c r="A844" s="35">
        <v>21</v>
      </c>
      <c r="B844" s="36">
        <v>9</v>
      </c>
      <c r="C844" s="36">
        <v>2</v>
      </c>
      <c r="D844" s="37">
        <v>3</v>
      </c>
    </row>
    <row r="845" spans="1:4" s="3" customFormat="1" ht="18" customHeight="1" x14ac:dyDescent="0.2">
      <c r="A845" s="35">
        <v>21</v>
      </c>
      <c r="B845" s="36">
        <v>9</v>
      </c>
      <c r="C845" s="36">
        <v>2</v>
      </c>
      <c r="D845" s="37">
        <v>4</v>
      </c>
    </row>
    <row r="846" spans="1:4" s="3" customFormat="1" ht="18" customHeight="1" x14ac:dyDescent="0.2">
      <c r="A846" s="35">
        <v>21</v>
      </c>
      <c r="B846" s="36">
        <v>9</v>
      </c>
      <c r="C846" s="36">
        <v>3</v>
      </c>
      <c r="D846" s="37">
        <v>3</v>
      </c>
    </row>
    <row r="847" spans="1:4" s="3" customFormat="1" ht="18" customHeight="1" x14ac:dyDescent="0.2">
      <c r="A847" s="35">
        <v>21</v>
      </c>
      <c r="B847" s="36">
        <v>9</v>
      </c>
      <c r="C847" s="36">
        <v>3</v>
      </c>
      <c r="D847" s="37">
        <v>4</v>
      </c>
    </row>
    <row r="848" spans="1:4" s="3" customFormat="1" ht="18" customHeight="1" x14ac:dyDescent="0.2">
      <c r="A848" s="35">
        <v>21</v>
      </c>
      <c r="B848" s="36">
        <v>10</v>
      </c>
      <c r="C848" s="36">
        <v>2</v>
      </c>
      <c r="D848" s="37">
        <v>3</v>
      </c>
    </row>
    <row r="849" spans="1:4" s="3" customFormat="1" ht="18" customHeight="1" x14ac:dyDescent="0.2">
      <c r="A849" s="35">
        <v>21</v>
      </c>
      <c r="B849" s="36">
        <v>10</v>
      </c>
      <c r="C849" s="36">
        <v>2</v>
      </c>
      <c r="D849" s="37">
        <v>4</v>
      </c>
    </row>
    <row r="850" spans="1:4" s="3" customFormat="1" ht="18" customHeight="1" x14ac:dyDescent="0.2">
      <c r="A850" s="35">
        <v>21</v>
      </c>
      <c r="B850" s="36">
        <v>10</v>
      </c>
      <c r="C850" s="36">
        <v>3</v>
      </c>
      <c r="D850" s="37">
        <v>3</v>
      </c>
    </row>
    <row r="851" spans="1:4" s="3" customFormat="1" ht="18" customHeight="1" x14ac:dyDescent="0.2">
      <c r="A851" s="35">
        <v>21</v>
      </c>
      <c r="B851" s="36">
        <v>10</v>
      </c>
      <c r="C851" s="36">
        <v>3</v>
      </c>
      <c r="D851" s="37">
        <v>4</v>
      </c>
    </row>
    <row r="852" spans="1:4" s="3" customFormat="1" ht="18" customHeight="1" x14ac:dyDescent="0.2">
      <c r="A852" s="35">
        <v>22</v>
      </c>
      <c r="B852" s="36">
        <v>1</v>
      </c>
      <c r="C852" s="36">
        <v>2</v>
      </c>
      <c r="D852" s="37">
        <v>3</v>
      </c>
    </row>
    <row r="853" spans="1:4" s="3" customFormat="1" ht="18" customHeight="1" x14ac:dyDescent="0.2">
      <c r="A853" s="35">
        <v>22</v>
      </c>
      <c r="B853" s="36">
        <v>1</v>
      </c>
      <c r="C853" s="36">
        <v>2</v>
      </c>
      <c r="D853" s="37">
        <v>4</v>
      </c>
    </row>
    <row r="854" spans="1:4" s="3" customFormat="1" ht="18" customHeight="1" x14ac:dyDescent="0.2">
      <c r="A854" s="35">
        <v>22</v>
      </c>
      <c r="B854" s="36">
        <v>1</v>
      </c>
      <c r="C854" s="36">
        <v>3</v>
      </c>
      <c r="D854" s="37">
        <v>3</v>
      </c>
    </row>
    <row r="855" spans="1:4" s="3" customFormat="1" ht="18" customHeight="1" x14ac:dyDescent="0.2">
      <c r="A855" s="35">
        <v>22</v>
      </c>
      <c r="B855" s="36">
        <v>1</v>
      </c>
      <c r="C855" s="36">
        <v>3</v>
      </c>
      <c r="D855" s="37">
        <v>4</v>
      </c>
    </row>
    <row r="856" spans="1:4" s="3" customFormat="1" ht="18" customHeight="1" x14ac:dyDescent="0.2">
      <c r="A856" s="35">
        <v>22</v>
      </c>
      <c r="B856" s="36">
        <v>2</v>
      </c>
      <c r="C856" s="36">
        <v>2</v>
      </c>
      <c r="D856" s="37">
        <v>3</v>
      </c>
    </row>
    <row r="857" spans="1:4" s="3" customFormat="1" ht="18" customHeight="1" x14ac:dyDescent="0.2">
      <c r="A857" s="35">
        <v>22</v>
      </c>
      <c r="B857" s="36">
        <v>2</v>
      </c>
      <c r="C857" s="36">
        <v>2</v>
      </c>
      <c r="D857" s="37">
        <v>4</v>
      </c>
    </row>
    <row r="858" spans="1:4" s="3" customFormat="1" ht="18" customHeight="1" x14ac:dyDescent="0.2">
      <c r="A858" s="35">
        <v>22</v>
      </c>
      <c r="B858" s="36">
        <v>2</v>
      </c>
      <c r="C858" s="36">
        <v>3</v>
      </c>
      <c r="D858" s="37">
        <v>3</v>
      </c>
    </row>
    <row r="859" spans="1:4" s="3" customFormat="1" ht="18" customHeight="1" x14ac:dyDescent="0.2">
      <c r="A859" s="35">
        <v>22</v>
      </c>
      <c r="B859" s="36">
        <v>2</v>
      </c>
      <c r="C859" s="36">
        <v>3</v>
      </c>
      <c r="D859" s="37">
        <v>4</v>
      </c>
    </row>
    <row r="860" spans="1:4" s="3" customFormat="1" ht="18" customHeight="1" x14ac:dyDescent="0.2">
      <c r="A860" s="35">
        <v>22</v>
      </c>
      <c r="B860" s="36">
        <v>3</v>
      </c>
      <c r="C860" s="36">
        <v>2</v>
      </c>
      <c r="D860" s="37">
        <v>3</v>
      </c>
    </row>
    <row r="861" spans="1:4" s="3" customFormat="1" ht="18" customHeight="1" x14ac:dyDescent="0.2">
      <c r="A861" s="35">
        <v>22</v>
      </c>
      <c r="B861" s="36">
        <v>3</v>
      </c>
      <c r="C861" s="36">
        <v>2</v>
      </c>
      <c r="D861" s="37">
        <v>4</v>
      </c>
    </row>
    <row r="862" spans="1:4" s="3" customFormat="1" ht="18" customHeight="1" x14ac:dyDescent="0.2">
      <c r="A862" s="35">
        <v>22</v>
      </c>
      <c r="B862" s="36">
        <v>3</v>
      </c>
      <c r="C862" s="36">
        <v>3</v>
      </c>
      <c r="D862" s="37">
        <v>3</v>
      </c>
    </row>
    <row r="863" spans="1:4" s="3" customFormat="1" ht="18" customHeight="1" x14ac:dyDescent="0.2">
      <c r="A863" s="35">
        <v>22</v>
      </c>
      <c r="B863" s="36">
        <v>3</v>
      </c>
      <c r="C863" s="36">
        <v>3</v>
      </c>
      <c r="D863" s="37">
        <v>4</v>
      </c>
    </row>
    <row r="864" spans="1:4" s="3" customFormat="1" ht="18" customHeight="1" x14ac:dyDescent="0.2">
      <c r="A864" s="35">
        <v>22</v>
      </c>
      <c r="B864" s="36">
        <v>4</v>
      </c>
      <c r="C864" s="36">
        <v>2</v>
      </c>
      <c r="D864" s="37">
        <v>3</v>
      </c>
    </row>
    <row r="865" spans="1:4" s="3" customFormat="1" ht="18" customHeight="1" x14ac:dyDescent="0.2">
      <c r="A865" s="35">
        <v>22</v>
      </c>
      <c r="B865" s="36">
        <v>4</v>
      </c>
      <c r="C865" s="36">
        <v>2</v>
      </c>
      <c r="D865" s="37">
        <v>4</v>
      </c>
    </row>
    <row r="866" spans="1:4" s="3" customFormat="1" ht="18" customHeight="1" x14ac:dyDescent="0.2">
      <c r="A866" s="35">
        <v>22</v>
      </c>
      <c r="B866" s="36">
        <v>4</v>
      </c>
      <c r="C866" s="36">
        <v>3</v>
      </c>
      <c r="D866" s="37">
        <v>3</v>
      </c>
    </row>
    <row r="867" spans="1:4" s="3" customFormat="1" ht="18" customHeight="1" x14ac:dyDescent="0.2">
      <c r="A867" s="35">
        <v>22</v>
      </c>
      <c r="B867" s="36">
        <v>4</v>
      </c>
      <c r="C867" s="36">
        <v>3</v>
      </c>
      <c r="D867" s="37">
        <v>4</v>
      </c>
    </row>
    <row r="868" spans="1:4" s="3" customFormat="1" ht="18" customHeight="1" x14ac:dyDescent="0.2">
      <c r="A868" s="35">
        <v>22</v>
      </c>
      <c r="B868" s="36">
        <v>5</v>
      </c>
      <c r="C868" s="36">
        <v>2</v>
      </c>
      <c r="D868" s="37">
        <v>3</v>
      </c>
    </row>
    <row r="869" spans="1:4" s="3" customFormat="1" ht="18" customHeight="1" x14ac:dyDescent="0.2">
      <c r="A869" s="35">
        <v>22</v>
      </c>
      <c r="B869" s="36">
        <v>5</v>
      </c>
      <c r="C869" s="36">
        <v>2</v>
      </c>
      <c r="D869" s="37">
        <v>4</v>
      </c>
    </row>
    <row r="870" spans="1:4" s="3" customFormat="1" ht="18" customHeight="1" x14ac:dyDescent="0.2">
      <c r="A870" s="35">
        <v>22</v>
      </c>
      <c r="B870" s="36">
        <v>5</v>
      </c>
      <c r="C870" s="36">
        <v>3</v>
      </c>
      <c r="D870" s="37">
        <v>3</v>
      </c>
    </row>
    <row r="871" spans="1:4" s="3" customFormat="1" ht="18" customHeight="1" x14ac:dyDescent="0.2">
      <c r="A871" s="35">
        <v>22</v>
      </c>
      <c r="B871" s="36">
        <v>5</v>
      </c>
      <c r="C871" s="36">
        <v>3</v>
      </c>
      <c r="D871" s="37">
        <v>4</v>
      </c>
    </row>
    <row r="872" spans="1:4" s="3" customFormat="1" ht="18" customHeight="1" x14ac:dyDescent="0.2">
      <c r="A872" s="35">
        <v>22</v>
      </c>
      <c r="B872" s="36">
        <v>6</v>
      </c>
      <c r="C872" s="36">
        <v>2</v>
      </c>
      <c r="D872" s="37">
        <v>3</v>
      </c>
    </row>
    <row r="873" spans="1:4" s="3" customFormat="1" ht="18" customHeight="1" x14ac:dyDescent="0.2">
      <c r="A873" s="35">
        <v>22</v>
      </c>
      <c r="B873" s="36">
        <v>6</v>
      </c>
      <c r="C873" s="36">
        <v>2</v>
      </c>
      <c r="D873" s="37">
        <v>4</v>
      </c>
    </row>
    <row r="874" spans="1:4" s="3" customFormat="1" ht="18" customHeight="1" x14ac:dyDescent="0.2">
      <c r="A874" s="35">
        <v>22</v>
      </c>
      <c r="B874" s="36">
        <v>6</v>
      </c>
      <c r="C874" s="36">
        <v>3</v>
      </c>
      <c r="D874" s="37">
        <v>3</v>
      </c>
    </row>
    <row r="875" spans="1:4" s="3" customFormat="1" ht="18" customHeight="1" x14ac:dyDescent="0.2">
      <c r="A875" s="35">
        <v>22</v>
      </c>
      <c r="B875" s="36">
        <v>6</v>
      </c>
      <c r="C875" s="36">
        <v>3</v>
      </c>
      <c r="D875" s="37">
        <v>4</v>
      </c>
    </row>
    <row r="876" spans="1:4" s="3" customFormat="1" ht="18" customHeight="1" x14ac:dyDescent="0.2">
      <c r="A876" s="35">
        <v>22</v>
      </c>
      <c r="B876" s="36">
        <v>7</v>
      </c>
      <c r="C876" s="36">
        <v>2</v>
      </c>
      <c r="D876" s="37">
        <v>3</v>
      </c>
    </row>
    <row r="877" spans="1:4" s="3" customFormat="1" ht="18" customHeight="1" x14ac:dyDescent="0.2">
      <c r="A877" s="35">
        <v>22</v>
      </c>
      <c r="B877" s="36">
        <v>7</v>
      </c>
      <c r="C877" s="36">
        <v>2</v>
      </c>
      <c r="D877" s="37">
        <v>4</v>
      </c>
    </row>
    <row r="878" spans="1:4" s="3" customFormat="1" ht="18" customHeight="1" x14ac:dyDescent="0.2">
      <c r="A878" s="35">
        <v>22</v>
      </c>
      <c r="B878" s="36">
        <v>7</v>
      </c>
      <c r="C878" s="36">
        <v>3</v>
      </c>
      <c r="D878" s="37">
        <v>3</v>
      </c>
    </row>
    <row r="879" spans="1:4" s="3" customFormat="1" ht="18" customHeight="1" x14ac:dyDescent="0.2">
      <c r="A879" s="35">
        <v>22</v>
      </c>
      <c r="B879" s="36">
        <v>7</v>
      </c>
      <c r="C879" s="36">
        <v>3</v>
      </c>
      <c r="D879" s="37">
        <v>4</v>
      </c>
    </row>
    <row r="880" spans="1:4" s="3" customFormat="1" ht="18" customHeight="1" x14ac:dyDescent="0.2">
      <c r="A880" s="35">
        <v>22</v>
      </c>
      <c r="B880" s="36">
        <v>8</v>
      </c>
      <c r="C880" s="36">
        <v>2</v>
      </c>
      <c r="D880" s="37">
        <v>3</v>
      </c>
    </row>
    <row r="881" spans="1:4" s="3" customFormat="1" ht="18" customHeight="1" x14ac:dyDescent="0.2">
      <c r="A881" s="35">
        <v>22</v>
      </c>
      <c r="B881" s="36">
        <v>8</v>
      </c>
      <c r="C881" s="36">
        <v>2</v>
      </c>
      <c r="D881" s="37">
        <v>4</v>
      </c>
    </row>
    <row r="882" spans="1:4" s="3" customFormat="1" ht="18" customHeight="1" x14ac:dyDescent="0.2">
      <c r="A882" s="35">
        <v>22</v>
      </c>
      <c r="B882" s="36">
        <v>8</v>
      </c>
      <c r="C882" s="36">
        <v>3</v>
      </c>
      <c r="D882" s="37">
        <v>3</v>
      </c>
    </row>
    <row r="883" spans="1:4" s="3" customFormat="1" ht="18" customHeight="1" x14ac:dyDescent="0.2">
      <c r="A883" s="35">
        <v>22</v>
      </c>
      <c r="B883" s="36">
        <v>8</v>
      </c>
      <c r="C883" s="36">
        <v>3</v>
      </c>
      <c r="D883" s="37">
        <v>4</v>
      </c>
    </row>
    <row r="884" spans="1:4" s="3" customFormat="1" ht="18" customHeight="1" x14ac:dyDescent="0.2">
      <c r="A884" s="35">
        <v>22</v>
      </c>
      <c r="B884" s="36">
        <v>9</v>
      </c>
      <c r="C884" s="36">
        <v>2</v>
      </c>
      <c r="D884" s="37">
        <v>3</v>
      </c>
    </row>
    <row r="885" spans="1:4" s="3" customFormat="1" ht="18" customHeight="1" x14ac:dyDescent="0.2">
      <c r="A885" s="35">
        <v>22</v>
      </c>
      <c r="B885" s="36">
        <v>9</v>
      </c>
      <c r="C885" s="36">
        <v>2</v>
      </c>
      <c r="D885" s="37">
        <v>4</v>
      </c>
    </row>
    <row r="886" spans="1:4" s="3" customFormat="1" ht="18" customHeight="1" x14ac:dyDescent="0.2">
      <c r="A886" s="35">
        <v>22</v>
      </c>
      <c r="B886" s="36">
        <v>9</v>
      </c>
      <c r="C886" s="36">
        <v>3</v>
      </c>
      <c r="D886" s="37">
        <v>3</v>
      </c>
    </row>
    <row r="887" spans="1:4" s="3" customFormat="1" ht="18" customHeight="1" x14ac:dyDescent="0.2">
      <c r="A887" s="35">
        <v>22</v>
      </c>
      <c r="B887" s="36">
        <v>9</v>
      </c>
      <c r="C887" s="36">
        <v>3</v>
      </c>
      <c r="D887" s="37">
        <v>4</v>
      </c>
    </row>
    <row r="888" spans="1:4" s="3" customFormat="1" ht="18" customHeight="1" x14ac:dyDescent="0.2">
      <c r="A888" s="35">
        <v>22</v>
      </c>
      <c r="B888" s="36">
        <v>10</v>
      </c>
      <c r="C888" s="36">
        <v>2</v>
      </c>
      <c r="D888" s="37">
        <v>3</v>
      </c>
    </row>
    <row r="889" spans="1:4" s="3" customFormat="1" ht="18" customHeight="1" x14ac:dyDescent="0.2">
      <c r="A889" s="35">
        <v>22</v>
      </c>
      <c r="B889" s="36">
        <v>10</v>
      </c>
      <c r="C889" s="36">
        <v>2</v>
      </c>
      <c r="D889" s="37">
        <v>4</v>
      </c>
    </row>
    <row r="890" spans="1:4" s="3" customFormat="1" ht="18" customHeight="1" x14ac:dyDescent="0.2">
      <c r="A890" s="35">
        <v>22</v>
      </c>
      <c r="B890" s="36">
        <v>10</v>
      </c>
      <c r="C890" s="36">
        <v>3</v>
      </c>
      <c r="D890" s="37">
        <v>3</v>
      </c>
    </row>
    <row r="891" spans="1:4" s="3" customFormat="1" ht="18" customHeight="1" x14ac:dyDescent="0.2">
      <c r="A891" s="35">
        <v>22</v>
      </c>
      <c r="B891" s="36">
        <v>10</v>
      </c>
      <c r="C891" s="36">
        <v>3</v>
      </c>
      <c r="D891" s="37">
        <v>4</v>
      </c>
    </row>
    <row r="892" spans="1:4" s="3" customFormat="1" ht="18" customHeight="1" x14ac:dyDescent="0.2">
      <c r="A892" s="35">
        <v>23</v>
      </c>
      <c r="B892" s="36">
        <v>1</v>
      </c>
      <c r="C892" s="36">
        <v>2</v>
      </c>
      <c r="D892" s="37">
        <v>3</v>
      </c>
    </row>
    <row r="893" spans="1:4" s="3" customFormat="1" ht="18" customHeight="1" x14ac:dyDescent="0.2">
      <c r="A893" s="35">
        <v>23</v>
      </c>
      <c r="B893" s="36">
        <v>1</v>
      </c>
      <c r="C893" s="36">
        <v>2</v>
      </c>
      <c r="D893" s="37">
        <v>4</v>
      </c>
    </row>
    <row r="894" spans="1:4" s="3" customFormat="1" ht="18" customHeight="1" x14ac:dyDescent="0.2">
      <c r="A894" s="35">
        <v>23</v>
      </c>
      <c r="B894" s="36">
        <v>1</v>
      </c>
      <c r="C894" s="36">
        <v>3</v>
      </c>
      <c r="D894" s="37">
        <v>3</v>
      </c>
    </row>
    <row r="895" spans="1:4" s="3" customFormat="1" ht="18" customHeight="1" x14ac:dyDescent="0.2">
      <c r="A895" s="35">
        <v>23</v>
      </c>
      <c r="B895" s="36">
        <v>1</v>
      </c>
      <c r="C895" s="36">
        <v>3</v>
      </c>
      <c r="D895" s="37">
        <v>4</v>
      </c>
    </row>
    <row r="896" spans="1:4" s="3" customFormat="1" ht="18" customHeight="1" x14ac:dyDescent="0.2">
      <c r="A896" s="35">
        <v>23</v>
      </c>
      <c r="B896" s="36">
        <v>2</v>
      </c>
      <c r="C896" s="36">
        <v>2</v>
      </c>
      <c r="D896" s="37">
        <v>3</v>
      </c>
    </row>
    <row r="897" spans="1:4" s="3" customFormat="1" ht="18" customHeight="1" x14ac:dyDescent="0.2">
      <c r="A897" s="35">
        <v>23</v>
      </c>
      <c r="B897" s="36">
        <v>2</v>
      </c>
      <c r="C897" s="36">
        <v>2</v>
      </c>
      <c r="D897" s="37">
        <v>4</v>
      </c>
    </row>
    <row r="898" spans="1:4" s="3" customFormat="1" ht="18" customHeight="1" x14ac:dyDescent="0.2">
      <c r="A898" s="35">
        <v>23</v>
      </c>
      <c r="B898" s="36">
        <v>2</v>
      </c>
      <c r="C898" s="36">
        <v>3</v>
      </c>
      <c r="D898" s="37">
        <v>3</v>
      </c>
    </row>
    <row r="899" spans="1:4" s="3" customFormat="1" ht="18" customHeight="1" x14ac:dyDescent="0.2">
      <c r="A899" s="35">
        <v>23</v>
      </c>
      <c r="B899" s="36">
        <v>2</v>
      </c>
      <c r="C899" s="36">
        <v>3</v>
      </c>
      <c r="D899" s="37">
        <v>4</v>
      </c>
    </row>
    <row r="900" spans="1:4" s="3" customFormat="1" ht="18" customHeight="1" x14ac:dyDescent="0.2">
      <c r="A900" s="35">
        <v>23</v>
      </c>
      <c r="B900" s="36">
        <v>4</v>
      </c>
      <c r="C900" s="36">
        <v>2</v>
      </c>
      <c r="D900" s="37">
        <v>3</v>
      </c>
    </row>
    <row r="901" spans="1:4" s="3" customFormat="1" ht="18" customHeight="1" x14ac:dyDescent="0.2">
      <c r="A901" s="35">
        <v>23</v>
      </c>
      <c r="B901" s="36">
        <v>4</v>
      </c>
      <c r="C901" s="36">
        <v>2</v>
      </c>
      <c r="D901" s="37">
        <v>4</v>
      </c>
    </row>
    <row r="902" spans="1:4" s="3" customFormat="1" ht="18" customHeight="1" x14ac:dyDescent="0.2">
      <c r="A902" s="35">
        <v>23</v>
      </c>
      <c r="B902" s="36">
        <v>4</v>
      </c>
      <c r="C902" s="36">
        <v>3</v>
      </c>
      <c r="D902" s="37">
        <v>3</v>
      </c>
    </row>
    <row r="903" spans="1:4" s="3" customFormat="1" ht="18" customHeight="1" x14ac:dyDescent="0.2">
      <c r="A903" s="35">
        <v>23</v>
      </c>
      <c r="B903" s="36">
        <v>4</v>
      </c>
      <c r="C903" s="36">
        <v>3</v>
      </c>
      <c r="D903" s="37">
        <v>4</v>
      </c>
    </row>
    <row r="904" spans="1:4" s="3" customFormat="1" ht="18" customHeight="1" x14ac:dyDescent="0.2">
      <c r="A904" s="35">
        <v>23</v>
      </c>
      <c r="B904" s="36">
        <v>6</v>
      </c>
      <c r="C904" s="36">
        <v>2</v>
      </c>
      <c r="D904" s="37">
        <v>3</v>
      </c>
    </row>
    <row r="905" spans="1:4" s="3" customFormat="1" ht="18" customHeight="1" x14ac:dyDescent="0.2">
      <c r="A905" s="35">
        <v>23</v>
      </c>
      <c r="B905" s="36">
        <v>6</v>
      </c>
      <c r="C905" s="36">
        <v>2</v>
      </c>
      <c r="D905" s="37">
        <v>4</v>
      </c>
    </row>
    <row r="906" spans="1:4" s="3" customFormat="1" ht="18" customHeight="1" x14ac:dyDescent="0.2">
      <c r="A906" s="35">
        <v>23</v>
      </c>
      <c r="B906" s="36">
        <v>6</v>
      </c>
      <c r="C906" s="36">
        <v>3</v>
      </c>
      <c r="D906" s="37">
        <v>3</v>
      </c>
    </row>
    <row r="907" spans="1:4" s="3" customFormat="1" ht="18" customHeight="1" x14ac:dyDescent="0.2">
      <c r="A907" s="35">
        <v>23</v>
      </c>
      <c r="B907" s="36">
        <v>6</v>
      </c>
      <c r="C907" s="36">
        <v>3</v>
      </c>
      <c r="D907" s="37">
        <v>4</v>
      </c>
    </row>
    <row r="908" spans="1:4" s="3" customFormat="1" ht="18" customHeight="1" x14ac:dyDescent="0.2">
      <c r="A908" s="35">
        <v>23</v>
      </c>
      <c r="B908" s="36">
        <v>7</v>
      </c>
      <c r="C908" s="36">
        <v>2</v>
      </c>
      <c r="D908" s="37">
        <v>3</v>
      </c>
    </row>
    <row r="909" spans="1:4" s="3" customFormat="1" ht="18" customHeight="1" x14ac:dyDescent="0.2">
      <c r="A909" s="35">
        <v>23</v>
      </c>
      <c r="B909" s="36">
        <v>7</v>
      </c>
      <c r="C909" s="36">
        <v>2</v>
      </c>
      <c r="D909" s="37">
        <v>4</v>
      </c>
    </row>
    <row r="910" spans="1:4" s="3" customFormat="1" ht="18" customHeight="1" x14ac:dyDescent="0.2">
      <c r="A910" s="35">
        <v>23</v>
      </c>
      <c r="B910" s="36">
        <v>7</v>
      </c>
      <c r="C910" s="36">
        <v>3</v>
      </c>
      <c r="D910" s="37">
        <v>3</v>
      </c>
    </row>
    <row r="911" spans="1:4" s="3" customFormat="1" ht="18" customHeight="1" x14ac:dyDescent="0.2">
      <c r="A911" s="35">
        <v>23</v>
      </c>
      <c r="B911" s="36">
        <v>7</v>
      </c>
      <c r="C911" s="36">
        <v>3</v>
      </c>
      <c r="D911" s="37">
        <v>4</v>
      </c>
    </row>
    <row r="912" spans="1:4" s="3" customFormat="1" ht="18" customHeight="1" x14ac:dyDescent="0.2">
      <c r="A912" s="35">
        <v>23</v>
      </c>
      <c r="B912" s="36">
        <v>9</v>
      </c>
      <c r="C912" s="36">
        <v>2</v>
      </c>
      <c r="D912" s="37">
        <v>3</v>
      </c>
    </row>
    <row r="913" spans="1:4" s="3" customFormat="1" ht="18" customHeight="1" x14ac:dyDescent="0.2">
      <c r="A913" s="35">
        <v>23</v>
      </c>
      <c r="B913" s="36">
        <v>9</v>
      </c>
      <c r="C913" s="36">
        <v>2</v>
      </c>
      <c r="D913" s="37">
        <v>4</v>
      </c>
    </row>
    <row r="914" spans="1:4" s="3" customFormat="1" ht="18" customHeight="1" x14ac:dyDescent="0.2">
      <c r="A914" s="35">
        <v>23</v>
      </c>
      <c r="B914" s="36">
        <v>9</v>
      </c>
      <c r="C914" s="36">
        <v>3</v>
      </c>
      <c r="D914" s="37">
        <v>3</v>
      </c>
    </row>
    <row r="915" spans="1:4" s="3" customFormat="1" ht="18" customHeight="1" x14ac:dyDescent="0.2">
      <c r="A915" s="35">
        <v>23</v>
      </c>
      <c r="B915" s="36">
        <v>9</v>
      </c>
      <c r="C915" s="36">
        <v>3</v>
      </c>
      <c r="D915" s="37">
        <v>4</v>
      </c>
    </row>
    <row r="916" spans="1:4" s="3" customFormat="1" ht="18" customHeight="1" x14ac:dyDescent="0.2">
      <c r="A916" s="35">
        <v>24</v>
      </c>
      <c r="B916" s="36">
        <v>1</v>
      </c>
      <c r="C916" s="36">
        <v>2</v>
      </c>
      <c r="D916" s="37">
        <v>3</v>
      </c>
    </row>
    <row r="917" spans="1:4" s="3" customFormat="1" ht="18" customHeight="1" x14ac:dyDescent="0.2">
      <c r="A917" s="35">
        <v>24</v>
      </c>
      <c r="B917" s="36">
        <v>1</v>
      </c>
      <c r="C917" s="36">
        <v>2</v>
      </c>
      <c r="D917" s="37">
        <v>4</v>
      </c>
    </row>
    <row r="918" spans="1:4" s="3" customFormat="1" ht="18" customHeight="1" x14ac:dyDescent="0.2">
      <c r="A918" s="35">
        <v>24</v>
      </c>
      <c r="B918" s="36">
        <v>1</v>
      </c>
      <c r="C918" s="36">
        <v>3</v>
      </c>
      <c r="D918" s="37">
        <v>3</v>
      </c>
    </row>
    <row r="919" spans="1:4" s="3" customFormat="1" ht="18" customHeight="1" x14ac:dyDescent="0.2">
      <c r="A919" s="35">
        <v>24</v>
      </c>
      <c r="B919" s="36">
        <v>1</v>
      </c>
      <c r="C919" s="36">
        <v>3</v>
      </c>
      <c r="D919" s="37">
        <v>4</v>
      </c>
    </row>
    <row r="920" spans="1:4" s="3" customFormat="1" ht="18" customHeight="1" x14ac:dyDescent="0.2">
      <c r="A920" s="35">
        <v>24</v>
      </c>
      <c r="B920" s="36">
        <v>2</v>
      </c>
      <c r="C920" s="36">
        <v>2</v>
      </c>
      <c r="D920" s="37">
        <v>3</v>
      </c>
    </row>
    <row r="921" spans="1:4" s="3" customFormat="1" ht="18" customHeight="1" x14ac:dyDescent="0.2">
      <c r="A921" s="35">
        <v>24</v>
      </c>
      <c r="B921" s="36">
        <v>2</v>
      </c>
      <c r="C921" s="36">
        <v>2</v>
      </c>
      <c r="D921" s="37">
        <v>4</v>
      </c>
    </row>
    <row r="922" spans="1:4" s="3" customFormat="1" ht="18" customHeight="1" x14ac:dyDescent="0.2">
      <c r="A922" s="35">
        <v>24</v>
      </c>
      <c r="B922" s="36">
        <v>2</v>
      </c>
      <c r="C922" s="36">
        <v>3</v>
      </c>
      <c r="D922" s="37">
        <v>3</v>
      </c>
    </row>
    <row r="923" spans="1:4" s="3" customFormat="1" ht="18" customHeight="1" x14ac:dyDescent="0.2">
      <c r="A923" s="35">
        <v>24</v>
      </c>
      <c r="B923" s="36">
        <v>2</v>
      </c>
      <c r="C923" s="36">
        <v>3</v>
      </c>
      <c r="D923" s="37">
        <v>4</v>
      </c>
    </row>
    <row r="924" spans="1:4" s="3" customFormat="1" ht="18" customHeight="1" x14ac:dyDescent="0.2">
      <c r="A924" s="35">
        <v>24</v>
      </c>
      <c r="B924" s="36">
        <v>3</v>
      </c>
      <c r="C924" s="36">
        <v>2</v>
      </c>
      <c r="D924" s="37">
        <v>3</v>
      </c>
    </row>
    <row r="925" spans="1:4" s="3" customFormat="1" ht="18" customHeight="1" x14ac:dyDescent="0.2">
      <c r="A925" s="35">
        <v>24</v>
      </c>
      <c r="B925" s="36">
        <v>3</v>
      </c>
      <c r="C925" s="36">
        <v>2</v>
      </c>
      <c r="D925" s="37">
        <v>4</v>
      </c>
    </row>
    <row r="926" spans="1:4" s="3" customFormat="1" ht="18" customHeight="1" x14ac:dyDescent="0.2">
      <c r="A926" s="35">
        <v>24</v>
      </c>
      <c r="B926" s="36">
        <v>3</v>
      </c>
      <c r="C926" s="36">
        <v>3</v>
      </c>
      <c r="D926" s="37">
        <v>3</v>
      </c>
    </row>
    <row r="927" spans="1:4" s="3" customFormat="1" ht="18" customHeight="1" x14ac:dyDescent="0.2">
      <c r="A927" s="35">
        <v>24</v>
      </c>
      <c r="B927" s="36">
        <v>3</v>
      </c>
      <c r="C927" s="36">
        <v>3</v>
      </c>
      <c r="D927" s="37">
        <v>4</v>
      </c>
    </row>
    <row r="928" spans="1:4" s="3" customFormat="1" ht="18" customHeight="1" x14ac:dyDescent="0.2">
      <c r="A928" s="35">
        <v>24</v>
      </c>
      <c r="B928" s="36">
        <v>4</v>
      </c>
      <c r="C928" s="36">
        <v>2</v>
      </c>
      <c r="D928" s="37">
        <v>3</v>
      </c>
    </row>
    <row r="929" spans="1:4" s="3" customFormat="1" ht="18" customHeight="1" x14ac:dyDescent="0.2">
      <c r="A929" s="35">
        <v>24</v>
      </c>
      <c r="B929" s="36">
        <v>4</v>
      </c>
      <c r="C929" s="36">
        <v>2</v>
      </c>
      <c r="D929" s="37">
        <v>4</v>
      </c>
    </row>
    <row r="930" spans="1:4" s="3" customFormat="1" ht="18" customHeight="1" x14ac:dyDescent="0.2">
      <c r="A930" s="35">
        <v>24</v>
      </c>
      <c r="B930" s="36">
        <v>4</v>
      </c>
      <c r="C930" s="36">
        <v>3</v>
      </c>
      <c r="D930" s="37">
        <v>3</v>
      </c>
    </row>
    <row r="931" spans="1:4" s="3" customFormat="1" ht="18" customHeight="1" x14ac:dyDescent="0.2">
      <c r="A931" s="35">
        <v>24</v>
      </c>
      <c r="B931" s="36">
        <v>4</v>
      </c>
      <c r="C931" s="36">
        <v>3</v>
      </c>
      <c r="D931" s="37">
        <v>4</v>
      </c>
    </row>
    <row r="932" spans="1:4" s="3" customFormat="1" ht="18" customHeight="1" x14ac:dyDescent="0.2">
      <c r="A932" s="35">
        <v>24</v>
      </c>
      <c r="B932" s="36">
        <v>5</v>
      </c>
      <c r="C932" s="36">
        <v>2</v>
      </c>
      <c r="D932" s="37">
        <v>3</v>
      </c>
    </row>
    <row r="933" spans="1:4" s="3" customFormat="1" ht="18" customHeight="1" x14ac:dyDescent="0.2">
      <c r="A933" s="35">
        <v>24</v>
      </c>
      <c r="B933" s="36">
        <v>5</v>
      </c>
      <c r="C933" s="36">
        <v>2</v>
      </c>
      <c r="D933" s="37">
        <v>4</v>
      </c>
    </row>
    <row r="934" spans="1:4" s="3" customFormat="1" ht="18" customHeight="1" x14ac:dyDescent="0.2">
      <c r="A934" s="35">
        <v>24</v>
      </c>
      <c r="B934" s="36">
        <v>5</v>
      </c>
      <c r="C934" s="36">
        <v>3</v>
      </c>
      <c r="D934" s="37">
        <v>3</v>
      </c>
    </row>
    <row r="935" spans="1:4" s="3" customFormat="1" ht="18" customHeight="1" x14ac:dyDescent="0.2">
      <c r="A935" s="35">
        <v>24</v>
      </c>
      <c r="B935" s="36">
        <v>5</v>
      </c>
      <c r="C935" s="36">
        <v>3</v>
      </c>
      <c r="D935" s="37">
        <v>4</v>
      </c>
    </row>
    <row r="936" spans="1:4" s="3" customFormat="1" ht="18" customHeight="1" x14ac:dyDescent="0.2">
      <c r="A936" s="35">
        <v>24</v>
      </c>
      <c r="B936" s="36">
        <v>6</v>
      </c>
      <c r="C936" s="36">
        <v>2</v>
      </c>
      <c r="D936" s="37">
        <v>3</v>
      </c>
    </row>
    <row r="937" spans="1:4" s="3" customFormat="1" ht="18" customHeight="1" x14ac:dyDescent="0.2">
      <c r="A937" s="35">
        <v>24</v>
      </c>
      <c r="B937" s="36">
        <v>6</v>
      </c>
      <c r="C937" s="36">
        <v>2</v>
      </c>
      <c r="D937" s="37">
        <v>4</v>
      </c>
    </row>
    <row r="938" spans="1:4" s="3" customFormat="1" ht="18" customHeight="1" x14ac:dyDescent="0.2">
      <c r="A938" s="35">
        <v>24</v>
      </c>
      <c r="B938" s="36">
        <v>6</v>
      </c>
      <c r="C938" s="36">
        <v>3</v>
      </c>
      <c r="D938" s="37">
        <v>3</v>
      </c>
    </row>
    <row r="939" spans="1:4" s="3" customFormat="1" ht="18" customHeight="1" x14ac:dyDescent="0.2">
      <c r="A939" s="35">
        <v>24</v>
      </c>
      <c r="B939" s="36">
        <v>6</v>
      </c>
      <c r="C939" s="36">
        <v>3</v>
      </c>
      <c r="D939" s="37">
        <v>4</v>
      </c>
    </row>
    <row r="940" spans="1:4" s="3" customFormat="1" ht="18" customHeight="1" x14ac:dyDescent="0.2">
      <c r="A940" s="35">
        <v>24</v>
      </c>
      <c r="B940" s="36">
        <v>7</v>
      </c>
      <c r="C940" s="36">
        <v>2</v>
      </c>
      <c r="D940" s="37">
        <v>3</v>
      </c>
    </row>
    <row r="941" spans="1:4" s="3" customFormat="1" ht="18" customHeight="1" x14ac:dyDescent="0.2">
      <c r="A941" s="35">
        <v>24</v>
      </c>
      <c r="B941" s="36">
        <v>7</v>
      </c>
      <c r="C941" s="36">
        <v>2</v>
      </c>
      <c r="D941" s="37">
        <v>4</v>
      </c>
    </row>
    <row r="942" spans="1:4" s="3" customFormat="1" ht="18" customHeight="1" x14ac:dyDescent="0.2">
      <c r="A942" s="35">
        <v>24</v>
      </c>
      <c r="B942" s="36">
        <v>7</v>
      </c>
      <c r="C942" s="36">
        <v>3</v>
      </c>
      <c r="D942" s="37">
        <v>3</v>
      </c>
    </row>
    <row r="943" spans="1:4" s="3" customFormat="1" ht="18" customHeight="1" x14ac:dyDescent="0.2">
      <c r="A943" s="35">
        <v>24</v>
      </c>
      <c r="B943" s="36">
        <v>7</v>
      </c>
      <c r="C943" s="36">
        <v>3</v>
      </c>
      <c r="D943" s="37">
        <v>4</v>
      </c>
    </row>
    <row r="944" spans="1:4" s="3" customFormat="1" ht="18" customHeight="1" x14ac:dyDescent="0.2">
      <c r="A944" s="35">
        <v>24</v>
      </c>
      <c r="B944" s="36">
        <v>8</v>
      </c>
      <c r="C944" s="36">
        <v>2</v>
      </c>
      <c r="D944" s="37">
        <v>3</v>
      </c>
    </row>
    <row r="945" spans="1:4" s="3" customFormat="1" ht="18" customHeight="1" x14ac:dyDescent="0.2">
      <c r="A945" s="35">
        <v>24</v>
      </c>
      <c r="B945" s="36">
        <v>8</v>
      </c>
      <c r="C945" s="36">
        <v>2</v>
      </c>
      <c r="D945" s="37">
        <v>4</v>
      </c>
    </row>
    <row r="946" spans="1:4" s="3" customFormat="1" ht="18" customHeight="1" x14ac:dyDescent="0.2">
      <c r="A946" s="35">
        <v>24</v>
      </c>
      <c r="B946" s="36">
        <v>8</v>
      </c>
      <c r="C946" s="36">
        <v>3</v>
      </c>
      <c r="D946" s="37">
        <v>3</v>
      </c>
    </row>
    <row r="947" spans="1:4" s="3" customFormat="1" ht="18" customHeight="1" x14ac:dyDescent="0.2">
      <c r="A947" s="35">
        <v>24</v>
      </c>
      <c r="B947" s="36">
        <v>8</v>
      </c>
      <c r="C947" s="36">
        <v>3</v>
      </c>
      <c r="D947" s="37">
        <v>4</v>
      </c>
    </row>
    <row r="948" spans="1:4" s="3" customFormat="1" ht="18" customHeight="1" x14ac:dyDescent="0.2">
      <c r="A948" s="35">
        <v>24</v>
      </c>
      <c r="B948" s="36">
        <v>9</v>
      </c>
      <c r="C948" s="36">
        <v>2</v>
      </c>
      <c r="D948" s="37">
        <v>3</v>
      </c>
    </row>
    <row r="949" spans="1:4" s="3" customFormat="1" ht="18" customHeight="1" x14ac:dyDescent="0.2">
      <c r="A949" s="35">
        <v>24</v>
      </c>
      <c r="B949" s="36">
        <v>9</v>
      </c>
      <c r="C949" s="36">
        <v>2</v>
      </c>
      <c r="D949" s="37">
        <v>4</v>
      </c>
    </row>
    <row r="950" spans="1:4" s="3" customFormat="1" ht="18" customHeight="1" x14ac:dyDescent="0.2">
      <c r="A950" s="35">
        <v>24</v>
      </c>
      <c r="B950" s="36">
        <v>9</v>
      </c>
      <c r="C950" s="36">
        <v>3</v>
      </c>
      <c r="D950" s="37">
        <v>3</v>
      </c>
    </row>
    <row r="951" spans="1:4" s="3" customFormat="1" ht="18" customHeight="1" x14ac:dyDescent="0.2">
      <c r="A951" s="35">
        <v>24</v>
      </c>
      <c r="B951" s="36">
        <v>9</v>
      </c>
      <c r="C951" s="36">
        <v>3</v>
      </c>
      <c r="D951" s="37">
        <v>4</v>
      </c>
    </row>
    <row r="952" spans="1:4" s="3" customFormat="1" ht="18" customHeight="1" x14ac:dyDescent="0.2">
      <c r="A952" s="35">
        <v>24</v>
      </c>
      <c r="B952" s="36">
        <v>10</v>
      </c>
      <c r="C952" s="36">
        <v>2</v>
      </c>
      <c r="D952" s="37">
        <v>3</v>
      </c>
    </row>
    <row r="953" spans="1:4" s="3" customFormat="1" ht="18" customHeight="1" x14ac:dyDescent="0.2">
      <c r="A953" s="35">
        <v>24</v>
      </c>
      <c r="B953" s="36">
        <v>10</v>
      </c>
      <c r="C953" s="36">
        <v>2</v>
      </c>
      <c r="D953" s="37">
        <v>4</v>
      </c>
    </row>
    <row r="954" spans="1:4" s="3" customFormat="1" ht="18" customHeight="1" x14ac:dyDescent="0.2">
      <c r="A954" s="35">
        <v>24</v>
      </c>
      <c r="B954" s="36">
        <v>10</v>
      </c>
      <c r="C954" s="36">
        <v>3</v>
      </c>
      <c r="D954" s="37">
        <v>3</v>
      </c>
    </row>
    <row r="955" spans="1:4" s="3" customFormat="1" ht="18" customHeight="1" x14ac:dyDescent="0.2">
      <c r="A955" s="35">
        <v>24</v>
      </c>
      <c r="B955" s="36">
        <v>10</v>
      </c>
      <c r="C955" s="36">
        <v>3</v>
      </c>
      <c r="D955" s="37">
        <v>4</v>
      </c>
    </row>
    <row r="956" spans="1:4" s="3" customFormat="1" ht="18" customHeight="1" x14ac:dyDescent="0.2">
      <c r="A956" s="35">
        <v>25</v>
      </c>
      <c r="B956" s="36">
        <v>1</v>
      </c>
      <c r="C956" s="36">
        <v>2</v>
      </c>
      <c r="D956" s="37">
        <v>3</v>
      </c>
    </row>
    <row r="957" spans="1:4" s="3" customFormat="1" ht="18" customHeight="1" x14ac:dyDescent="0.2">
      <c r="A957" s="35">
        <v>25</v>
      </c>
      <c r="B957" s="36">
        <v>1</v>
      </c>
      <c r="C957" s="36">
        <v>2</v>
      </c>
      <c r="D957" s="37">
        <v>4</v>
      </c>
    </row>
    <row r="958" spans="1:4" s="3" customFormat="1" ht="18" customHeight="1" x14ac:dyDescent="0.2">
      <c r="A958" s="35">
        <v>25</v>
      </c>
      <c r="B958" s="36">
        <v>1</v>
      </c>
      <c r="C958" s="36">
        <v>3</v>
      </c>
      <c r="D958" s="37">
        <v>3</v>
      </c>
    </row>
    <row r="959" spans="1:4" s="3" customFormat="1" ht="18" customHeight="1" x14ac:dyDescent="0.2">
      <c r="A959" s="35">
        <v>25</v>
      </c>
      <c r="B959" s="36">
        <v>1</v>
      </c>
      <c r="C959" s="36">
        <v>3</v>
      </c>
      <c r="D959" s="37">
        <v>4</v>
      </c>
    </row>
    <row r="960" spans="1:4" s="3" customFormat="1" ht="18" customHeight="1" x14ac:dyDescent="0.2">
      <c r="A960" s="35">
        <v>25</v>
      </c>
      <c r="B960" s="36">
        <v>2</v>
      </c>
      <c r="C960" s="36">
        <v>2</v>
      </c>
      <c r="D960" s="37">
        <v>3</v>
      </c>
    </row>
    <row r="961" spans="1:4" s="3" customFormat="1" ht="18" customHeight="1" x14ac:dyDescent="0.2">
      <c r="A961" s="35">
        <v>25</v>
      </c>
      <c r="B961" s="36">
        <v>2</v>
      </c>
      <c r="C961" s="36">
        <v>2</v>
      </c>
      <c r="D961" s="37">
        <v>4</v>
      </c>
    </row>
    <row r="962" spans="1:4" s="3" customFormat="1" ht="18" customHeight="1" x14ac:dyDescent="0.2">
      <c r="A962" s="35">
        <v>25</v>
      </c>
      <c r="B962" s="36">
        <v>2</v>
      </c>
      <c r="C962" s="36">
        <v>3</v>
      </c>
      <c r="D962" s="37">
        <v>3</v>
      </c>
    </row>
    <row r="963" spans="1:4" s="3" customFormat="1" ht="18" customHeight="1" x14ac:dyDescent="0.2">
      <c r="A963" s="35">
        <v>25</v>
      </c>
      <c r="B963" s="36">
        <v>2</v>
      </c>
      <c r="C963" s="36">
        <v>3</v>
      </c>
      <c r="D963" s="37">
        <v>4</v>
      </c>
    </row>
    <row r="964" spans="1:4" s="3" customFormat="1" ht="18" customHeight="1" x14ac:dyDescent="0.2">
      <c r="A964" s="35">
        <v>25</v>
      </c>
      <c r="B964" s="36">
        <v>3</v>
      </c>
      <c r="C964" s="36">
        <v>2</v>
      </c>
      <c r="D964" s="37">
        <v>3</v>
      </c>
    </row>
    <row r="965" spans="1:4" s="3" customFormat="1" ht="18" customHeight="1" x14ac:dyDescent="0.2">
      <c r="A965" s="35">
        <v>25</v>
      </c>
      <c r="B965" s="36">
        <v>3</v>
      </c>
      <c r="C965" s="36">
        <v>2</v>
      </c>
      <c r="D965" s="37">
        <v>4</v>
      </c>
    </row>
    <row r="966" spans="1:4" s="3" customFormat="1" ht="18" customHeight="1" x14ac:dyDescent="0.2">
      <c r="A966" s="35">
        <v>25</v>
      </c>
      <c r="B966" s="36">
        <v>3</v>
      </c>
      <c r="C966" s="36">
        <v>3</v>
      </c>
      <c r="D966" s="37">
        <v>3</v>
      </c>
    </row>
    <row r="967" spans="1:4" s="3" customFormat="1" ht="18" customHeight="1" x14ac:dyDescent="0.2">
      <c r="A967" s="35">
        <v>25</v>
      </c>
      <c r="B967" s="36">
        <v>3</v>
      </c>
      <c r="C967" s="36">
        <v>3</v>
      </c>
      <c r="D967" s="37">
        <v>4</v>
      </c>
    </row>
    <row r="968" spans="1:4" s="3" customFormat="1" ht="18" customHeight="1" x14ac:dyDescent="0.2">
      <c r="A968" s="35">
        <v>25</v>
      </c>
      <c r="B968" s="36">
        <v>4</v>
      </c>
      <c r="C968" s="36">
        <v>2</v>
      </c>
      <c r="D968" s="37">
        <v>3</v>
      </c>
    </row>
    <row r="969" spans="1:4" s="3" customFormat="1" ht="18" customHeight="1" x14ac:dyDescent="0.2">
      <c r="A969" s="35">
        <v>25</v>
      </c>
      <c r="B969" s="36">
        <v>4</v>
      </c>
      <c r="C969" s="36">
        <v>2</v>
      </c>
      <c r="D969" s="37">
        <v>4</v>
      </c>
    </row>
    <row r="970" spans="1:4" s="3" customFormat="1" ht="18" customHeight="1" x14ac:dyDescent="0.2">
      <c r="A970" s="35">
        <v>25</v>
      </c>
      <c r="B970" s="36">
        <v>4</v>
      </c>
      <c r="C970" s="36">
        <v>3</v>
      </c>
      <c r="D970" s="37">
        <v>3</v>
      </c>
    </row>
    <row r="971" spans="1:4" s="3" customFormat="1" ht="18" customHeight="1" x14ac:dyDescent="0.2">
      <c r="A971" s="35">
        <v>25</v>
      </c>
      <c r="B971" s="36">
        <v>4</v>
      </c>
      <c r="C971" s="36">
        <v>3</v>
      </c>
      <c r="D971" s="37">
        <v>4</v>
      </c>
    </row>
    <row r="972" spans="1:4" s="3" customFormat="1" ht="18" customHeight="1" x14ac:dyDescent="0.2">
      <c r="A972" s="35">
        <v>25</v>
      </c>
      <c r="B972" s="36">
        <v>5</v>
      </c>
      <c r="C972" s="36">
        <v>2</v>
      </c>
      <c r="D972" s="37">
        <v>3</v>
      </c>
    </row>
    <row r="973" spans="1:4" s="3" customFormat="1" ht="18" customHeight="1" x14ac:dyDescent="0.2">
      <c r="A973" s="35">
        <v>25</v>
      </c>
      <c r="B973" s="36">
        <v>5</v>
      </c>
      <c r="C973" s="36">
        <v>2</v>
      </c>
      <c r="D973" s="37">
        <v>4</v>
      </c>
    </row>
    <row r="974" spans="1:4" s="3" customFormat="1" ht="18" customHeight="1" x14ac:dyDescent="0.2">
      <c r="A974" s="35">
        <v>25</v>
      </c>
      <c r="B974" s="36">
        <v>5</v>
      </c>
      <c r="C974" s="36">
        <v>3</v>
      </c>
      <c r="D974" s="37">
        <v>3</v>
      </c>
    </row>
    <row r="975" spans="1:4" s="3" customFormat="1" ht="18" customHeight="1" x14ac:dyDescent="0.2">
      <c r="A975" s="35">
        <v>25</v>
      </c>
      <c r="B975" s="36">
        <v>5</v>
      </c>
      <c r="C975" s="36">
        <v>3</v>
      </c>
      <c r="D975" s="37">
        <v>4</v>
      </c>
    </row>
    <row r="976" spans="1:4" s="3" customFormat="1" ht="18" customHeight="1" x14ac:dyDescent="0.2">
      <c r="A976" s="35">
        <v>25</v>
      </c>
      <c r="B976" s="36">
        <v>6</v>
      </c>
      <c r="C976" s="36">
        <v>2</v>
      </c>
      <c r="D976" s="37">
        <v>3</v>
      </c>
    </row>
    <row r="977" spans="1:4" s="3" customFormat="1" ht="18" customHeight="1" x14ac:dyDescent="0.2">
      <c r="A977" s="35">
        <v>25</v>
      </c>
      <c r="B977" s="36">
        <v>6</v>
      </c>
      <c r="C977" s="36">
        <v>2</v>
      </c>
      <c r="D977" s="37">
        <v>4</v>
      </c>
    </row>
    <row r="978" spans="1:4" s="3" customFormat="1" ht="18" customHeight="1" x14ac:dyDescent="0.2">
      <c r="A978" s="35">
        <v>25</v>
      </c>
      <c r="B978" s="36">
        <v>6</v>
      </c>
      <c r="C978" s="36">
        <v>3</v>
      </c>
      <c r="D978" s="37">
        <v>3</v>
      </c>
    </row>
    <row r="979" spans="1:4" s="3" customFormat="1" ht="18" customHeight="1" x14ac:dyDescent="0.2">
      <c r="A979" s="35">
        <v>25</v>
      </c>
      <c r="B979" s="36">
        <v>6</v>
      </c>
      <c r="C979" s="36">
        <v>3</v>
      </c>
      <c r="D979" s="37">
        <v>4</v>
      </c>
    </row>
    <row r="980" spans="1:4" s="3" customFormat="1" ht="18" customHeight="1" x14ac:dyDescent="0.2">
      <c r="A980" s="35">
        <v>25</v>
      </c>
      <c r="B980" s="36">
        <v>7</v>
      </c>
      <c r="C980" s="36">
        <v>2</v>
      </c>
      <c r="D980" s="37">
        <v>3</v>
      </c>
    </row>
    <row r="981" spans="1:4" s="3" customFormat="1" ht="18" customHeight="1" x14ac:dyDescent="0.2">
      <c r="A981" s="35">
        <v>25</v>
      </c>
      <c r="B981" s="36">
        <v>7</v>
      </c>
      <c r="C981" s="36">
        <v>2</v>
      </c>
      <c r="D981" s="37">
        <v>4</v>
      </c>
    </row>
    <row r="982" spans="1:4" s="3" customFormat="1" ht="18" customHeight="1" x14ac:dyDescent="0.2">
      <c r="A982" s="35">
        <v>25</v>
      </c>
      <c r="B982" s="36">
        <v>7</v>
      </c>
      <c r="C982" s="36">
        <v>3</v>
      </c>
      <c r="D982" s="37">
        <v>3</v>
      </c>
    </row>
    <row r="983" spans="1:4" s="3" customFormat="1" ht="18" customHeight="1" x14ac:dyDescent="0.2">
      <c r="A983" s="35">
        <v>25</v>
      </c>
      <c r="B983" s="36">
        <v>7</v>
      </c>
      <c r="C983" s="36">
        <v>3</v>
      </c>
      <c r="D983" s="37">
        <v>4</v>
      </c>
    </row>
    <row r="984" spans="1:4" s="3" customFormat="1" ht="18" customHeight="1" x14ac:dyDescent="0.2">
      <c r="A984" s="35">
        <v>25</v>
      </c>
      <c r="B984" s="36">
        <v>8</v>
      </c>
      <c r="C984" s="36">
        <v>2</v>
      </c>
      <c r="D984" s="37">
        <v>3</v>
      </c>
    </row>
    <row r="985" spans="1:4" s="3" customFormat="1" ht="18" customHeight="1" x14ac:dyDescent="0.2">
      <c r="A985" s="35">
        <v>25</v>
      </c>
      <c r="B985" s="36">
        <v>8</v>
      </c>
      <c r="C985" s="36">
        <v>2</v>
      </c>
      <c r="D985" s="37">
        <v>4</v>
      </c>
    </row>
    <row r="986" spans="1:4" s="3" customFormat="1" ht="18" customHeight="1" x14ac:dyDescent="0.2">
      <c r="A986" s="35">
        <v>25</v>
      </c>
      <c r="B986" s="36">
        <v>8</v>
      </c>
      <c r="C986" s="36">
        <v>3</v>
      </c>
      <c r="D986" s="37">
        <v>3</v>
      </c>
    </row>
    <row r="987" spans="1:4" s="3" customFormat="1" ht="18" customHeight="1" x14ac:dyDescent="0.2">
      <c r="A987" s="35">
        <v>25</v>
      </c>
      <c r="B987" s="36">
        <v>8</v>
      </c>
      <c r="C987" s="36">
        <v>3</v>
      </c>
      <c r="D987" s="37">
        <v>4</v>
      </c>
    </row>
    <row r="988" spans="1:4" s="3" customFormat="1" ht="18" customHeight="1" x14ac:dyDescent="0.2">
      <c r="A988" s="35">
        <v>25</v>
      </c>
      <c r="B988" s="36">
        <v>9</v>
      </c>
      <c r="C988" s="36">
        <v>2</v>
      </c>
      <c r="D988" s="37">
        <v>3</v>
      </c>
    </row>
    <row r="989" spans="1:4" s="3" customFormat="1" ht="18" customHeight="1" x14ac:dyDescent="0.2">
      <c r="A989" s="35">
        <v>25</v>
      </c>
      <c r="B989" s="36">
        <v>9</v>
      </c>
      <c r="C989" s="36">
        <v>2</v>
      </c>
      <c r="D989" s="37">
        <v>4</v>
      </c>
    </row>
    <row r="990" spans="1:4" s="3" customFormat="1" ht="18" customHeight="1" x14ac:dyDescent="0.2">
      <c r="A990" s="35">
        <v>25</v>
      </c>
      <c r="B990" s="36">
        <v>9</v>
      </c>
      <c r="C990" s="36">
        <v>3</v>
      </c>
      <c r="D990" s="37">
        <v>3</v>
      </c>
    </row>
    <row r="991" spans="1:4" s="3" customFormat="1" ht="18" customHeight="1" x14ac:dyDescent="0.2">
      <c r="A991" s="35">
        <v>25</v>
      </c>
      <c r="B991" s="36">
        <v>9</v>
      </c>
      <c r="C991" s="36">
        <v>3</v>
      </c>
      <c r="D991" s="37">
        <v>4</v>
      </c>
    </row>
    <row r="992" spans="1:4" s="3" customFormat="1" ht="18" customHeight="1" x14ac:dyDescent="0.2">
      <c r="A992" s="35">
        <v>25</v>
      </c>
      <c r="B992" s="36">
        <v>10</v>
      </c>
      <c r="C992" s="36">
        <v>2</v>
      </c>
      <c r="D992" s="37">
        <v>3</v>
      </c>
    </row>
    <row r="993" spans="1:4" s="3" customFormat="1" ht="18" customHeight="1" x14ac:dyDescent="0.2">
      <c r="A993" s="35">
        <v>25</v>
      </c>
      <c r="B993" s="36">
        <v>10</v>
      </c>
      <c r="C993" s="36">
        <v>2</v>
      </c>
      <c r="D993" s="37">
        <v>4</v>
      </c>
    </row>
    <row r="994" spans="1:4" s="3" customFormat="1" ht="18" customHeight="1" x14ac:dyDescent="0.2">
      <c r="A994" s="35">
        <v>25</v>
      </c>
      <c r="B994" s="36">
        <v>10</v>
      </c>
      <c r="C994" s="36">
        <v>3</v>
      </c>
      <c r="D994" s="37">
        <v>3</v>
      </c>
    </row>
    <row r="995" spans="1:4" s="3" customFormat="1" ht="18" customHeight="1" x14ac:dyDescent="0.2">
      <c r="A995" s="35">
        <v>25</v>
      </c>
      <c r="B995" s="36">
        <v>10</v>
      </c>
      <c r="C995" s="36">
        <v>3</v>
      </c>
      <c r="D995" s="37">
        <v>4</v>
      </c>
    </row>
    <row r="996" spans="1:4" s="3" customFormat="1" ht="18" customHeight="1" x14ac:dyDescent="0.2">
      <c r="A996" s="35">
        <v>26</v>
      </c>
      <c r="B996" s="36">
        <v>4</v>
      </c>
      <c r="C996" s="36">
        <v>2</v>
      </c>
      <c r="D996" s="37">
        <v>3</v>
      </c>
    </row>
    <row r="997" spans="1:4" s="3" customFormat="1" ht="18" customHeight="1" x14ac:dyDescent="0.2">
      <c r="A997" s="35">
        <v>26</v>
      </c>
      <c r="B997" s="36">
        <v>4</v>
      </c>
      <c r="C997" s="36">
        <v>2</v>
      </c>
      <c r="D997" s="37">
        <v>4</v>
      </c>
    </row>
    <row r="998" spans="1:4" s="3" customFormat="1" ht="18" customHeight="1" x14ac:dyDescent="0.2">
      <c r="A998" s="35">
        <v>26</v>
      </c>
      <c r="B998" s="36">
        <v>4</v>
      </c>
      <c r="C998" s="36">
        <v>3</v>
      </c>
      <c r="D998" s="37">
        <v>3</v>
      </c>
    </row>
    <row r="999" spans="1:4" s="3" customFormat="1" ht="18" customHeight="1" x14ac:dyDescent="0.2">
      <c r="A999" s="35">
        <v>26</v>
      </c>
      <c r="B999" s="36">
        <v>4</v>
      </c>
      <c r="C999" s="36">
        <v>3</v>
      </c>
      <c r="D999" s="37">
        <v>4</v>
      </c>
    </row>
    <row r="1000" spans="1:4" s="3" customFormat="1" ht="18" customHeight="1" x14ac:dyDescent="0.2">
      <c r="A1000" s="35">
        <v>27</v>
      </c>
      <c r="B1000" s="36">
        <v>1</v>
      </c>
      <c r="C1000" s="36">
        <v>2</v>
      </c>
      <c r="D1000" s="37">
        <v>3</v>
      </c>
    </row>
    <row r="1001" spans="1:4" s="3" customFormat="1" ht="18" customHeight="1" x14ac:dyDescent="0.2">
      <c r="A1001" s="35">
        <v>27</v>
      </c>
      <c r="B1001" s="36">
        <v>1</v>
      </c>
      <c r="C1001" s="36">
        <v>2</v>
      </c>
      <c r="D1001" s="37">
        <v>4</v>
      </c>
    </row>
    <row r="1002" spans="1:4" s="3" customFormat="1" ht="18" customHeight="1" x14ac:dyDescent="0.2">
      <c r="A1002" s="35">
        <v>27</v>
      </c>
      <c r="B1002" s="36">
        <v>1</v>
      </c>
      <c r="C1002" s="36">
        <v>3</v>
      </c>
      <c r="D1002" s="37">
        <v>3</v>
      </c>
    </row>
    <row r="1003" spans="1:4" s="3" customFormat="1" ht="18" customHeight="1" x14ac:dyDescent="0.2">
      <c r="A1003" s="35">
        <v>27</v>
      </c>
      <c r="B1003" s="36">
        <v>1</v>
      </c>
      <c r="C1003" s="36">
        <v>3</v>
      </c>
      <c r="D1003" s="37">
        <v>4</v>
      </c>
    </row>
    <row r="1004" spans="1:4" s="3" customFormat="1" ht="18" customHeight="1" x14ac:dyDescent="0.2">
      <c r="A1004" s="35">
        <v>27</v>
      </c>
      <c r="B1004" s="36">
        <v>2</v>
      </c>
      <c r="C1004" s="36">
        <v>2</v>
      </c>
      <c r="D1004" s="37">
        <v>3</v>
      </c>
    </row>
    <row r="1005" spans="1:4" s="3" customFormat="1" ht="18" customHeight="1" x14ac:dyDescent="0.2">
      <c r="A1005" s="35">
        <v>27</v>
      </c>
      <c r="B1005" s="36">
        <v>2</v>
      </c>
      <c r="C1005" s="36">
        <v>2</v>
      </c>
      <c r="D1005" s="37">
        <v>4</v>
      </c>
    </row>
    <row r="1006" spans="1:4" s="3" customFormat="1" ht="18" customHeight="1" x14ac:dyDescent="0.2">
      <c r="A1006" s="35">
        <v>27</v>
      </c>
      <c r="B1006" s="36">
        <v>2</v>
      </c>
      <c r="C1006" s="36">
        <v>3</v>
      </c>
      <c r="D1006" s="37">
        <v>3</v>
      </c>
    </row>
    <row r="1007" spans="1:4" s="3" customFormat="1" ht="18" customHeight="1" x14ac:dyDescent="0.2">
      <c r="A1007" s="35">
        <v>27</v>
      </c>
      <c r="B1007" s="36">
        <v>2</v>
      </c>
      <c r="C1007" s="36">
        <v>3</v>
      </c>
      <c r="D1007" s="37">
        <v>4</v>
      </c>
    </row>
    <row r="1008" spans="1:4" s="3" customFormat="1" ht="18" customHeight="1" x14ac:dyDescent="0.2">
      <c r="A1008" s="35">
        <v>27</v>
      </c>
      <c r="B1008" s="36">
        <v>4</v>
      </c>
      <c r="C1008" s="36">
        <v>2</v>
      </c>
      <c r="D1008" s="37">
        <v>3</v>
      </c>
    </row>
    <row r="1009" spans="1:4" s="3" customFormat="1" ht="18" customHeight="1" x14ac:dyDescent="0.2">
      <c r="A1009" s="35">
        <v>27</v>
      </c>
      <c r="B1009" s="36">
        <v>4</v>
      </c>
      <c r="C1009" s="36">
        <v>2</v>
      </c>
      <c r="D1009" s="37">
        <v>4</v>
      </c>
    </row>
    <row r="1010" spans="1:4" s="3" customFormat="1" ht="18" customHeight="1" x14ac:dyDescent="0.2">
      <c r="A1010" s="35">
        <v>27</v>
      </c>
      <c r="B1010" s="36">
        <v>4</v>
      </c>
      <c r="C1010" s="36">
        <v>3</v>
      </c>
      <c r="D1010" s="37">
        <v>3</v>
      </c>
    </row>
    <row r="1011" spans="1:4" s="3" customFormat="1" ht="18" customHeight="1" x14ac:dyDescent="0.2">
      <c r="A1011" s="35">
        <v>27</v>
      </c>
      <c r="B1011" s="36">
        <v>4</v>
      </c>
      <c r="C1011" s="36">
        <v>3</v>
      </c>
      <c r="D1011" s="37">
        <v>4</v>
      </c>
    </row>
    <row r="1012" spans="1:4" s="3" customFormat="1" ht="18" customHeight="1" x14ac:dyDescent="0.2">
      <c r="A1012" s="35">
        <v>27</v>
      </c>
      <c r="B1012" s="36">
        <v>6</v>
      </c>
      <c r="C1012" s="36">
        <v>2</v>
      </c>
      <c r="D1012" s="37">
        <v>3</v>
      </c>
    </row>
    <row r="1013" spans="1:4" s="3" customFormat="1" ht="18" customHeight="1" x14ac:dyDescent="0.2">
      <c r="A1013" s="35">
        <v>27</v>
      </c>
      <c r="B1013" s="36">
        <v>6</v>
      </c>
      <c r="C1013" s="36">
        <v>2</v>
      </c>
      <c r="D1013" s="37">
        <v>4</v>
      </c>
    </row>
    <row r="1014" spans="1:4" s="3" customFormat="1" ht="18" customHeight="1" x14ac:dyDescent="0.2">
      <c r="A1014" s="35">
        <v>27</v>
      </c>
      <c r="B1014" s="36">
        <v>6</v>
      </c>
      <c r="C1014" s="36">
        <v>3</v>
      </c>
      <c r="D1014" s="37">
        <v>3</v>
      </c>
    </row>
    <row r="1015" spans="1:4" s="3" customFormat="1" ht="18" customHeight="1" x14ac:dyDescent="0.2">
      <c r="A1015" s="35">
        <v>27</v>
      </c>
      <c r="B1015" s="36">
        <v>6</v>
      </c>
      <c r="C1015" s="36">
        <v>3</v>
      </c>
      <c r="D1015" s="37">
        <v>4</v>
      </c>
    </row>
    <row r="1016" spans="1:4" s="3" customFormat="1" ht="18" customHeight="1" x14ac:dyDescent="0.2">
      <c r="A1016" s="35">
        <v>27</v>
      </c>
      <c r="B1016" s="36">
        <v>7</v>
      </c>
      <c r="C1016" s="36">
        <v>2</v>
      </c>
      <c r="D1016" s="37">
        <v>3</v>
      </c>
    </row>
    <row r="1017" spans="1:4" s="3" customFormat="1" ht="18" customHeight="1" x14ac:dyDescent="0.2">
      <c r="A1017" s="35">
        <v>27</v>
      </c>
      <c r="B1017" s="36">
        <v>7</v>
      </c>
      <c r="C1017" s="36">
        <v>2</v>
      </c>
      <c r="D1017" s="37">
        <v>4</v>
      </c>
    </row>
    <row r="1018" spans="1:4" s="3" customFormat="1" ht="18" customHeight="1" x14ac:dyDescent="0.2">
      <c r="A1018" s="35">
        <v>27</v>
      </c>
      <c r="B1018" s="36">
        <v>7</v>
      </c>
      <c r="C1018" s="36">
        <v>3</v>
      </c>
      <c r="D1018" s="37">
        <v>3</v>
      </c>
    </row>
    <row r="1019" spans="1:4" s="3" customFormat="1" ht="18" customHeight="1" x14ac:dyDescent="0.2">
      <c r="A1019" s="35">
        <v>27</v>
      </c>
      <c r="B1019" s="36">
        <v>7</v>
      </c>
      <c r="C1019" s="36">
        <v>3</v>
      </c>
      <c r="D1019" s="37">
        <v>4</v>
      </c>
    </row>
    <row r="1020" spans="1:4" s="3" customFormat="1" ht="18" customHeight="1" x14ac:dyDescent="0.2">
      <c r="A1020" s="35">
        <v>27</v>
      </c>
      <c r="B1020" s="36">
        <v>9</v>
      </c>
      <c r="C1020" s="36">
        <v>2</v>
      </c>
      <c r="D1020" s="37">
        <v>3</v>
      </c>
    </row>
    <row r="1021" spans="1:4" s="3" customFormat="1" ht="18" customHeight="1" x14ac:dyDescent="0.2">
      <c r="A1021" s="35">
        <v>27</v>
      </c>
      <c r="B1021" s="36">
        <v>9</v>
      </c>
      <c r="C1021" s="36">
        <v>2</v>
      </c>
      <c r="D1021" s="37">
        <v>4</v>
      </c>
    </row>
    <row r="1022" spans="1:4" s="3" customFormat="1" ht="18" customHeight="1" x14ac:dyDescent="0.2">
      <c r="A1022" s="35">
        <v>27</v>
      </c>
      <c r="B1022" s="36">
        <v>9</v>
      </c>
      <c r="C1022" s="36">
        <v>3</v>
      </c>
      <c r="D1022" s="37">
        <v>3</v>
      </c>
    </row>
    <row r="1023" spans="1:4" s="3" customFormat="1" ht="18" customHeight="1" x14ac:dyDescent="0.2">
      <c r="A1023" s="35">
        <v>27</v>
      </c>
      <c r="B1023" s="36">
        <v>9</v>
      </c>
      <c r="C1023" s="36">
        <v>3</v>
      </c>
      <c r="D1023" s="37">
        <v>4</v>
      </c>
    </row>
    <row r="1024" spans="1:4" s="3" customFormat="1" ht="18" customHeight="1" x14ac:dyDescent="0.2">
      <c r="A1024" s="35">
        <v>28</v>
      </c>
      <c r="B1024" s="36">
        <v>4</v>
      </c>
      <c r="C1024" s="36">
        <v>2</v>
      </c>
      <c r="D1024" s="37">
        <v>3</v>
      </c>
    </row>
    <row r="1025" spans="1:4" s="3" customFormat="1" ht="18" customHeight="1" x14ac:dyDescent="0.2">
      <c r="A1025" s="35">
        <v>28</v>
      </c>
      <c r="B1025" s="36">
        <v>4</v>
      </c>
      <c r="C1025" s="36">
        <v>2</v>
      </c>
      <c r="D1025" s="37">
        <v>4</v>
      </c>
    </row>
    <row r="1026" spans="1:4" s="3" customFormat="1" ht="18" customHeight="1" x14ac:dyDescent="0.2">
      <c r="A1026" s="35">
        <v>28</v>
      </c>
      <c r="B1026" s="36">
        <v>4</v>
      </c>
      <c r="C1026" s="36">
        <v>3</v>
      </c>
      <c r="D1026" s="37">
        <v>3</v>
      </c>
    </row>
    <row r="1027" spans="1:4" s="3" customFormat="1" ht="18" customHeight="1" x14ac:dyDescent="0.2">
      <c r="A1027" s="35">
        <v>28</v>
      </c>
      <c r="B1027" s="36">
        <v>4</v>
      </c>
      <c r="C1027" s="36">
        <v>3</v>
      </c>
      <c r="D1027" s="37">
        <v>4</v>
      </c>
    </row>
    <row r="1028" spans="1:4" s="3" customFormat="1" ht="18" customHeight="1" x14ac:dyDescent="0.2">
      <c r="A1028" s="35">
        <v>28</v>
      </c>
      <c r="B1028" s="36">
        <v>7</v>
      </c>
      <c r="C1028" s="36">
        <v>2</v>
      </c>
      <c r="D1028" s="37">
        <v>3</v>
      </c>
    </row>
    <row r="1029" spans="1:4" s="3" customFormat="1" ht="18" customHeight="1" x14ac:dyDescent="0.2">
      <c r="A1029" s="35">
        <v>28</v>
      </c>
      <c r="B1029" s="36">
        <v>7</v>
      </c>
      <c r="C1029" s="36">
        <v>2</v>
      </c>
      <c r="D1029" s="37">
        <v>4</v>
      </c>
    </row>
    <row r="1030" spans="1:4" s="3" customFormat="1" ht="18" customHeight="1" x14ac:dyDescent="0.2">
      <c r="A1030" s="35">
        <v>28</v>
      </c>
      <c r="B1030" s="36">
        <v>7</v>
      </c>
      <c r="C1030" s="36">
        <v>3</v>
      </c>
      <c r="D1030" s="37">
        <v>3</v>
      </c>
    </row>
    <row r="1031" spans="1:4" s="3" customFormat="1" ht="18" customHeight="1" x14ac:dyDescent="0.2">
      <c r="A1031" s="35">
        <v>28</v>
      </c>
      <c r="B1031" s="36">
        <v>7</v>
      </c>
      <c r="C1031" s="36">
        <v>3</v>
      </c>
      <c r="D1031" s="37">
        <v>4</v>
      </c>
    </row>
    <row r="1032" spans="1:4" s="3" customFormat="1" ht="18" customHeight="1" x14ac:dyDescent="0.2">
      <c r="A1032" s="35">
        <v>28</v>
      </c>
      <c r="B1032" s="36">
        <v>9</v>
      </c>
      <c r="C1032" s="36">
        <v>2</v>
      </c>
      <c r="D1032" s="37">
        <v>3</v>
      </c>
    </row>
    <row r="1033" spans="1:4" s="3" customFormat="1" ht="18" customHeight="1" x14ac:dyDescent="0.2">
      <c r="A1033" s="35">
        <v>28</v>
      </c>
      <c r="B1033" s="36">
        <v>9</v>
      </c>
      <c r="C1033" s="36">
        <v>2</v>
      </c>
      <c r="D1033" s="37">
        <v>4</v>
      </c>
    </row>
    <row r="1034" spans="1:4" s="3" customFormat="1" ht="18" customHeight="1" x14ac:dyDescent="0.2">
      <c r="A1034" s="35">
        <v>28</v>
      </c>
      <c r="B1034" s="36">
        <v>9</v>
      </c>
      <c r="C1034" s="36">
        <v>3</v>
      </c>
      <c r="D1034" s="37">
        <v>3</v>
      </c>
    </row>
    <row r="1035" spans="1:4" s="3" customFormat="1" ht="18" customHeight="1" x14ac:dyDescent="0.2">
      <c r="A1035" s="35">
        <v>28</v>
      </c>
      <c r="B1035" s="36">
        <v>9</v>
      </c>
      <c r="C1035" s="36">
        <v>3</v>
      </c>
      <c r="D1035" s="37">
        <v>4</v>
      </c>
    </row>
    <row r="1036" spans="1:4" s="3" customFormat="1" ht="18" customHeight="1" x14ac:dyDescent="0.2">
      <c r="A1036" s="35">
        <v>29</v>
      </c>
      <c r="B1036" s="36">
        <v>1</v>
      </c>
      <c r="C1036" s="36">
        <v>2</v>
      </c>
      <c r="D1036" s="37">
        <v>3</v>
      </c>
    </row>
    <row r="1037" spans="1:4" s="3" customFormat="1" ht="18" customHeight="1" x14ac:dyDescent="0.2">
      <c r="A1037" s="35">
        <v>29</v>
      </c>
      <c r="B1037" s="36">
        <v>1</v>
      </c>
      <c r="C1037" s="36">
        <v>2</v>
      </c>
      <c r="D1037" s="37">
        <v>4</v>
      </c>
    </row>
    <row r="1038" spans="1:4" s="3" customFormat="1" ht="18" customHeight="1" x14ac:dyDescent="0.2">
      <c r="A1038" s="35">
        <v>29</v>
      </c>
      <c r="B1038" s="36">
        <v>1</v>
      </c>
      <c r="C1038" s="36">
        <v>3</v>
      </c>
      <c r="D1038" s="37">
        <v>3</v>
      </c>
    </row>
    <row r="1039" spans="1:4" s="3" customFormat="1" ht="18" customHeight="1" x14ac:dyDescent="0.2">
      <c r="A1039" s="35">
        <v>29</v>
      </c>
      <c r="B1039" s="36">
        <v>1</v>
      </c>
      <c r="C1039" s="36">
        <v>3</v>
      </c>
      <c r="D1039" s="37">
        <v>4</v>
      </c>
    </row>
    <row r="1040" spans="1:4" s="3" customFormat="1" ht="18" customHeight="1" x14ac:dyDescent="0.2">
      <c r="A1040" s="35">
        <v>29</v>
      </c>
      <c r="B1040" s="36">
        <v>2</v>
      </c>
      <c r="C1040" s="36">
        <v>2</v>
      </c>
      <c r="D1040" s="37">
        <v>3</v>
      </c>
    </row>
    <row r="1041" spans="1:4" s="3" customFormat="1" ht="18" customHeight="1" x14ac:dyDescent="0.2">
      <c r="A1041" s="35">
        <v>29</v>
      </c>
      <c r="B1041" s="36">
        <v>2</v>
      </c>
      <c r="C1041" s="36">
        <v>2</v>
      </c>
      <c r="D1041" s="37">
        <v>4</v>
      </c>
    </row>
    <row r="1042" spans="1:4" s="3" customFormat="1" ht="18" customHeight="1" x14ac:dyDescent="0.2">
      <c r="A1042" s="35">
        <v>29</v>
      </c>
      <c r="B1042" s="36">
        <v>2</v>
      </c>
      <c r="C1042" s="36">
        <v>3</v>
      </c>
      <c r="D1042" s="37">
        <v>3</v>
      </c>
    </row>
    <row r="1043" spans="1:4" s="3" customFormat="1" ht="18" customHeight="1" x14ac:dyDescent="0.2">
      <c r="A1043" s="35">
        <v>29</v>
      </c>
      <c r="B1043" s="36">
        <v>2</v>
      </c>
      <c r="C1043" s="36">
        <v>3</v>
      </c>
      <c r="D1043" s="37">
        <v>4</v>
      </c>
    </row>
    <row r="1044" spans="1:4" s="3" customFormat="1" ht="18" customHeight="1" x14ac:dyDescent="0.2">
      <c r="A1044" s="35">
        <v>29</v>
      </c>
      <c r="B1044" s="36">
        <v>4</v>
      </c>
      <c r="C1044" s="36">
        <v>2</v>
      </c>
      <c r="D1044" s="37">
        <v>3</v>
      </c>
    </row>
    <row r="1045" spans="1:4" s="3" customFormat="1" ht="18" customHeight="1" x14ac:dyDescent="0.2">
      <c r="A1045" s="35">
        <v>29</v>
      </c>
      <c r="B1045" s="36">
        <v>4</v>
      </c>
      <c r="C1045" s="36">
        <v>2</v>
      </c>
      <c r="D1045" s="37">
        <v>4</v>
      </c>
    </row>
    <row r="1046" spans="1:4" s="3" customFormat="1" ht="18" customHeight="1" x14ac:dyDescent="0.2">
      <c r="A1046" s="35">
        <v>29</v>
      </c>
      <c r="B1046" s="36">
        <v>4</v>
      </c>
      <c r="C1046" s="36">
        <v>3</v>
      </c>
      <c r="D1046" s="37">
        <v>3</v>
      </c>
    </row>
    <row r="1047" spans="1:4" s="3" customFormat="1" ht="18" customHeight="1" x14ac:dyDescent="0.2">
      <c r="A1047" s="35">
        <v>29</v>
      </c>
      <c r="B1047" s="36">
        <v>4</v>
      </c>
      <c r="C1047" s="36">
        <v>3</v>
      </c>
      <c r="D1047" s="37">
        <v>4</v>
      </c>
    </row>
    <row r="1048" spans="1:4" s="3" customFormat="1" ht="18" customHeight="1" x14ac:dyDescent="0.2">
      <c r="A1048" s="35">
        <v>29</v>
      </c>
      <c r="B1048" s="36">
        <v>6</v>
      </c>
      <c r="C1048" s="36">
        <v>2</v>
      </c>
      <c r="D1048" s="37">
        <v>3</v>
      </c>
    </row>
    <row r="1049" spans="1:4" s="3" customFormat="1" ht="18" customHeight="1" x14ac:dyDescent="0.2">
      <c r="A1049" s="35">
        <v>29</v>
      </c>
      <c r="B1049" s="36">
        <v>6</v>
      </c>
      <c r="C1049" s="36">
        <v>2</v>
      </c>
      <c r="D1049" s="37">
        <v>4</v>
      </c>
    </row>
    <row r="1050" spans="1:4" s="3" customFormat="1" ht="18" customHeight="1" x14ac:dyDescent="0.2">
      <c r="A1050" s="35">
        <v>29</v>
      </c>
      <c r="B1050" s="36">
        <v>6</v>
      </c>
      <c r="C1050" s="36">
        <v>3</v>
      </c>
      <c r="D1050" s="37">
        <v>3</v>
      </c>
    </row>
    <row r="1051" spans="1:4" s="3" customFormat="1" ht="18" customHeight="1" x14ac:dyDescent="0.2">
      <c r="A1051" s="35">
        <v>29</v>
      </c>
      <c r="B1051" s="36">
        <v>6</v>
      </c>
      <c r="C1051" s="36">
        <v>3</v>
      </c>
      <c r="D1051" s="37">
        <v>4</v>
      </c>
    </row>
    <row r="1052" spans="1:4" s="3" customFormat="1" ht="18" customHeight="1" x14ac:dyDescent="0.2">
      <c r="A1052" s="35">
        <v>29</v>
      </c>
      <c r="B1052" s="36">
        <v>7</v>
      </c>
      <c r="C1052" s="36">
        <v>2</v>
      </c>
      <c r="D1052" s="37">
        <v>3</v>
      </c>
    </row>
    <row r="1053" spans="1:4" s="3" customFormat="1" ht="18" customHeight="1" x14ac:dyDescent="0.2">
      <c r="A1053" s="35">
        <v>29</v>
      </c>
      <c r="B1053" s="36">
        <v>7</v>
      </c>
      <c r="C1053" s="36">
        <v>2</v>
      </c>
      <c r="D1053" s="37">
        <v>4</v>
      </c>
    </row>
    <row r="1054" spans="1:4" s="3" customFormat="1" ht="18" customHeight="1" x14ac:dyDescent="0.2">
      <c r="A1054" s="35">
        <v>29</v>
      </c>
      <c r="B1054" s="36">
        <v>7</v>
      </c>
      <c r="C1054" s="36">
        <v>3</v>
      </c>
      <c r="D1054" s="37">
        <v>3</v>
      </c>
    </row>
    <row r="1055" spans="1:4" s="3" customFormat="1" ht="18" customHeight="1" x14ac:dyDescent="0.2">
      <c r="A1055" s="35">
        <v>29</v>
      </c>
      <c r="B1055" s="36">
        <v>7</v>
      </c>
      <c r="C1055" s="36">
        <v>3</v>
      </c>
      <c r="D1055" s="37">
        <v>4</v>
      </c>
    </row>
    <row r="1056" spans="1:4" s="3" customFormat="1" ht="18" customHeight="1" x14ac:dyDescent="0.2">
      <c r="A1056" s="35">
        <v>29</v>
      </c>
      <c r="B1056" s="36">
        <v>9</v>
      </c>
      <c r="C1056" s="36">
        <v>2</v>
      </c>
      <c r="D1056" s="37">
        <v>3</v>
      </c>
    </row>
    <row r="1057" spans="1:4" s="3" customFormat="1" ht="18" customHeight="1" x14ac:dyDescent="0.2">
      <c r="A1057" s="35">
        <v>29</v>
      </c>
      <c r="B1057" s="36">
        <v>9</v>
      </c>
      <c r="C1057" s="36">
        <v>2</v>
      </c>
      <c r="D1057" s="37">
        <v>4</v>
      </c>
    </row>
    <row r="1058" spans="1:4" s="3" customFormat="1" ht="18" customHeight="1" x14ac:dyDescent="0.2">
      <c r="A1058" s="35">
        <v>29</v>
      </c>
      <c r="B1058" s="36">
        <v>9</v>
      </c>
      <c r="C1058" s="36">
        <v>3</v>
      </c>
      <c r="D1058" s="37">
        <v>3</v>
      </c>
    </row>
    <row r="1059" spans="1:4" s="3" customFormat="1" ht="18" customHeight="1" x14ac:dyDescent="0.2">
      <c r="A1059" s="35">
        <v>29</v>
      </c>
      <c r="B1059" s="36">
        <v>9</v>
      </c>
      <c r="C1059" s="36">
        <v>3</v>
      </c>
      <c r="D1059" s="37">
        <v>4</v>
      </c>
    </row>
    <row r="1060" spans="1:4" s="3" customFormat="1" ht="18" customHeight="1" x14ac:dyDescent="0.2">
      <c r="A1060" s="35">
        <v>30</v>
      </c>
      <c r="B1060" s="36">
        <v>1</v>
      </c>
      <c r="C1060" s="36">
        <v>2</v>
      </c>
      <c r="D1060" s="37">
        <v>3</v>
      </c>
    </row>
    <row r="1061" spans="1:4" s="3" customFormat="1" ht="18" customHeight="1" x14ac:dyDescent="0.2">
      <c r="A1061" s="35">
        <v>30</v>
      </c>
      <c r="B1061" s="36">
        <v>1</v>
      </c>
      <c r="C1061" s="36">
        <v>2</v>
      </c>
      <c r="D1061" s="37">
        <v>4</v>
      </c>
    </row>
    <row r="1062" spans="1:4" s="3" customFormat="1" ht="18" customHeight="1" x14ac:dyDescent="0.2">
      <c r="A1062" s="35">
        <v>30</v>
      </c>
      <c r="B1062" s="36">
        <v>1</v>
      </c>
      <c r="C1062" s="36">
        <v>3</v>
      </c>
      <c r="D1062" s="37">
        <v>3</v>
      </c>
    </row>
    <row r="1063" spans="1:4" s="3" customFormat="1" ht="18" customHeight="1" x14ac:dyDescent="0.2">
      <c r="A1063" s="35">
        <v>30</v>
      </c>
      <c r="B1063" s="36">
        <v>1</v>
      </c>
      <c r="C1063" s="36">
        <v>3</v>
      </c>
      <c r="D1063" s="37">
        <v>4</v>
      </c>
    </row>
    <row r="1064" spans="1:4" s="3" customFormat="1" ht="18" customHeight="1" x14ac:dyDescent="0.2">
      <c r="A1064" s="35">
        <v>30</v>
      </c>
      <c r="B1064" s="36">
        <v>2</v>
      </c>
      <c r="C1064" s="36">
        <v>2</v>
      </c>
      <c r="D1064" s="37">
        <v>3</v>
      </c>
    </row>
    <row r="1065" spans="1:4" s="3" customFormat="1" ht="18" customHeight="1" x14ac:dyDescent="0.2">
      <c r="A1065" s="35">
        <v>30</v>
      </c>
      <c r="B1065" s="36">
        <v>2</v>
      </c>
      <c r="C1065" s="36">
        <v>2</v>
      </c>
      <c r="D1065" s="37">
        <v>4</v>
      </c>
    </row>
    <row r="1066" spans="1:4" s="3" customFormat="1" ht="18" customHeight="1" x14ac:dyDescent="0.2">
      <c r="A1066" s="35">
        <v>30</v>
      </c>
      <c r="B1066" s="36">
        <v>2</v>
      </c>
      <c r="C1066" s="36">
        <v>3</v>
      </c>
      <c r="D1066" s="37">
        <v>3</v>
      </c>
    </row>
    <row r="1067" spans="1:4" s="3" customFormat="1" ht="18" customHeight="1" x14ac:dyDescent="0.2">
      <c r="A1067" s="35">
        <v>30</v>
      </c>
      <c r="B1067" s="36">
        <v>2</v>
      </c>
      <c r="C1067" s="36">
        <v>3</v>
      </c>
      <c r="D1067" s="37">
        <v>4</v>
      </c>
    </row>
    <row r="1068" spans="1:4" s="3" customFormat="1" ht="18" customHeight="1" x14ac:dyDescent="0.2">
      <c r="A1068" s="35">
        <v>30</v>
      </c>
      <c r="B1068" s="36">
        <v>4</v>
      </c>
      <c r="C1068" s="36">
        <v>2</v>
      </c>
      <c r="D1068" s="37">
        <v>3</v>
      </c>
    </row>
    <row r="1069" spans="1:4" s="3" customFormat="1" ht="18" customHeight="1" x14ac:dyDescent="0.2">
      <c r="A1069" s="35">
        <v>30</v>
      </c>
      <c r="B1069" s="36">
        <v>4</v>
      </c>
      <c r="C1069" s="36">
        <v>2</v>
      </c>
      <c r="D1069" s="37">
        <v>4</v>
      </c>
    </row>
    <row r="1070" spans="1:4" s="3" customFormat="1" ht="18" customHeight="1" x14ac:dyDescent="0.2">
      <c r="A1070" s="35">
        <v>30</v>
      </c>
      <c r="B1070" s="36">
        <v>4</v>
      </c>
      <c r="C1070" s="36">
        <v>3</v>
      </c>
      <c r="D1070" s="37">
        <v>3</v>
      </c>
    </row>
    <row r="1071" spans="1:4" s="3" customFormat="1" ht="18" customHeight="1" x14ac:dyDescent="0.2">
      <c r="A1071" s="35">
        <v>30</v>
      </c>
      <c r="B1071" s="36">
        <v>4</v>
      </c>
      <c r="C1071" s="36">
        <v>3</v>
      </c>
      <c r="D1071" s="37">
        <v>4</v>
      </c>
    </row>
    <row r="1072" spans="1:4" s="3" customFormat="1" ht="18" customHeight="1" x14ac:dyDescent="0.2">
      <c r="A1072" s="35">
        <v>30</v>
      </c>
      <c r="B1072" s="36">
        <v>7</v>
      </c>
      <c r="C1072" s="36">
        <v>2</v>
      </c>
      <c r="D1072" s="37">
        <v>3</v>
      </c>
    </row>
    <row r="1073" spans="1:4" s="3" customFormat="1" ht="18" customHeight="1" x14ac:dyDescent="0.2">
      <c r="A1073" s="35">
        <v>30</v>
      </c>
      <c r="B1073" s="36">
        <v>7</v>
      </c>
      <c r="C1073" s="36">
        <v>2</v>
      </c>
      <c r="D1073" s="37">
        <v>4</v>
      </c>
    </row>
    <row r="1074" spans="1:4" s="3" customFormat="1" ht="18" customHeight="1" x14ac:dyDescent="0.2">
      <c r="A1074" s="35">
        <v>30</v>
      </c>
      <c r="B1074" s="36">
        <v>7</v>
      </c>
      <c r="C1074" s="36">
        <v>3</v>
      </c>
      <c r="D1074" s="37">
        <v>3</v>
      </c>
    </row>
    <row r="1075" spans="1:4" s="3" customFormat="1" ht="18" customHeight="1" x14ac:dyDescent="0.2">
      <c r="A1075" s="35">
        <v>30</v>
      </c>
      <c r="B1075" s="36">
        <v>7</v>
      </c>
      <c r="C1075" s="36">
        <v>3</v>
      </c>
      <c r="D1075" s="37">
        <v>4</v>
      </c>
    </row>
    <row r="1076" spans="1:4" s="3" customFormat="1" ht="18" customHeight="1" x14ac:dyDescent="0.2">
      <c r="A1076" s="35">
        <v>30</v>
      </c>
      <c r="B1076" s="36">
        <v>9</v>
      </c>
      <c r="C1076" s="36">
        <v>2</v>
      </c>
      <c r="D1076" s="37">
        <v>3</v>
      </c>
    </row>
    <row r="1077" spans="1:4" s="3" customFormat="1" ht="18" customHeight="1" x14ac:dyDescent="0.2">
      <c r="A1077" s="35">
        <v>30</v>
      </c>
      <c r="B1077" s="36">
        <v>9</v>
      </c>
      <c r="C1077" s="36">
        <v>2</v>
      </c>
      <c r="D1077" s="37">
        <v>4</v>
      </c>
    </row>
    <row r="1078" spans="1:4" s="3" customFormat="1" ht="18" customHeight="1" x14ac:dyDescent="0.2">
      <c r="A1078" s="35">
        <v>30</v>
      </c>
      <c r="B1078" s="36">
        <v>9</v>
      </c>
      <c r="C1078" s="36">
        <v>3</v>
      </c>
      <c r="D1078" s="37">
        <v>3</v>
      </c>
    </row>
    <row r="1079" spans="1:4" s="3" customFormat="1" ht="18" customHeight="1" x14ac:dyDescent="0.2">
      <c r="A1079" s="35">
        <v>30</v>
      </c>
      <c r="B1079" s="36">
        <v>9</v>
      </c>
      <c r="C1079" s="36">
        <v>3</v>
      </c>
      <c r="D1079" s="37">
        <v>4</v>
      </c>
    </row>
    <row r="1080" spans="1:4" s="3" customFormat="1" ht="18" customHeight="1" x14ac:dyDescent="0.2">
      <c r="A1080" s="35">
        <v>31</v>
      </c>
      <c r="B1080" s="36">
        <v>1</v>
      </c>
      <c r="C1080" s="36">
        <v>3</v>
      </c>
      <c r="D1080" s="37">
        <v>3</v>
      </c>
    </row>
    <row r="1081" spans="1:4" s="3" customFormat="1" ht="18" customHeight="1" x14ac:dyDescent="0.2">
      <c r="A1081" s="35">
        <v>31</v>
      </c>
      <c r="B1081" s="36">
        <v>1</v>
      </c>
      <c r="C1081" s="36">
        <v>3</v>
      </c>
      <c r="D1081" s="37">
        <v>4</v>
      </c>
    </row>
    <row r="1082" spans="1:4" s="3" customFormat="1" ht="18" customHeight="1" x14ac:dyDescent="0.2">
      <c r="A1082" s="35">
        <v>31</v>
      </c>
      <c r="B1082" s="36">
        <v>2</v>
      </c>
      <c r="C1082" s="36">
        <v>3</v>
      </c>
      <c r="D1082" s="37">
        <v>3</v>
      </c>
    </row>
    <row r="1083" spans="1:4" s="3" customFormat="1" ht="18" customHeight="1" x14ac:dyDescent="0.2">
      <c r="A1083" s="35">
        <v>31</v>
      </c>
      <c r="B1083" s="36">
        <v>2</v>
      </c>
      <c r="C1083" s="36">
        <v>3</v>
      </c>
      <c r="D1083" s="37">
        <v>4</v>
      </c>
    </row>
    <row r="1084" spans="1:4" s="3" customFormat="1" ht="18" customHeight="1" x14ac:dyDescent="0.2">
      <c r="A1084" s="35">
        <v>31</v>
      </c>
      <c r="B1084" s="36">
        <v>3</v>
      </c>
      <c r="C1084" s="36">
        <v>3</v>
      </c>
      <c r="D1084" s="37">
        <v>3</v>
      </c>
    </row>
    <row r="1085" spans="1:4" s="3" customFormat="1" ht="18" customHeight="1" x14ac:dyDescent="0.2">
      <c r="A1085" s="35">
        <v>31</v>
      </c>
      <c r="B1085" s="36">
        <v>3</v>
      </c>
      <c r="C1085" s="36">
        <v>3</v>
      </c>
      <c r="D1085" s="37">
        <v>4</v>
      </c>
    </row>
    <row r="1086" spans="1:4" s="3" customFormat="1" ht="18" customHeight="1" x14ac:dyDescent="0.2">
      <c r="A1086" s="35">
        <v>31</v>
      </c>
      <c r="B1086" s="36">
        <v>4</v>
      </c>
      <c r="C1086" s="36">
        <v>3</v>
      </c>
      <c r="D1086" s="37">
        <v>3</v>
      </c>
    </row>
    <row r="1087" spans="1:4" s="3" customFormat="1" ht="18" customHeight="1" x14ac:dyDescent="0.2">
      <c r="A1087" s="35">
        <v>31</v>
      </c>
      <c r="B1087" s="36">
        <v>4</v>
      </c>
      <c r="C1087" s="36">
        <v>3</v>
      </c>
      <c r="D1087" s="37">
        <v>4</v>
      </c>
    </row>
    <row r="1088" spans="1:4" s="3" customFormat="1" ht="18" customHeight="1" x14ac:dyDescent="0.2">
      <c r="A1088" s="35">
        <v>31</v>
      </c>
      <c r="B1088" s="36">
        <v>5</v>
      </c>
      <c r="C1088" s="36">
        <v>3</v>
      </c>
      <c r="D1088" s="37">
        <v>3</v>
      </c>
    </row>
    <row r="1089" spans="1:4" s="3" customFormat="1" ht="18" customHeight="1" x14ac:dyDescent="0.2">
      <c r="A1089" s="35">
        <v>31</v>
      </c>
      <c r="B1089" s="36">
        <v>5</v>
      </c>
      <c r="C1089" s="36">
        <v>3</v>
      </c>
      <c r="D1089" s="37">
        <v>4</v>
      </c>
    </row>
    <row r="1090" spans="1:4" s="3" customFormat="1" ht="18" customHeight="1" x14ac:dyDescent="0.2">
      <c r="A1090" s="35">
        <v>31</v>
      </c>
      <c r="B1090" s="36">
        <v>6</v>
      </c>
      <c r="C1090" s="36">
        <v>3</v>
      </c>
      <c r="D1090" s="37">
        <v>3</v>
      </c>
    </row>
    <row r="1091" spans="1:4" s="3" customFormat="1" ht="18" customHeight="1" x14ac:dyDescent="0.2">
      <c r="A1091" s="35">
        <v>31</v>
      </c>
      <c r="B1091" s="36">
        <v>6</v>
      </c>
      <c r="C1091" s="36">
        <v>3</v>
      </c>
      <c r="D1091" s="37">
        <v>4</v>
      </c>
    </row>
    <row r="1092" spans="1:4" s="3" customFormat="1" ht="18" customHeight="1" x14ac:dyDescent="0.2">
      <c r="A1092" s="35">
        <v>31</v>
      </c>
      <c r="B1092" s="36">
        <v>7</v>
      </c>
      <c r="C1092" s="36">
        <v>3</v>
      </c>
      <c r="D1092" s="37">
        <v>3</v>
      </c>
    </row>
    <row r="1093" spans="1:4" s="3" customFormat="1" ht="18" customHeight="1" x14ac:dyDescent="0.2">
      <c r="A1093" s="35">
        <v>31</v>
      </c>
      <c r="B1093" s="36">
        <v>7</v>
      </c>
      <c r="C1093" s="36">
        <v>3</v>
      </c>
      <c r="D1093" s="37">
        <v>4</v>
      </c>
    </row>
    <row r="1094" spans="1:4" s="3" customFormat="1" ht="18" customHeight="1" x14ac:dyDescent="0.2">
      <c r="A1094" s="35">
        <v>31</v>
      </c>
      <c r="B1094" s="36">
        <v>8</v>
      </c>
      <c r="C1094" s="36">
        <v>3</v>
      </c>
      <c r="D1094" s="37">
        <v>3</v>
      </c>
    </row>
    <row r="1095" spans="1:4" s="3" customFormat="1" ht="18" customHeight="1" x14ac:dyDescent="0.2">
      <c r="A1095" s="35">
        <v>31</v>
      </c>
      <c r="B1095" s="36">
        <v>8</v>
      </c>
      <c r="C1095" s="36">
        <v>3</v>
      </c>
      <c r="D1095" s="37">
        <v>4</v>
      </c>
    </row>
    <row r="1096" spans="1:4" s="3" customFormat="1" ht="18" customHeight="1" x14ac:dyDescent="0.2">
      <c r="A1096" s="35">
        <v>31</v>
      </c>
      <c r="B1096" s="36">
        <v>9</v>
      </c>
      <c r="C1096" s="36">
        <v>3</v>
      </c>
      <c r="D1096" s="37">
        <v>3</v>
      </c>
    </row>
    <row r="1097" spans="1:4" s="3" customFormat="1" ht="18" customHeight="1" x14ac:dyDescent="0.2">
      <c r="A1097" s="35">
        <v>31</v>
      </c>
      <c r="B1097" s="36">
        <v>9</v>
      </c>
      <c r="C1097" s="36">
        <v>3</v>
      </c>
      <c r="D1097" s="37">
        <v>4</v>
      </c>
    </row>
    <row r="1098" spans="1:4" s="3" customFormat="1" ht="18" customHeight="1" x14ac:dyDescent="0.2">
      <c r="A1098" s="35">
        <v>31</v>
      </c>
      <c r="B1098" s="36">
        <v>10</v>
      </c>
      <c r="C1098" s="36">
        <v>3</v>
      </c>
      <c r="D1098" s="37">
        <v>3</v>
      </c>
    </row>
    <row r="1099" spans="1:4" s="3" customFormat="1" ht="18" customHeight="1" x14ac:dyDescent="0.2">
      <c r="A1099" s="35">
        <v>31</v>
      </c>
      <c r="B1099" s="36">
        <v>10</v>
      </c>
      <c r="C1099" s="36">
        <v>3</v>
      </c>
      <c r="D1099" s="37">
        <v>4</v>
      </c>
    </row>
    <row r="1100" spans="1:4" s="3" customFormat="1" ht="18" customHeight="1" x14ac:dyDescent="0.2">
      <c r="A1100" s="35">
        <v>32</v>
      </c>
      <c r="B1100" s="36">
        <v>1</v>
      </c>
      <c r="C1100" s="36">
        <v>3</v>
      </c>
      <c r="D1100" s="37">
        <v>3</v>
      </c>
    </row>
    <row r="1101" spans="1:4" s="3" customFormat="1" ht="18" customHeight="1" x14ac:dyDescent="0.2">
      <c r="A1101" s="35">
        <v>32</v>
      </c>
      <c r="B1101" s="36">
        <v>1</v>
      </c>
      <c r="C1101" s="36">
        <v>3</v>
      </c>
      <c r="D1101" s="37">
        <v>4</v>
      </c>
    </row>
    <row r="1102" spans="1:4" s="3" customFormat="1" ht="18" customHeight="1" x14ac:dyDescent="0.2">
      <c r="A1102" s="35">
        <v>32</v>
      </c>
      <c r="B1102" s="36">
        <v>2</v>
      </c>
      <c r="C1102" s="36">
        <v>3</v>
      </c>
      <c r="D1102" s="37">
        <v>3</v>
      </c>
    </row>
    <row r="1103" spans="1:4" s="3" customFormat="1" ht="18" customHeight="1" x14ac:dyDescent="0.2">
      <c r="A1103" s="35">
        <v>32</v>
      </c>
      <c r="B1103" s="36">
        <v>2</v>
      </c>
      <c r="C1103" s="36">
        <v>3</v>
      </c>
      <c r="D1103" s="37">
        <v>4</v>
      </c>
    </row>
    <row r="1104" spans="1:4" s="3" customFormat="1" ht="18" customHeight="1" x14ac:dyDescent="0.2">
      <c r="A1104" s="35">
        <v>32</v>
      </c>
      <c r="B1104" s="36">
        <v>3</v>
      </c>
      <c r="C1104" s="36">
        <v>3</v>
      </c>
      <c r="D1104" s="37">
        <v>3</v>
      </c>
    </row>
    <row r="1105" spans="1:4" s="3" customFormat="1" ht="18" customHeight="1" x14ac:dyDescent="0.2">
      <c r="A1105" s="35">
        <v>32</v>
      </c>
      <c r="B1105" s="36">
        <v>3</v>
      </c>
      <c r="C1105" s="36">
        <v>3</v>
      </c>
      <c r="D1105" s="37">
        <v>4</v>
      </c>
    </row>
    <row r="1106" spans="1:4" s="3" customFormat="1" ht="18" customHeight="1" x14ac:dyDescent="0.2">
      <c r="A1106" s="35">
        <v>32</v>
      </c>
      <c r="B1106" s="36">
        <v>4</v>
      </c>
      <c r="C1106" s="36">
        <v>3</v>
      </c>
      <c r="D1106" s="37">
        <v>3</v>
      </c>
    </row>
    <row r="1107" spans="1:4" s="3" customFormat="1" ht="18" customHeight="1" x14ac:dyDescent="0.2">
      <c r="A1107" s="35">
        <v>32</v>
      </c>
      <c r="B1107" s="36">
        <v>4</v>
      </c>
      <c r="C1107" s="36">
        <v>3</v>
      </c>
      <c r="D1107" s="37">
        <v>4</v>
      </c>
    </row>
    <row r="1108" spans="1:4" s="3" customFormat="1" ht="18" customHeight="1" x14ac:dyDescent="0.2">
      <c r="A1108" s="35">
        <v>32</v>
      </c>
      <c r="B1108" s="36">
        <v>5</v>
      </c>
      <c r="C1108" s="36">
        <v>3</v>
      </c>
      <c r="D1108" s="37">
        <v>3</v>
      </c>
    </row>
    <row r="1109" spans="1:4" s="3" customFormat="1" ht="18" customHeight="1" x14ac:dyDescent="0.2">
      <c r="A1109" s="35">
        <v>32</v>
      </c>
      <c r="B1109" s="36">
        <v>5</v>
      </c>
      <c r="C1109" s="36">
        <v>3</v>
      </c>
      <c r="D1109" s="37">
        <v>4</v>
      </c>
    </row>
    <row r="1110" spans="1:4" s="3" customFormat="1" ht="18" customHeight="1" x14ac:dyDescent="0.2">
      <c r="A1110" s="35">
        <v>32</v>
      </c>
      <c r="B1110" s="36">
        <v>6</v>
      </c>
      <c r="C1110" s="36">
        <v>3</v>
      </c>
      <c r="D1110" s="37">
        <v>3</v>
      </c>
    </row>
    <row r="1111" spans="1:4" s="3" customFormat="1" ht="18" customHeight="1" x14ac:dyDescent="0.2">
      <c r="A1111" s="35">
        <v>32</v>
      </c>
      <c r="B1111" s="36">
        <v>6</v>
      </c>
      <c r="C1111" s="36">
        <v>3</v>
      </c>
      <c r="D1111" s="37">
        <v>4</v>
      </c>
    </row>
    <row r="1112" spans="1:4" s="3" customFormat="1" ht="18" customHeight="1" x14ac:dyDescent="0.2">
      <c r="A1112" s="35">
        <v>32</v>
      </c>
      <c r="B1112" s="36">
        <v>7</v>
      </c>
      <c r="C1112" s="36">
        <v>3</v>
      </c>
      <c r="D1112" s="37">
        <v>3</v>
      </c>
    </row>
    <row r="1113" spans="1:4" s="3" customFormat="1" ht="18" customHeight="1" x14ac:dyDescent="0.2">
      <c r="A1113" s="35">
        <v>32</v>
      </c>
      <c r="B1113" s="36">
        <v>7</v>
      </c>
      <c r="C1113" s="36">
        <v>3</v>
      </c>
      <c r="D1113" s="37">
        <v>4</v>
      </c>
    </row>
    <row r="1114" spans="1:4" s="3" customFormat="1" ht="18" customHeight="1" x14ac:dyDescent="0.2">
      <c r="A1114" s="35">
        <v>32</v>
      </c>
      <c r="B1114" s="36">
        <v>8</v>
      </c>
      <c r="C1114" s="36">
        <v>3</v>
      </c>
      <c r="D1114" s="37">
        <v>3</v>
      </c>
    </row>
    <row r="1115" spans="1:4" s="3" customFormat="1" ht="18" customHeight="1" x14ac:dyDescent="0.2">
      <c r="A1115" s="35">
        <v>32</v>
      </c>
      <c r="B1115" s="36">
        <v>8</v>
      </c>
      <c r="C1115" s="36">
        <v>3</v>
      </c>
      <c r="D1115" s="37">
        <v>4</v>
      </c>
    </row>
    <row r="1116" spans="1:4" s="3" customFormat="1" ht="18" customHeight="1" x14ac:dyDescent="0.2">
      <c r="A1116" s="35">
        <v>32</v>
      </c>
      <c r="B1116" s="36">
        <v>9</v>
      </c>
      <c r="C1116" s="36">
        <v>3</v>
      </c>
      <c r="D1116" s="37">
        <v>3</v>
      </c>
    </row>
    <row r="1117" spans="1:4" s="3" customFormat="1" ht="18" customHeight="1" x14ac:dyDescent="0.2">
      <c r="A1117" s="35">
        <v>32</v>
      </c>
      <c r="B1117" s="36">
        <v>9</v>
      </c>
      <c r="C1117" s="36">
        <v>3</v>
      </c>
      <c r="D1117" s="37">
        <v>4</v>
      </c>
    </row>
    <row r="1118" spans="1:4" s="3" customFormat="1" ht="18" customHeight="1" x14ac:dyDescent="0.2">
      <c r="A1118" s="35">
        <v>32</v>
      </c>
      <c r="B1118" s="36">
        <v>10</v>
      </c>
      <c r="C1118" s="36">
        <v>3</v>
      </c>
      <c r="D1118" s="37">
        <v>3</v>
      </c>
    </row>
    <row r="1119" spans="1:4" s="3" customFormat="1" ht="18" customHeight="1" x14ac:dyDescent="0.2">
      <c r="A1119" s="35">
        <v>32</v>
      </c>
      <c r="B1119" s="36">
        <v>10</v>
      </c>
      <c r="C1119" s="36">
        <v>3</v>
      </c>
      <c r="D1119" s="37">
        <v>4</v>
      </c>
    </row>
    <row r="1120" spans="1:4" s="3" customFormat="1" ht="18" customHeight="1" x14ac:dyDescent="0.2">
      <c r="A1120" s="35">
        <v>33</v>
      </c>
      <c r="B1120" s="36">
        <v>1</v>
      </c>
      <c r="C1120" s="36">
        <v>3</v>
      </c>
      <c r="D1120" s="37">
        <v>3</v>
      </c>
    </row>
    <row r="1121" spans="1:4" s="3" customFormat="1" ht="18" customHeight="1" x14ac:dyDescent="0.2">
      <c r="A1121" s="35">
        <v>33</v>
      </c>
      <c r="B1121" s="36">
        <v>1</v>
      </c>
      <c r="C1121" s="36">
        <v>3</v>
      </c>
      <c r="D1121" s="37">
        <v>4</v>
      </c>
    </row>
    <row r="1122" spans="1:4" s="3" customFormat="1" ht="18" customHeight="1" x14ac:dyDescent="0.2">
      <c r="A1122" s="35">
        <v>33</v>
      </c>
      <c r="B1122" s="36">
        <v>2</v>
      </c>
      <c r="C1122" s="36">
        <v>3</v>
      </c>
      <c r="D1122" s="37">
        <v>3</v>
      </c>
    </row>
    <row r="1123" spans="1:4" s="3" customFormat="1" ht="18" customHeight="1" x14ac:dyDescent="0.2">
      <c r="A1123" s="35">
        <v>33</v>
      </c>
      <c r="B1123" s="36">
        <v>2</v>
      </c>
      <c r="C1123" s="36">
        <v>3</v>
      </c>
      <c r="D1123" s="37">
        <v>4</v>
      </c>
    </row>
    <row r="1124" spans="1:4" s="3" customFormat="1" ht="18" customHeight="1" x14ac:dyDescent="0.2">
      <c r="A1124" s="35">
        <v>33</v>
      </c>
      <c r="B1124" s="36">
        <v>3</v>
      </c>
      <c r="C1124" s="36">
        <v>3</v>
      </c>
      <c r="D1124" s="37">
        <v>3</v>
      </c>
    </row>
    <row r="1125" spans="1:4" s="3" customFormat="1" ht="18" customHeight="1" x14ac:dyDescent="0.2">
      <c r="A1125" s="35">
        <v>33</v>
      </c>
      <c r="B1125" s="36">
        <v>3</v>
      </c>
      <c r="C1125" s="36">
        <v>3</v>
      </c>
      <c r="D1125" s="37">
        <v>4</v>
      </c>
    </row>
    <row r="1126" spans="1:4" s="3" customFormat="1" ht="18" customHeight="1" x14ac:dyDescent="0.2">
      <c r="A1126" s="35">
        <v>33</v>
      </c>
      <c r="B1126" s="36">
        <v>4</v>
      </c>
      <c r="C1126" s="36">
        <v>3</v>
      </c>
      <c r="D1126" s="37">
        <v>3</v>
      </c>
    </row>
    <row r="1127" spans="1:4" s="3" customFormat="1" ht="18" customHeight="1" x14ac:dyDescent="0.2">
      <c r="A1127" s="35">
        <v>33</v>
      </c>
      <c r="B1127" s="36">
        <v>4</v>
      </c>
      <c r="C1127" s="36">
        <v>3</v>
      </c>
      <c r="D1127" s="37">
        <v>4</v>
      </c>
    </row>
    <row r="1128" spans="1:4" s="3" customFormat="1" ht="18" customHeight="1" x14ac:dyDescent="0.2">
      <c r="A1128" s="35">
        <v>33</v>
      </c>
      <c r="B1128" s="36">
        <v>5</v>
      </c>
      <c r="C1128" s="36">
        <v>3</v>
      </c>
      <c r="D1128" s="37">
        <v>3</v>
      </c>
    </row>
    <row r="1129" spans="1:4" s="3" customFormat="1" ht="18" customHeight="1" x14ac:dyDescent="0.2">
      <c r="A1129" s="35">
        <v>33</v>
      </c>
      <c r="B1129" s="36">
        <v>5</v>
      </c>
      <c r="C1129" s="36">
        <v>3</v>
      </c>
      <c r="D1129" s="37">
        <v>4</v>
      </c>
    </row>
    <row r="1130" spans="1:4" s="3" customFormat="1" ht="18" customHeight="1" x14ac:dyDescent="0.2">
      <c r="A1130" s="35">
        <v>33</v>
      </c>
      <c r="B1130" s="36">
        <v>6</v>
      </c>
      <c r="C1130" s="36">
        <v>3</v>
      </c>
      <c r="D1130" s="37">
        <v>3</v>
      </c>
    </row>
    <row r="1131" spans="1:4" s="3" customFormat="1" ht="18" customHeight="1" x14ac:dyDescent="0.2">
      <c r="A1131" s="35">
        <v>33</v>
      </c>
      <c r="B1131" s="36">
        <v>6</v>
      </c>
      <c r="C1131" s="36">
        <v>3</v>
      </c>
      <c r="D1131" s="37">
        <v>4</v>
      </c>
    </row>
    <row r="1132" spans="1:4" s="3" customFormat="1" ht="18" customHeight="1" x14ac:dyDescent="0.2">
      <c r="A1132" s="35">
        <v>33</v>
      </c>
      <c r="B1132" s="36">
        <v>7</v>
      </c>
      <c r="C1132" s="36">
        <v>3</v>
      </c>
      <c r="D1132" s="37">
        <v>3</v>
      </c>
    </row>
    <row r="1133" spans="1:4" s="3" customFormat="1" ht="18" customHeight="1" x14ac:dyDescent="0.2">
      <c r="A1133" s="35">
        <v>33</v>
      </c>
      <c r="B1133" s="36">
        <v>7</v>
      </c>
      <c r="C1133" s="36">
        <v>3</v>
      </c>
      <c r="D1133" s="37">
        <v>4</v>
      </c>
    </row>
    <row r="1134" spans="1:4" s="3" customFormat="1" ht="18" customHeight="1" x14ac:dyDescent="0.2">
      <c r="A1134" s="35">
        <v>33</v>
      </c>
      <c r="B1134" s="36">
        <v>8</v>
      </c>
      <c r="C1134" s="36">
        <v>3</v>
      </c>
      <c r="D1134" s="37">
        <v>3</v>
      </c>
    </row>
    <row r="1135" spans="1:4" s="3" customFormat="1" ht="18" customHeight="1" x14ac:dyDescent="0.2">
      <c r="A1135" s="35">
        <v>33</v>
      </c>
      <c r="B1135" s="36">
        <v>8</v>
      </c>
      <c r="C1135" s="36">
        <v>3</v>
      </c>
      <c r="D1135" s="37">
        <v>4</v>
      </c>
    </row>
    <row r="1136" spans="1:4" s="3" customFormat="1" ht="18" customHeight="1" x14ac:dyDescent="0.2">
      <c r="A1136" s="35">
        <v>33</v>
      </c>
      <c r="B1136" s="36">
        <v>9</v>
      </c>
      <c r="C1136" s="36">
        <v>3</v>
      </c>
      <c r="D1136" s="37">
        <v>3</v>
      </c>
    </row>
    <row r="1137" spans="1:4" s="3" customFormat="1" ht="18" customHeight="1" x14ac:dyDescent="0.2">
      <c r="A1137" s="35">
        <v>33</v>
      </c>
      <c r="B1137" s="36">
        <v>9</v>
      </c>
      <c r="C1137" s="36">
        <v>3</v>
      </c>
      <c r="D1137" s="37">
        <v>4</v>
      </c>
    </row>
    <row r="1138" spans="1:4" s="3" customFormat="1" ht="18" customHeight="1" x14ac:dyDescent="0.2">
      <c r="A1138" s="35">
        <v>33</v>
      </c>
      <c r="B1138" s="36">
        <v>10</v>
      </c>
      <c r="C1138" s="36">
        <v>3</v>
      </c>
      <c r="D1138" s="37">
        <v>3</v>
      </c>
    </row>
    <row r="1139" spans="1:4" s="3" customFormat="1" ht="18.5" customHeight="1" x14ac:dyDescent="0.2">
      <c r="A1139" s="32">
        <v>33</v>
      </c>
      <c r="B1139" s="33">
        <v>10</v>
      </c>
      <c r="C1139" s="33">
        <v>3</v>
      </c>
      <c r="D1139" s="34">
        <v>4</v>
      </c>
    </row>
  </sheetData>
  <mergeCells count="1">
    <mergeCell ref="S3:T3"/>
  </mergeCells>
  <pageMargins left="0.75" right="0.75" top="1" bottom="1" header="0.51180599999999998" footer="0.51180599999999998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518"/>
  <sheetViews>
    <sheetView defaultGridColor="0" topLeftCell="AC1" colorId="9" workbookViewId="0"/>
  </sheetViews>
  <sheetFormatPr baseColWidth="10" defaultColWidth="13.6640625" defaultRowHeight="13" customHeight="1" x14ac:dyDescent="0.15"/>
  <cols>
    <col min="1" max="1" width="19.5" style="2" customWidth="1"/>
    <col min="2" max="2" width="24.83203125" style="2" customWidth="1"/>
    <col min="3" max="3" width="18.1640625" style="2" customWidth="1"/>
    <col min="4" max="4" width="13.6640625" style="2" customWidth="1"/>
    <col min="5" max="5" width="18.1640625" style="2" customWidth="1"/>
    <col min="6" max="6" width="26.1640625" style="2" customWidth="1"/>
    <col min="7" max="9" width="13.6640625" style="2" customWidth="1"/>
    <col min="10" max="10" width="18.1640625" style="2" customWidth="1"/>
    <col min="11" max="11" width="22.1640625" style="2" customWidth="1"/>
    <col min="12" max="12" width="16.83203125" style="2" customWidth="1"/>
    <col min="13" max="16" width="13.6640625" style="2" customWidth="1"/>
    <col min="17" max="17" width="23.83203125" style="2" customWidth="1"/>
    <col min="18" max="18" width="22.1640625" style="2" customWidth="1"/>
    <col min="19" max="19" width="16.83203125" style="2" customWidth="1"/>
    <col min="20" max="20" width="26.1640625" style="2" customWidth="1"/>
    <col min="21" max="23" width="9" style="2" customWidth="1"/>
    <col min="24" max="24" width="18.1640625" style="2" customWidth="1"/>
    <col min="25" max="25" width="22.1640625" style="2" customWidth="1"/>
    <col min="26" max="26" width="16.83203125" style="2" customWidth="1"/>
    <col min="27" max="27" width="12.6640625" style="2" customWidth="1"/>
    <col min="28" max="28" width="23.33203125" style="2" customWidth="1"/>
    <col min="29" max="29" width="11.83203125" style="2" customWidth="1"/>
    <col min="30" max="30" width="7.83203125" style="2" customWidth="1"/>
    <col min="31" max="31" width="26.6640625" style="2" customWidth="1"/>
    <col min="32" max="32" width="27.1640625" style="2" customWidth="1"/>
    <col min="33" max="33" width="13.83203125" style="2" customWidth="1"/>
    <col min="34" max="34" width="18.1640625" style="2" customWidth="1"/>
    <col min="35" max="35" width="22.1640625" style="2" customWidth="1"/>
    <col min="36" max="36" width="18.1640625" style="2" customWidth="1"/>
    <col min="37" max="37" width="14.6640625" style="2" customWidth="1"/>
    <col min="38" max="38" width="17.6640625" style="2" customWidth="1"/>
    <col min="39" max="39" width="11.1640625" style="2" customWidth="1"/>
    <col min="40" max="41" width="7.83203125" style="2" customWidth="1"/>
    <col min="42" max="42" width="13.6640625" style="2" customWidth="1"/>
    <col min="43" max="43" width="13.1640625" style="2" customWidth="1"/>
    <col min="44" max="44" width="19.83203125" style="2" customWidth="1"/>
    <col min="45" max="45" width="24.6640625" style="2" customWidth="1"/>
    <col min="46" max="46" width="16.83203125" style="2" customWidth="1"/>
    <col min="47" max="47" width="26.1640625" style="2" customWidth="1"/>
    <col min="48" max="48" width="23.5" style="2" customWidth="1"/>
    <col min="49" max="55" width="13.6640625" style="2" customWidth="1"/>
    <col min="56" max="56" width="9" style="2" customWidth="1"/>
    <col min="57" max="57" width="19.5" style="2" customWidth="1"/>
    <col min="58" max="58" width="24.83203125" style="2" customWidth="1"/>
    <col min="59" max="59" width="26.1640625" style="2" customWidth="1"/>
    <col min="60" max="60" width="27.6640625" style="2" customWidth="1"/>
    <col min="61" max="61" width="13.6640625" style="2" customWidth="1"/>
    <col min="62" max="62" width="24.83203125" style="2" customWidth="1"/>
    <col min="63" max="65" width="6.5" style="2" customWidth="1"/>
    <col min="66" max="66" width="5.1640625" style="2" customWidth="1"/>
    <col min="67" max="67" width="13.6640625" style="2" customWidth="1"/>
    <col min="68" max="68" width="44.1640625" style="2" customWidth="1"/>
    <col min="69" max="69" width="35" style="2" customWidth="1"/>
    <col min="70" max="70" width="36.83203125" style="2" customWidth="1"/>
    <col min="71" max="71" width="17.83203125" style="2" customWidth="1"/>
    <col min="72" max="72" width="18.33203125" style="2" customWidth="1"/>
    <col min="73" max="74" width="13.6640625" style="2" customWidth="1"/>
    <col min="75" max="75" width="12.33203125" style="2" customWidth="1"/>
    <col min="76" max="76" width="18.1640625" style="2" customWidth="1"/>
    <col min="77" max="77" width="26.1640625" style="2" customWidth="1"/>
    <col min="78" max="80" width="13.6640625" style="2" customWidth="1"/>
    <col min="81" max="81" width="21" style="2" customWidth="1"/>
    <col min="82" max="90" width="13.6640625" style="2" customWidth="1"/>
    <col min="91" max="91" width="20.1640625" style="2" customWidth="1"/>
    <col min="92" max="92" width="24.1640625" style="2" customWidth="1"/>
    <col min="93" max="93" width="23.1640625" style="2" customWidth="1"/>
    <col min="94" max="95" width="13.6640625" style="2" customWidth="1"/>
    <col min="96" max="96" width="26" style="2" customWidth="1"/>
    <col min="97" max="97" width="41" style="2" customWidth="1"/>
    <col min="98" max="98" width="48.5" style="2" customWidth="1"/>
    <col min="99" max="117" width="13.6640625" style="2" customWidth="1"/>
    <col min="118" max="118" width="19.1640625" style="2" customWidth="1"/>
    <col min="119" max="121" width="13.6640625" style="2" customWidth="1"/>
    <col min="122" max="256" width="13.6640625" style="113" customWidth="1"/>
  </cols>
  <sheetData>
    <row r="1" spans="1:103" s="3" customFormat="1" ht="19" customHeight="1" x14ac:dyDescent="0.2">
      <c r="AQ1" s="101" t="s">
        <v>77</v>
      </c>
      <c r="AR1" s="114" t="s">
        <v>78</v>
      </c>
      <c r="AS1" s="115"/>
      <c r="AT1" s="115"/>
      <c r="AU1" s="115"/>
      <c r="AV1" s="116"/>
      <c r="BD1" s="60" t="s">
        <v>79</v>
      </c>
      <c r="BH1" s="117" t="s">
        <v>80</v>
      </c>
      <c r="BQ1" s="60" t="s">
        <v>81</v>
      </c>
      <c r="BS1" s="6" t="s">
        <v>82</v>
      </c>
      <c r="CC1" s="60" t="s">
        <v>83</v>
      </c>
      <c r="CK1" s="4" t="s">
        <v>84</v>
      </c>
      <c r="CL1" s="118"/>
      <c r="CM1" s="5"/>
      <c r="CN1" s="8" t="s">
        <v>85</v>
      </c>
      <c r="CQ1" s="26" t="s">
        <v>43</v>
      </c>
      <c r="CR1" s="119" t="s">
        <v>86</v>
      </c>
      <c r="CS1" s="101" t="s">
        <v>87</v>
      </c>
      <c r="CT1" s="101" t="s">
        <v>88</v>
      </c>
      <c r="CV1" s="120"/>
      <c r="CW1" s="121"/>
      <c r="CX1" s="121"/>
    </row>
    <row r="2" spans="1:103" s="3" customFormat="1" ht="19" customHeight="1" x14ac:dyDescent="0.2">
      <c r="A2" s="14" t="s">
        <v>89</v>
      </c>
      <c r="B2" s="15"/>
      <c r="C2" s="15"/>
      <c r="D2" s="61"/>
      <c r="E2" s="61"/>
      <c r="F2" s="61"/>
      <c r="G2" s="61"/>
      <c r="H2" s="61"/>
      <c r="J2" s="4" t="s">
        <v>90</v>
      </c>
      <c r="P2" s="6" t="s">
        <v>91</v>
      </c>
      <c r="Q2" s="122" t="s">
        <v>92</v>
      </c>
      <c r="AD2" s="6" t="s">
        <v>93</v>
      </c>
      <c r="AH2" s="123" t="s">
        <v>94</v>
      </c>
      <c r="AQ2" s="117" t="s">
        <v>95</v>
      </c>
      <c r="AR2" s="122" t="s">
        <v>96</v>
      </c>
      <c r="AS2" s="15"/>
      <c r="AT2" s="14" t="s">
        <v>97</v>
      </c>
      <c r="AU2" s="15"/>
      <c r="AV2" s="16"/>
      <c r="AY2" s="14" t="s">
        <v>98</v>
      </c>
      <c r="BD2" s="14" t="s">
        <v>99</v>
      </c>
      <c r="BJ2" s="4" t="s">
        <v>100</v>
      </c>
      <c r="BQ2" s="14" t="s">
        <v>101</v>
      </c>
      <c r="BW2" s="124"/>
      <c r="BX2" s="121"/>
      <c r="BY2" s="121"/>
      <c r="BZ2" s="121"/>
      <c r="CC2" s="60" t="s">
        <v>102</v>
      </c>
      <c r="CK2" s="8" t="s">
        <v>23</v>
      </c>
      <c r="CL2" s="125">
        <v>4</v>
      </c>
      <c r="CM2" s="126">
        <v>3</v>
      </c>
      <c r="CN2" s="126">
        <v>2</v>
      </c>
      <c r="CO2" s="127">
        <v>1</v>
      </c>
      <c r="CQ2" s="31" t="s">
        <v>103</v>
      </c>
      <c r="CS2" s="26" t="s">
        <v>104</v>
      </c>
      <c r="CT2" s="29">
        <v>15</v>
      </c>
      <c r="CY2" s="42"/>
    </row>
    <row r="3" spans="1:103" s="3" customFormat="1" ht="19" customHeight="1" x14ac:dyDescent="0.2">
      <c r="A3" s="17" t="s">
        <v>105</v>
      </c>
      <c r="B3" s="18" t="s">
        <v>22</v>
      </c>
      <c r="C3" s="19" t="s">
        <v>106</v>
      </c>
      <c r="J3" s="17" t="s">
        <v>107</v>
      </c>
      <c r="K3" s="18" t="s">
        <v>8</v>
      </c>
      <c r="L3" s="19" t="s">
        <v>10</v>
      </c>
      <c r="Q3" s="17" t="s">
        <v>107</v>
      </c>
      <c r="R3" s="18" t="s">
        <v>8</v>
      </c>
      <c r="S3" s="18" t="s">
        <v>16</v>
      </c>
      <c r="T3" s="19" t="s">
        <v>108</v>
      </c>
      <c r="AD3" s="8" t="s">
        <v>105</v>
      </c>
      <c r="AE3" s="17" t="s">
        <v>106</v>
      </c>
      <c r="AF3" s="19" t="s">
        <v>12</v>
      </c>
      <c r="AG3" s="9">
        <v>1</v>
      </c>
      <c r="AH3" s="10">
        <v>2</v>
      </c>
      <c r="AI3" s="10">
        <v>3</v>
      </c>
      <c r="AJ3" s="11">
        <v>4</v>
      </c>
      <c r="AK3" s="17" t="s">
        <v>74</v>
      </c>
      <c r="AL3" s="41" t="s">
        <v>109</v>
      </c>
      <c r="AQ3" s="8" t="s">
        <v>105</v>
      </c>
      <c r="AR3" s="17" t="s">
        <v>107</v>
      </c>
      <c r="AS3" s="18" t="s">
        <v>8</v>
      </c>
      <c r="AT3" s="18" t="s">
        <v>16</v>
      </c>
      <c r="AU3" s="18" t="s">
        <v>110</v>
      </c>
      <c r="AV3" s="19" t="s">
        <v>111</v>
      </c>
      <c r="AY3" s="96">
        <v>1</v>
      </c>
      <c r="AZ3" s="97">
        <v>2</v>
      </c>
      <c r="BA3" s="97">
        <v>3</v>
      </c>
      <c r="BB3" s="98">
        <v>4</v>
      </c>
      <c r="BD3" s="8" t="s">
        <v>105</v>
      </c>
      <c r="BE3" s="17" t="s">
        <v>107</v>
      </c>
      <c r="BF3" s="18" t="s">
        <v>8</v>
      </c>
      <c r="BG3" s="18" t="s">
        <v>112</v>
      </c>
      <c r="BH3" s="19" t="s">
        <v>108</v>
      </c>
      <c r="BJ3" s="17" t="s">
        <v>113</v>
      </c>
      <c r="BK3" s="18" t="s">
        <v>114</v>
      </c>
      <c r="BL3" s="18" t="s">
        <v>115</v>
      </c>
      <c r="BM3" s="18" t="s">
        <v>116</v>
      </c>
      <c r="BN3" s="19" t="s">
        <v>117</v>
      </c>
      <c r="BO3" s="8" t="s">
        <v>74</v>
      </c>
      <c r="BQ3" s="8" t="s">
        <v>118</v>
      </c>
      <c r="BR3" s="9">
        <v>2</v>
      </c>
      <c r="BS3" s="10">
        <v>3</v>
      </c>
      <c r="BT3" s="10">
        <v>4</v>
      </c>
      <c r="BU3" s="11">
        <v>5</v>
      </c>
      <c r="BW3" s="42"/>
      <c r="CA3" s="21"/>
      <c r="CC3" s="14" t="s">
        <v>119</v>
      </c>
      <c r="CK3" s="128">
        <v>1</v>
      </c>
      <c r="CL3" s="129">
        <v>1</v>
      </c>
      <c r="CM3" s="130">
        <v>1</v>
      </c>
      <c r="CN3" s="130">
        <v>0</v>
      </c>
      <c r="CO3" s="131">
        <v>0</v>
      </c>
      <c r="CQ3" s="28">
        <v>15</v>
      </c>
      <c r="CS3" s="119" t="s">
        <v>120</v>
      </c>
      <c r="CT3" s="40">
        <v>45</v>
      </c>
      <c r="CY3" s="42"/>
    </row>
    <row r="4" spans="1:103" s="3" customFormat="1" ht="19" customHeight="1" x14ac:dyDescent="0.2">
      <c r="A4" s="23">
        <v>1</v>
      </c>
      <c r="B4" s="24">
        <v>1</v>
      </c>
      <c r="C4" s="132">
        <v>25</v>
      </c>
      <c r="E4" s="4" t="s">
        <v>121</v>
      </c>
      <c r="F4" s="118"/>
      <c r="G4" s="118"/>
      <c r="H4" s="118"/>
      <c r="I4" s="5"/>
      <c r="J4" s="23">
        <v>25</v>
      </c>
      <c r="K4" s="24">
        <v>4</v>
      </c>
      <c r="L4" s="25">
        <v>1</v>
      </c>
      <c r="Q4" s="23">
        <v>1</v>
      </c>
      <c r="R4" s="24">
        <v>1</v>
      </c>
      <c r="S4" s="24">
        <v>3</v>
      </c>
      <c r="T4" s="25">
        <v>5</v>
      </c>
      <c r="AD4" s="133">
        <v>1</v>
      </c>
      <c r="AE4" s="23">
        <v>4</v>
      </c>
      <c r="AF4" s="25">
        <v>1</v>
      </c>
      <c r="AG4" s="23">
        <v>1</v>
      </c>
      <c r="AH4" s="24">
        <v>1</v>
      </c>
      <c r="AI4" s="24">
        <v>1</v>
      </c>
      <c r="AJ4" s="25">
        <v>1</v>
      </c>
      <c r="AK4" s="23">
        <v>4</v>
      </c>
      <c r="AL4" s="25">
        <v>0</v>
      </c>
      <c r="AQ4" s="28">
        <v>1</v>
      </c>
      <c r="AR4" s="23">
        <v>1</v>
      </c>
      <c r="AS4" s="24">
        <v>1</v>
      </c>
      <c r="AT4" s="24">
        <v>3</v>
      </c>
      <c r="AU4" s="24">
        <v>5</v>
      </c>
      <c r="AV4" s="25">
        <v>4</v>
      </c>
      <c r="AX4" s="28">
        <v>1</v>
      </c>
      <c r="AY4" s="134" t="s">
        <v>122</v>
      </c>
      <c r="AZ4" s="135" t="s">
        <v>123</v>
      </c>
      <c r="BA4" s="135" t="s">
        <v>124</v>
      </c>
      <c r="BB4" s="27" t="s">
        <v>125</v>
      </c>
      <c r="BD4" s="28">
        <v>1</v>
      </c>
      <c r="BE4" s="23">
        <v>1</v>
      </c>
      <c r="BF4" s="24">
        <v>1</v>
      </c>
      <c r="BG4" s="24">
        <v>4</v>
      </c>
      <c r="BH4" s="25">
        <v>5</v>
      </c>
      <c r="BJ4" s="23">
        <v>37</v>
      </c>
      <c r="BK4" s="24">
        <v>1</v>
      </c>
      <c r="BL4" s="24">
        <v>1</v>
      </c>
      <c r="BM4" s="24">
        <v>1</v>
      </c>
      <c r="BN4" s="25">
        <v>1</v>
      </c>
      <c r="BO4" s="28">
        <v>4</v>
      </c>
      <c r="BQ4" s="136">
        <v>4</v>
      </c>
      <c r="BR4" s="137">
        <v>1</v>
      </c>
      <c r="BS4" s="138">
        <v>1</v>
      </c>
      <c r="BT4" s="138">
        <v>0</v>
      </c>
      <c r="BU4" s="139">
        <v>0</v>
      </c>
      <c r="BW4" s="47"/>
      <c r="BX4" s="42"/>
      <c r="BY4" s="42"/>
      <c r="BZ4" s="42"/>
      <c r="CA4" s="121"/>
      <c r="CC4" s="8" t="s">
        <v>106</v>
      </c>
      <c r="CD4" s="4" t="s">
        <v>126</v>
      </c>
      <c r="CK4" s="140">
        <v>2</v>
      </c>
      <c r="CL4" s="141">
        <v>1</v>
      </c>
      <c r="CM4" s="142">
        <v>1</v>
      </c>
      <c r="CN4" s="142">
        <v>1</v>
      </c>
      <c r="CO4" s="143">
        <v>0</v>
      </c>
      <c r="CQ4" s="39">
        <v>10</v>
      </c>
      <c r="CS4" s="119" t="s">
        <v>127</v>
      </c>
      <c r="CT4" s="40">
        <v>38</v>
      </c>
      <c r="CY4" s="42"/>
    </row>
    <row r="5" spans="1:103" s="3" customFormat="1" ht="19" customHeight="1" x14ac:dyDescent="0.2">
      <c r="A5" s="35">
        <v>2</v>
      </c>
      <c r="B5" s="36">
        <v>2</v>
      </c>
      <c r="C5" s="144">
        <v>6</v>
      </c>
      <c r="E5" s="8" t="s">
        <v>106</v>
      </c>
      <c r="F5" s="8" t="s">
        <v>128</v>
      </c>
      <c r="J5" s="35">
        <v>25</v>
      </c>
      <c r="K5" s="36">
        <v>4</v>
      </c>
      <c r="L5" s="37">
        <v>2</v>
      </c>
      <c r="Q5" s="35">
        <v>1</v>
      </c>
      <c r="R5" s="36">
        <v>1</v>
      </c>
      <c r="S5" s="36">
        <v>4</v>
      </c>
      <c r="T5" s="37">
        <v>5</v>
      </c>
      <c r="AD5" s="145">
        <f t="shared" ref="AD5:AD51" si="0">AD4+1</f>
        <v>2</v>
      </c>
      <c r="AE5" s="35">
        <v>4</v>
      </c>
      <c r="AF5" s="37">
        <v>2</v>
      </c>
      <c r="AG5" s="35">
        <v>1</v>
      </c>
      <c r="AH5" s="36">
        <v>1</v>
      </c>
      <c r="AI5" s="36">
        <v>1</v>
      </c>
      <c r="AJ5" s="37">
        <v>1</v>
      </c>
      <c r="AK5" s="35">
        <v>4</v>
      </c>
      <c r="AL5" s="37">
        <v>0</v>
      </c>
      <c r="AQ5" s="39">
        <v>2</v>
      </c>
      <c r="AR5" s="35">
        <v>1</v>
      </c>
      <c r="AS5" s="36">
        <v>1</v>
      </c>
      <c r="AT5" s="36">
        <v>4</v>
      </c>
      <c r="AU5" s="36">
        <v>5</v>
      </c>
      <c r="AV5" s="37">
        <v>4</v>
      </c>
      <c r="AX5" s="39">
        <v>2</v>
      </c>
      <c r="AY5" s="146" t="s">
        <v>122</v>
      </c>
      <c r="AZ5" s="99" t="s">
        <v>123</v>
      </c>
      <c r="BA5" s="99" t="s">
        <v>124</v>
      </c>
      <c r="BB5" s="147" t="s">
        <v>125</v>
      </c>
      <c r="BD5" s="39">
        <v>2</v>
      </c>
      <c r="BE5" s="35">
        <v>1</v>
      </c>
      <c r="BF5" s="36">
        <v>2</v>
      </c>
      <c r="BG5" s="36">
        <v>4</v>
      </c>
      <c r="BH5" s="37">
        <v>5</v>
      </c>
      <c r="BJ5" s="35">
        <v>37</v>
      </c>
      <c r="BK5" s="36">
        <v>1</v>
      </c>
      <c r="BL5" s="36">
        <v>1</v>
      </c>
      <c r="BM5" s="36">
        <v>1</v>
      </c>
      <c r="BN5" s="37">
        <v>1</v>
      </c>
      <c r="BO5" s="39">
        <v>4</v>
      </c>
      <c r="BQ5" s="148">
        <v>1</v>
      </c>
      <c r="BR5" s="149">
        <v>1</v>
      </c>
      <c r="BS5" s="150">
        <v>1</v>
      </c>
      <c r="BT5" s="150">
        <v>1</v>
      </c>
      <c r="BU5" s="151">
        <v>0</v>
      </c>
      <c r="BW5" s="47"/>
      <c r="BX5" s="42"/>
      <c r="BY5" s="42"/>
      <c r="BZ5" s="42"/>
      <c r="CA5" s="152"/>
      <c r="CB5" s="28">
        <v>1</v>
      </c>
      <c r="CC5" s="136">
        <v>1</v>
      </c>
      <c r="CD5" s="136">
        <v>5</v>
      </c>
      <c r="CF5" s="124"/>
      <c r="CG5" s="121"/>
      <c r="CH5" s="121"/>
      <c r="CK5" s="153">
        <v>3</v>
      </c>
      <c r="CL5" s="154">
        <v>1</v>
      </c>
      <c r="CM5" s="155">
        <v>1</v>
      </c>
      <c r="CN5" s="155">
        <v>1</v>
      </c>
      <c r="CO5" s="156">
        <v>1</v>
      </c>
      <c r="CQ5" s="39">
        <v>5</v>
      </c>
      <c r="CS5" s="119" t="s">
        <v>129</v>
      </c>
      <c r="CT5" s="40">
        <v>30</v>
      </c>
      <c r="CY5" s="42"/>
    </row>
    <row r="6" spans="1:103" s="3" customFormat="1" ht="19" customHeight="1" x14ac:dyDescent="0.2">
      <c r="A6" s="35">
        <v>3</v>
      </c>
      <c r="B6" s="36">
        <v>3</v>
      </c>
      <c r="C6" s="144">
        <v>4</v>
      </c>
      <c r="E6" s="28">
        <v>1</v>
      </c>
      <c r="F6" s="29">
        <v>5</v>
      </c>
      <c r="J6" s="35">
        <v>25</v>
      </c>
      <c r="K6" s="36">
        <v>4</v>
      </c>
      <c r="L6" s="37">
        <v>3</v>
      </c>
      <c r="Q6" s="35">
        <v>1</v>
      </c>
      <c r="R6" s="36">
        <v>2</v>
      </c>
      <c r="S6" s="36">
        <v>3</v>
      </c>
      <c r="T6" s="37">
        <v>5</v>
      </c>
      <c r="AD6" s="145">
        <f t="shared" si="0"/>
        <v>3</v>
      </c>
      <c r="AE6" s="35">
        <v>4</v>
      </c>
      <c r="AF6" s="37">
        <v>4</v>
      </c>
      <c r="AG6" s="35">
        <v>1</v>
      </c>
      <c r="AH6" s="36">
        <v>1</v>
      </c>
      <c r="AI6" s="36">
        <v>1</v>
      </c>
      <c r="AJ6" s="37">
        <v>1</v>
      </c>
      <c r="AK6" s="35">
        <v>4</v>
      </c>
      <c r="AL6" s="37">
        <v>0</v>
      </c>
      <c r="AQ6" s="39">
        <v>3</v>
      </c>
      <c r="AR6" s="35">
        <v>1</v>
      </c>
      <c r="AS6" s="36">
        <v>2</v>
      </c>
      <c r="AT6" s="36">
        <v>3</v>
      </c>
      <c r="AU6" s="36">
        <v>5</v>
      </c>
      <c r="AV6" s="37">
        <v>4</v>
      </c>
      <c r="AX6" s="39">
        <v>3</v>
      </c>
      <c r="AY6" s="146" t="s">
        <v>122</v>
      </c>
      <c r="AZ6" s="99" t="s">
        <v>123</v>
      </c>
      <c r="BA6" s="99" t="s">
        <v>124</v>
      </c>
      <c r="BB6" s="147" t="s">
        <v>125</v>
      </c>
      <c r="BD6" s="39">
        <v>3</v>
      </c>
      <c r="BE6" s="35">
        <v>1</v>
      </c>
      <c r="BF6" s="36">
        <v>4</v>
      </c>
      <c r="BG6" s="36">
        <v>4</v>
      </c>
      <c r="BH6" s="37">
        <v>5</v>
      </c>
      <c r="BJ6" s="35">
        <v>37</v>
      </c>
      <c r="BK6" s="36">
        <v>1</v>
      </c>
      <c r="BL6" s="36">
        <v>1</v>
      </c>
      <c r="BM6" s="36">
        <v>1</v>
      </c>
      <c r="BN6" s="37">
        <v>1</v>
      </c>
      <c r="BO6" s="39">
        <v>4</v>
      </c>
      <c r="BQ6" s="157">
        <v>37</v>
      </c>
      <c r="BR6" s="158">
        <v>1</v>
      </c>
      <c r="BS6" s="159">
        <v>1</v>
      </c>
      <c r="BT6" s="159">
        <v>1</v>
      </c>
      <c r="BU6" s="160">
        <v>1</v>
      </c>
      <c r="BW6" s="47"/>
      <c r="BX6" s="42"/>
      <c r="BY6" s="42"/>
      <c r="BZ6" s="42"/>
      <c r="CA6" s="152"/>
      <c r="CB6" s="39">
        <v>2</v>
      </c>
      <c r="CC6" s="148">
        <v>2</v>
      </c>
      <c r="CD6" s="148">
        <v>1</v>
      </c>
      <c r="CF6" s="47"/>
      <c r="CG6" s="61"/>
      <c r="CH6" s="61"/>
      <c r="CI6" s="61"/>
      <c r="CJ6" s="61"/>
      <c r="CQ6" s="56">
        <v>3</v>
      </c>
      <c r="CS6" s="119" t="s">
        <v>130</v>
      </c>
      <c r="CT6" s="40">
        <v>23</v>
      </c>
      <c r="CY6" s="42"/>
    </row>
    <row r="7" spans="1:103" s="3" customFormat="1" ht="18.5" customHeight="1" x14ac:dyDescent="0.2">
      <c r="A7" s="35">
        <v>4</v>
      </c>
      <c r="B7" s="36">
        <v>4</v>
      </c>
      <c r="C7" s="144">
        <v>6</v>
      </c>
      <c r="E7" s="39">
        <v>2</v>
      </c>
      <c r="F7" s="40">
        <v>1</v>
      </c>
      <c r="J7" s="35">
        <v>25</v>
      </c>
      <c r="K7" s="36">
        <v>4</v>
      </c>
      <c r="L7" s="37">
        <v>4</v>
      </c>
      <c r="Q7" s="35">
        <v>1</v>
      </c>
      <c r="R7" s="36">
        <v>2</v>
      </c>
      <c r="S7" s="36">
        <v>4</v>
      </c>
      <c r="T7" s="37">
        <v>5</v>
      </c>
      <c r="AD7" s="145">
        <f t="shared" si="0"/>
        <v>4</v>
      </c>
      <c r="AE7" s="35">
        <v>4</v>
      </c>
      <c r="AF7" s="37">
        <v>5</v>
      </c>
      <c r="AG7" s="35">
        <v>1</v>
      </c>
      <c r="AH7" s="36">
        <v>1</v>
      </c>
      <c r="AI7" s="36">
        <v>1</v>
      </c>
      <c r="AJ7" s="37">
        <v>1</v>
      </c>
      <c r="AK7" s="35">
        <v>4</v>
      </c>
      <c r="AL7" s="37">
        <v>0</v>
      </c>
      <c r="AQ7" s="39">
        <v>4</v>
      </c>
      <c r="AR7" s="35">
        <v>1</v>
      </c>
      <c r="AS7" s="36">
        <v>2</v>
      </c>
      <c r="AT7" s="36">
        <v>4</v>
      </c>
      <c r="AU7" s="36">
        <v>5</v>
      </c>
      <c r="AV7" s="37">
        <v>4</v>
      </c>
      <c r="AX7" s="39">
        <v>4</v>
      </c>
      <c r="AY7" s="146" t="s">
        <v>122</v>
      </c>
      <c r="AZ7" s="99" t="s">
        <v>123</v>
      </c>
      <c r="BA7" s="99" t="s">
        <v>124</v>
      </c>
      <c r="BB7" s="147" t="s">
        <v>125</v>
      </c>
      <c r="BD7" s="39">
        <v>4</v>
      </c>
      <c r="BE7" s="35">
        <v>1</v>
      </c>
      <c r="BF7" s="36">
        <v>6</v>
      </c>
      <c r="BG7" s="36">
        <v>4</v>
      </c>
      <c r="BH7" s="37">
        <v>5</v>
      </c>
      <c r="BJ7" s="35">
        <v>37</v>
      </c>
      <c r="BK7" s="36">
        <v>1</v>
      </c>
      <c r="BL7" s="36">
        <v>1</v>
      </c>
      <c r="BM7" s="36">
        <v>1</v>
      </c>
      <c r="BN7" s="37">
        <v>1</v>
      </c>
      <c r="BO7" s="39">
        <v>4</v>
      </c>
      <c r="BW7" s="47"/>
      <c r="BX7" s="42"/>
      <c r="BY7" s="42"/>
      <c r="BZ7" s="42"/>
      <c r="CA7" s="152"/>
      <c r="CB7" s="39">
        <v>3</v>
      </c>
      <c r="CC7" s="148">
        <v>3</v>
      </c>
      <c r="CD7" s="148">
        <v>3</v>
      </c>
      <c r="CF7" s="47"/>
      <c r="CG7" s="61"/>
      <c r="CH7" s="61"/>
      <c r="CI7" s="61"/>
      <c r="CJ7" s="61"/>
      <c r="CK7" s="21"/>
      <c r="CL7" s="161"/>
      <c r="CM7" s="124"/>
      <c r="CN7" s="124"/>
      <c r="CO7" s="124"/>
      <c r="CS7" s="119" t="s">
        <v>131</v>
      </c>
      <c r="CT7" s="40">
        <v>47</v>
      </c>
      <c r="CY7" s="42"/>
    </row>
    <row r="8" spans="1:103" s="3" customFormat="1" ht="18" customHeight="1" x14ac:dyDescent="0.2">
      <c r="A8" s="35">
        <v>5</v>
      </c>
      <c r="B8" s="36">
        <v>5</v>
      </c>
      <c r="C8" s="144">
        <v>6</v>
      </c>
      <c r="E8" s="39">
        <v>3</v>
      </c>
      <c r="F8" s="40">
        <v>3</v>
      </c>
      <c r="J8" s="35">
        <v>6</v>
      </c>
      <c r="K8" s="36">
        <v>1</v>
      </c>
      <c r="L8" s="37">
        <v>1</v>
      </c>
      <c r="Q8" s="35">
        <v>1</v>
      </c>
      <c r="R8" s="36">
        <v>4</v>
      </c>
      <c r="S8" s="36">
        <v>3</v>
      </c>
      <c r="T8" s="37">
        <v>5</v>
      </c>
      <c r="AD8" s="145">
        <f t="shared" si="0"/>
        <v>5</v>
      </c>
      <c r="AE8" s="35">
        <v>4</v>
      </c>
      <c r="AF8" s="37">
        <v>6</v>
      </c>
      <c r="AG8" s="35">
        <v>1</v>
      </c>
      <c r="AH8" s="36">
        <v>1</v>
      </c>
      <c r="AI8" s="36">
        <v>1</v>
      </c>
      <c r="AJ8" s="37">
        <v>1</v>
      </c>
      <c r="AK8" s="35">
        <v>4</v>
      </c>
      <c r="AL8" s="37">
        <v>0</v>
      </c>
      <c r="AQ8" s="39">
        <v>5</v>
      </c>
      <c r="AR8" s="35">
        <v>1</v>
      </c>
      <c r="AS8" s="36">
        <v>4</v>
      </c>
      <c r="AT8" s="36">
        <v>3</v>
      </c>
      <c r="AU8" s="36">
        <v>5</v>
      </c>
      <c r="AV8" s="37">
        <v>4</v>
      </c>
      <c r="AX8" s="39">
        <v>5</v>
      </c>
      <c r="AY8" s="146" t="s">
        <v>122</v>
      </c>
      <c r="AZ8" s="99" t="s">
        <v>123</v>
      </c>
      <c r="BA8" s="99" t="s">
        <v>124</v>
      </c>
      <c r="BB8" s="147" t="s">
        <v>125</v>
      </c>
      <c r="BD8" s="39">
        <v>5</v>
      </c>
      <c r="BE8" s="35">
        <v>1</v>
      </c>
      <c r="BF8" s="36">
        <v>7</v>
      </c>
      <c r="BG8" s="36">
        <v>4</v>
      </c>
      <c r="BH8" s="37">
        <v>5</v>
      </c>
      <c r="BJ8" s="35">
        <v>37</v>
      </c>
      <c r="BK8" s="36">
        <v>1</v>
      </c>
      <c r="BL8" s="36">
        <v>1</v>
      </c>
      <c r="BM8" s="36">
        <v>1</v>
      </c>
      <c r="BN8" s="37">
        <v>1</v>
      </c>
      <c r="BO8" s="39">
        <v>4</v>
      </c>
      <c r="BW8" s="47"/>
      <c r="BX8" s="42"/>
      <c r="BY8" s="42"/>
      <c r="BZ8" s="42"/>
      <c r="CA8" s="152"/>
      <c r="CB8" s="39">
        <v>4</v>
      </c>
      <c r="CC8" s="148">
        <v>4</v>
      </c>
      <c r="CD8" s="148">
        <v>1</v>
      </c>
      <c r="CF8" s="47"/>
      <c r="CG8" s="61"/>
      <c r="CH8" s="61"/>
      <c r="CI8" s="61"/>
      <c r="CJ8" s="61"/>
      <c r="CK8" s="20"/>
      <c r="CL8" s="161"/>
      <c r="CM8" s="124"/>
      <c r="CN8" s="124"/>
      <c r="CO8" s="124"/>
      <c r="CS8" s="119" t="s">
        <v>132</v>
      </c>
      <c r="CT8" s="40">
        <v>20</v>
      </c>
      <c r="CY8" s="42"/>
    </row>
    <row r="9" spans="1:103" s="3" customFormat="1" ht="18" customHeight="1" x14ac:dyDescent="0.2">
      <c r="A9" s="35">
        <v>6</v>
      </c>
      <c r="B9" s="36">
        <v>6</v>
      </c>
      <c r="C9" s="144">
        <v>3</v>
      </c>
      <c r="E9" s="39">
        <v>4</v>
      </c>
      <c r="F9" s="40">
        <v>1</v>
      </c>
      <c r="J9" s="35">
        <v>6</v>
      </c>
      <c r="K9" s="36">
        <v>1</v>
      </c>
      <c r="L9" s="37">
        <v>2</v>
      </c>
      <c r="Q9" s="35">
        <v>1</v>
      </c>
      <c r="R9" s="36">
        <v>4</v>
      </c>
      <c r="S9" s="36">
        <v>4</v>
      </c>
      <c r="T9" s="37">
        <v>5</v>
      </c>
      <c r="AD9" s="145">
        <f t="shared" si="0"/>
        <v>6</v>
      </c>
      <c r="AE9" s="35">
        <v>4</v>
      </c>
      <c r="AF9" s="37">
        <v>7</v>
      </c>
      <c r="AG9" s="35">
        <v>1</v>
      </c>
      <c r="AH9" s="36">
        <v>1</v>
      </c>
      <c r="AI9" s="36">
        <v>1</v>
      </c>
      <c r="AJ9" s="37">
        <v>1</v>
      </c>
      <c r="AK9" s="35">
        <v>4</v>
      </c>
      <c r="AL9" s="37">
        <v>0</v>
      </c>
      <c r="AQ9" s="39">
        <v>6</v>
      </c>
      <c r="AR9" s="35">
        <v>1</v>
      </c>
      <c r="AS9" s="36">
        <v>4</v>
      </c>
      <c r="AT9" s="36">
        <v>4</v>
      </c>
      <c r="AU9" s="36">
        <v>5</v>
      </c>
      <c r="AV9" s="37">
        <v>4</v>
      </c>
      <c r="AX9" s="39">
        <v>6</v>
      </c>
      <c r="AY9" s="146" t="s">
        <v>122</v>
      </c>
      <c r="AZ9" s="99" t="s">
        <v>123</v>
      </c>
      <c r="BA9" s="99" t="s">
        <v>124</v>
      </c>
      <c r="BB9" s="147" t="s">
        <v>125</v>
      </c>
      <c r="BD9" s="39">
        <v>6</v>
      </c>
      <c r="BE9" s="35">
        <v>1</v>
      </c>
      <c r="BF9" s="36">
        <v>9</v>
      </c>
      <c r="BG9" s="36">
        <v>4</v>
      </c>
      <c r="BH9" s="37">
        <v>5</v>
      </c>
      <c r="BJ9" s="35">
        <v>37</v>
      </c>
      <c r="BK9" s="36">
        <v>1</v>
      </c>
      <c r="BL9" s="36">
        <v>1</v>
      </c>
      <c r="BM9" s="36">
        <v>1</v>
      </c>
      <c r="BN9" s="37">
        <v>1</v>
      </c>
      <c r="BO9" s="39">
        <v>4</v>
      </c>
      <c r="BW9" s="47"/>
      <c r="BX9" s="42"/>
      <c r="BY9" s="42"/>
      <c r="BZ9" s="42"/>
      <c r="CA9" s="152"/>
      <c r="CB9" s="39">
        <v>5</v>
      </c>
      <c r="CC9" s="148">
        <v>6</v>
      </c>
      <c r="CD9" s="148">
        <v>3</v>
      </c>
      <c r="CF9" s="47"/>
      <c r="CG9" s="61"/>
      <c r="CH9" s="61"/>
      <c r="CI9" s="61"/>
      <c r="CJ9" s="61"/>
      <c r="CK9" s="20"/>
      <c r="CL9" s="161"/>
      <c r="CM9" s="124"/>
      <c r="CN9" s="124"/>
      <c r="CO9" s="47"/>
      <c r="CP9" s="20"/>
      <c r="CS9" s="119" t="s">
        <v>133</v>
      </c>
      <c r="CT9" s="40">
        <v>15</v>
      </c>
      <c r="CY9" s="42"/>
    </row>
    <row r="10" spans="1:103" s="3" customFormat="1" ht="18" customHeight="1" x14ac:dyDescent="0.2">
      <c r="A10" s="35">
        <v>7</v>
      </c>
      <c r="B10" s="36">
        <v>7</v>
      </c>
      <c r="C10" s="144">
        <v>3</v>
      </c>
      <c r="E10" s="39">
        <v>6</v>
      </c>
      <c r="F10" s="40">
        <v>3</v>
      </c>
      <c r="J10" s="35">
        <v>6</v>
      </c>
      <c r="K10" s="36">
        <v>1</v>
      </c>
      <c r="L10" s="37">
        <v>3</v>
      </c>
      <c r="Q10" s="35">
        <v>1</v>
      </c>
      <c r="R10" s="36">
        <v>6</v>
      </c>
      <c r="S10" s="36">
        <v>3</v>
      </c>
      <c r="T10" s="37">
        <v>5</v>
      </c>
      <c r="AD10" s="145">
        <f t="shared" si="0"/>
        <v>7</v>
      </c>
      <c r="AE10" s="35">
        <v>4</v>
      </c>
      <c r="AF10" s="37">
        <v>9</v>
      </c>
      <c r="AG10" s="35">
        <v>1</v>
      </c>
      <c r="AH10" s="36">
        <v>1</v>
      </c>
      <c r="AI10" s="36">
        <v>1</v>
      </c>
      <c r="AJ10" s="37">
        <v>1</v>
      </c>
      <c r="AK10" s="35">
        <v>4</v>
      </c>
      <c r="AL10" s="37">
        <v>0</v>
      </c>
      <c r="AQ10" s="39">
        <v>7</v>
      </c>
      <c r="AR10" s="35">
        <v>1</v>
      </c>
      <c r="AS10" s="36">
        <v>6</v>
      </c>
      <c r="AT10" s="36">
        <v>3</v>
      </c>
      <c r="AU10" s="36">
        <v>5</v>
      </c>
      <c r="AV10" s="37">
        <v>4</v>
      </c>
      <c r="AX10" s="39">
        <v>7</v>
      </c>
      <c r="AY10" s="146" t="s">
        <v>122</v>
      </c>
      <c r="AZ10" s="99" t="s">
        <v>124</v>
      </c>
      <c r="BA10" s="99" t="s">
        <v>124</v>
      </c>
      <c r="BB10" s="147" t="s">
        <v>125</v>
      </c>
      <c r="BD10" s="39">
        <v>7</v>
      </c>
      <c r="BE10" s="35">
        <v>2</v>
      </c>
      <c r="BF10" s="36">
        <v>4</v>
      </c>
      <c r="BG10" s="36">
        <v>1</v>
      </c>
      <c r="BH10" s="37">
        <v>1</v>
      </c>
      <c r="BJ10" s="35">
        <v>37</v>
      </c>
      <c r="BK10" s="36">
        <v>1</v>
      </c>
      <c r="BL10" s="36">
        <v>1</v>
      </c>
      <c r="BM10" s="36">
        <v>1</v>
      </c>
      <c r="BN10" s="37">
        <v>1</v>
      </c>
      <c r="BO10" s="39">
        <v>4</v>
      </c>
      <c r="BW10" s="47"/>
      <c r="BX10" s="42"/>
      <c r="BY10" s="42"/>
      <c r="BZ10" s="42"/>
      <c r="CA10" s="152"/>
      <c r="CB10" s="39">
        <v>6</v>
      </c>
      <c r="CC10" s="148">
        <v>7</v>
      </c>
      <c r="CD10" s="148">
        <v>13</v>
      </c>
      <c r="CF10" s="47"/>
      <c r="CG10" s="61"/>
      <c r="CH10" s="61"/>
      <c r="CI10" s="61"/>
      <c r="CJ10" s="61"/>
      <c r="CK10" s="20"/>
      <c r="CL10" s="161"/>
      <c r="CM10" s="124"/>
      <c r="CN10" s="124"/>
      <c r="CO10" s="47"/>
      <c r="CP10" s="20"/>
      <c r="CS10" s="119" t="s">
        <v>134</v>
      </c>
      <c r="CT10" s="40">
        <v>90</v>
      </c>
      <c r="CY10" s="42"/>
    </row>
    <row r="11" spans="1:103" s="3" customFormat="1" ht="18.5" customHeight="1" x14ac:dyDescent="0.2">
      <c r="A11" s="35">
        <v>8</v>
      </c>
      <c r="B11" s="36">
        <v>8</v>
      </c>
      <c r="C11" s="144">
        <v>3</v>
      </c>
      <c r="E11" s="39">
        <v>7</v>
      </c>
      <c r="F11" s="40">
        <v>13</v>
      </c>
      <c r="J11" s="35">
        <v>6</v>
      </c>
      <c r="K11" s="36">
        <v>1</v>
      </c>
      <c r="L11" s="37">
        <v>4</v>
      </c>
      <c r="Q11" s="35">
        <v>1</v>
      </c>
      <c r="R11" s="36">
        <v>6</v>
      </c>
      <c r="S11" s="36">
        <v>4</v>
      </c>
      <c r="T11" s="37">
        <v>5</v>
      </c>
      <c r="AD11" s="145">
        <f t="shared" si="0"/>
        <v>8</v>
      </c>
      <c r="AE11" s="35">
        <v>6</v>
      </c>
      <c r="AF11" s="37">
        <v>1</v>
      </c>
      <c r="AG11" s="35">
        <v>1</v>
      </c>
      <c r="AH11" s="36">
        <v>1</v>
      </c>
      <c r="AI11" s="36">
        <v>1</v>
      </c>
      <c r="AJ11" s="37">
        <v>1</v>
      </c>
      <c r="AK11" s="35">
        <v>4</v>
      </c>
      <c r="AL11" s="37">
        <v>0</v>
      </c>
      <c r="AQ11" s="39">
        <v>8</v>
      </c>
      <c r="AR11" s="35">
        <v>1</v>
      </c>
      <c r="AS11" s="36">
        <v>6</v>
      </c>
      <c r="AT11" s="36">
        <v>4</v>
      </c>
      <c r="AU11" s="36">
        <v>5</v>
      </c>
      <c r="AV11" s="37">
        <v>4</v>
      </c>
      <c r="AX11" s="39">
        <v>8</v>
      </c>
      <c r="AY11" s="146" t="s">
        <v>122</v>
      </c>
      <c r="AZ11" s="99" t="s">
        <v>124</v>
      </c>
      <c r="BA11" s="99" t="s">
        <v>124</v>
      </c>
      <c r="BB11" s="147" t="s">
        <v>125</v>
      </c>
      <c r="BD11" s="39">
        <v>8</v>
      </c>
      <c r="BE11" s="35">
        <v>2</v>
      </c>
      <c r="BF11" s="36">
        <v>7</v>
      </c>
      <c r="BG11" s="36">
        <v>1</v>
      </c>
      <c r="BH11" s="37">
        <v>1</v>
      </c>
      <c r="BJ11" s="35">
        <v>37</v>
      </c>
      <c r="BK11" s="36">
        <v>1</v>
      </c>
      <c r="BL11" s="36">
        <v>1</v>
      </c>
      <c r="BM11" s="36">
        <v>1</v>
      </c>
      <c r="BN11" s="37">
        <v>1</v>
      </c>
      <c r="BO11" s="39">
        <v>4</v>
      </c>
      <c r="BW11" s="47"/>
      <c r="BX11" s="42"/>
      <c r="BY11" s="42"/>
      <c r="BZ11" s="42"/>
      <c r="CA11" s="152"/>
      <c r="CB11" s="39">
        <v>7</v>
      </c>
      <c r="CC11" s="148">
        <v>16</v>
      </c>
      <c r="CD11" s="148">
        <v>1</v>
      </c>
      <c r="CF11" s="47"/>
      <c r="CG11" s="61"/>
      <c r="CH11" s="61"/>
      <c r="CI11" s="61"/>
      <c r="CJ11" s="61"/>
      <c r="CK11" s="20"/>
      <c r="CL11" s="161"/>
      <c r="CM11" s="124"/>
      <c r="CN11" s="124"/>
      <c r="CO11" s="47"/>
      <c r="CP11" s="20"/>
      <c r="CS11" s="31" t="s">
        <v>135</v>
      </c>
      <c r="CT11" s="57">
        <v>45</v>
      </c>
      <c r="CY11" s="42"/>
    </row>
    <row r="12" spans="1:103" s="3" customFormat="1" ht="19" customHeight="1" x14ac:dyDescent="0.2">
      <c r="A12" s="35">
        <v>9</v>
      </c>
      <c r="B12" s="36">
        <v>9</v>
      </c>
      <c r="C12" s="144">
        <v>2</v>
      </c>
      <c r="E12" s="39">
        <v>16</v>
      </c>
      <c r="F12" s="40">
        <v>1</v>
      </c>
      <c r="J12" s="35">
        <v>6</v>
      </c>
      <c r="K12" s="36">
        <v>2</v>
      </c>
      <c r="L12" s="37">
        <v>1</v>
      </c>
      <c r="Q12" s="35">
        <v>1</v>
      </c>
      <c r="R12" s="36">
        <v>7</v>
      </c>
      <c r="S12" s="36">
        <v>3</v>
      </c>
      <c r="T12" s="37">
        <v>5</v>
      </c>
      <c r="AD12" s="145">
        <f t="shared" si="0"/>
        <v>9</v>
      </c>
      <c r="AE12" s="35">
        <v>6</v>
      </c>
      <c r="AF12" s="37">
        <v>2</v>
      </c>
      <c r="AG12" s="35">
        <v>1</v>
      </c>
      <c r="AH12" s="36">
        <v>1</v>
      </c>
      <c r="AI12" s="36">
        <v>1</v>
      </c>
      <c r="AJ12" s="37">
        <v>1</v>
      </c>
      <c r="AK12" s="35">
        <v>4</v>
      </c>
      <c r="AL12" s="37">
        <v>0</v>
      </c>
      <c r="AQ12" s="39">
        <v>9</v>
      </c>
      <c r="AR12" s="35">
        <v>1</v>
      </c>
      <c r="AS12" s="36">
        <v>7</v>
      </c>
      <c r="AT12" s="36">
        <v>3</v>
      </c>
      <c r="AU12" s="36">
        <v>5</v>
      </c>
      <c r="AV12" s="37">
        <v>4</v>
      </c>
      <c r="AX12" s="39">
        <v>9</v>
      </c>
      <c r="AY12" s="146" t="s">
        <v>122</v>
      </c>
      <c r="AZ12" s="99" t="s">
        <v>124</v>
      </c>
      <c r="BA12" s="99" t="s">
        <v>124</v>
      </c>
      <c r="BB12" s="147" t="s">
        <v>125</v>
      </c>
      <c r="BD12" s="39">
        <v>9</v>
      </c>
      <c r="BE12" s="35">
        <v>2</v>
      </c>
      <c r="BF12" s="36">
        <v>9</v>
      </c>
      <c r="BG12" s="36">
        <v>1</v>
      </c>
      <c r="BH12" s="37">
        <v>1</v>
      </c>
      <c r="BJ12" s="35">
        <v>37</v>
      </c>
      <c r="BK12" s="36">
        <v>1</v>
      </c>
      <c r="BL12" s="36">
        <v>1</v>
      </c>
      <c r="BM12" s="36">
        <v>1</v>
      </c>
      <c r="BN12" s="37">
        <v>1</v>
      </c>
      <c r="BO12" s="39">
        <v>4</v>
      </c>
      <c r="BQ12" s="14" t="s">
        <v>136</v>
      </c>
      <c r="BW12" s="47"/>
      <c r="BX12" s="42"/>
      <c r="BY12" s="42"/>
      <c r="BZ12" s="42"/>
      <c r="CA12" s="152"/>
      <c r="CB12" s="39">
        <v>8</v>
      </c>
      <c r="CC12" s="148">
        <v>25</v>
      </c>
      <c r="CD12" s="148">
        <v>1</v>
      </c>
      <c r="CF12" s="47"/>
      <c r="CG12" s="61"/>
      <c r="CH12" s="61"/>
      <c r="CI12" s="61"/>
      <c r="CJ12" s="61"/>
      <c r="CK12" s="20"/>
      <c r="CL12" s="161"/>
      <c r="CM12" s="124"/>
      <c r="CN12" s="124"/>
      <c r="CO12" s="47"/>
      <c r="CP12" s="20"/>
      <c r="CS12" s="8" t="s">
        <v>74</v>
      </c>
      <c r="CT12" s="94">
        <f>SUM(CT2:CT11)</f>
        <v>368</v>
      </c>
    </row>
    <row r="13" spans="1:103" s="3" customFormat="1" ht="19" customHeight="1" x14ac:dyDescent="0.2">
      <c r="A13" s="35">
        <v>10</v>
      </c>
      <c r="B13" s="36">
        <v>10</v>
      </c>
      <c r="C13" s="144">
        <v>82</v>
      </c>
      <c r="E13" s="39">
        <v>25</v>
      </c>
      <c r="F13" s="40">
        <v>1</v>
      </c>
      <c r="J13" s="35">
        <v>6</v>
      </c>
      <c r="K13" s="36">
        <v>2</v>
      </c>
      <c r="L13" s="37">
        <v>2</v>
      </c>
      <c r="Q13" s="35">
        <v>1</v>
      </c>
      <c r="R13" s="36">
        <v>7</v>
      </c>
      <c r="S13" s="36">
        <v>4</v>
      </c>
      <c r="T13" s="37">
        <v>5</v>
      </c>
      <c r="AD13" s="145">
        <f t="shared" si="0"/>
        <v>10</v>
      </c>
      <c r="AE13" s="35">
        <v>6</v>
      </c>
      <c r="AF13" s="37">
        <v>4</v>
      </c>
      <c r="AG13" s="35">
        <v>1</v>
      </c>
      <c r="AH13" s="36">
        <v>1</v>
      </c>
      <c r="AI13" s="36">
        <v>1</v>
      </c>
      <c r="AJ13" s="37">
        <v>1</v>
      </c>
      <c r="AK13" s="35">
        <v>4</v>
      </c>
      <c r="AL13" s="37">
        <v>0</v>
      </c>
      <c r="AQ13" s="39">
        <v>10</v>
      </c>
      <c r="AR13" s="35">
        <v>1</v>
      </c>
      <c r="AS13" s="36">
        <v>7</v>
      </c>
      <c r="AT13" s="36">
        <v>4</v>
      </c>
      <c r="AU13" s="36">
        <v>5</v>
      </c>
      <c r="AV13" s="37">
        <v>4</v>
      </c>
      <c r="AX13" s="39">
        <v>10</v>
      </c>
      <c r="AY13" s="146" t="s">
        <v>122</v>
      </c>
      <c r="AZ13" s="99" t="s">
        <v>124</v>
      </c>
      <c r="BA13" s="99" t="s">
        <v>124</v>
      </c>
      <c r="BB13" s="147" t="s">
        <v>125</v>
      </c>
      <c r="BD13" s="39">
        <v>10</v>
      </c>
      <c r="BE13" s="35">
        <v>3</v>
      </c>
      <c r="BF13" s="36">
        <v>1</v>
      </c>
      <c r="BG13" s="36">
        <v>1</v>
      </c>
      <c r="BH13" s="37">
        <v>3</v>
      </c>
      <c r="BJ13" s="35">
        <v>37</v>
      </c>
      <c r="BK13" s="36">
        <v>1</v>
      </c>
      <c r="BL13" s="36">
        <v>1</v>
      </c>
      <c r="BM13" s="36">
        <v>1</v>
      </c>
      <c r="BN13" s="37">
        <v>1</v>
      </c>
      <c r="BO13" s="39">
        <v>4</v>
      </c>
      <c r="BQ13" s="101" t="s">
        <v>137</v>
      </c>
      <c r="BW13" s="162"/>
      <c r="BX13" s="120"/>
      <c r="BY13" s="120"/>
      <c r="BZ13" s="120"/>
      <c r="CA13" s="152"/>
      <c r="CB13" s="39">
        <v>9</v>
      </c>
      <c r="CC13" s="148">
        <v>34</v>
      </c>
      <c r="CD13" s="148">
        <v>2</v>
      </c>
      <c r="CF13" s="47"/>
      <c r="CG13" s="61"/>
      <c r="CH13" s="61"/>
      <c r="CI13" s="61"/>
      <c r="CJ13" s="61"/>
      <c r="CK13" s="20"/>
      <c r="CL13" s="161"/>
      <c r="CM13" s="124"/>
      <c r="CN13" s="124"/>
      <c r="CO13" s="47"/>
      <c r="CP13" s="20"/>
    </row>
    <row r="14" spans="1:103" s="3" customFormat="1" ht="19" customHeight="1" x14ac:dyDescent="0.2">
      <c r="A14" s="35">
        <v>11</v>
      </c>
      <c r="B14" s="36">
        <v>11</v>
      </c>
      <c r="C14" s="144">
        <v>7</v>
      </c>
      <c r="E14" s="39">
        <v>34</v>
      </c>
      <c r="F14" s="40">
        <v>2</v>
      </c>
      <c r="J14" s="35">
        <v>6</v>
      </c>
      <c r="K14" s="36">
        <v>2</v>
      </c>
      <c r="L14" s="37">
        <v>3</v>
      </c>
      <c r="Q14" s="35">
        <v>1</v>
      </c>
      <c r="R14" s="36">
        <v>9</v>
      </c>
      <c r="S14" s="36">
        <v>3</v>
      </c>
      <c r="T14" s="37">
        <v>5</v>
      </c>
      <c r="AD14" s="145">
        <f t="shared" si="0"/>
        <v>11</v>
      </c>
      <c r="AE14" s="35">
        <v>6</v>
      </c>
      <c r="AF14" s="37">
        <v>6</v>
      </c>
      <c r="AG14" s="35">
        <v>1</v>
      </c>
      <c r="AH14" s="36">
        <v>1</v>
      </c>
      <c r="AI14" s="36">
        <v>1</v>
      </c>
      <c r="AJ14" s="37">
        <v>1</v>
      </c>
      <c r="AK14" s="35">
        <v>4</v>
      </c>
      <c r="AL14" s="37">
        <v>0</v>
      </c>
      <c r="AQ14" s="39">
        <v>11</v>
      </c>
      <c r="AR14" s="35">
        <v>1</v>
      </c>
      <c r="AS14" s="36">
        <v>9</v>
      </c>
      <c r="AT14" s="36">
        <v>3</v>
      </c>
      <c r="AU14" s="36">
        <v>5</v>
      </c>
      <c r="AV14" s="37">
        <v>4</v>
      </c>
      <c r="AX14" s="39">
        <v>11</v>
      </c>
      <c r="AY14" s="146" t="s">
        <v>122</v>
      </c>
      <c r="AZ14" s="99" t="s">
        <v>124</v>
      </c>
      <c r="BA14" s="99" t="s">
        <v>124</v>
      </c>
      <c r="BB14" s="147" t="s">
        <v>125</v>
      </c>
      <c r="BD14" s="39">
        <v>11</v>
      </c>
      <c r="BE14" s="35">
        <v>3</v>
      </c>
      <c r="BF14" s="36">
        <v>2</v>
      </c>
      <c r="BG14" s="36">
        <v>1</v>
      </c>
      <c r="BH14" s="37">
        <v>3</v>
      </c>
      <c r="BJ14" s="35">
        <v>37</v>
      </c>
      <c r="BK14" s="36">
        <v>1</v>
      </c>
      <c r="BL14" s="36">
        <v>1</v>
      </c>
      <c r="BM14" s="36">
        <v>1</v>
      </c>
      <c r="BN14" s="37">
        <v>1</v>
      </c>
      <c r="BO14" s="39">
        <v>4</v>
      </c>
      <c r="CB14" s="56">
        <v>10</v>
      </c>
      <c r="CC14" s="157">
        <v>82</v>
      </c>
      <c r="CD14" s="157">
        <v>3</v>
      </c>
      <c r="CF14" s="47"/>
      <c r="CG14" s="61"/>
      <c r="CH14" s="61"/>
      <c r="CI14" s="61"/>
      <c r="CJ14" s="61"/>
      <c r="CK14" s="20"/>
      <c r="CL14" s="161"/>
      <c r="CM14" s="124"/>
      <c r="CN14" s="124"/>
      <c r="CO14" s="47"/>
      <c r="CP14" s="20"/>
    </row>
    <row r="15" spans="1:103" s="3" customFormat="1" ht="19" customHeight="1" x14ac:dyDescent="0.2">
      <c r="A15" s="35">
        <v>12</v>
      </c>
      <c r="B15" s="36">
        <v>12</v>
      </c>
      <c r="C15" s="144">
        <v>82</v>
      </c>
      <c r="E15" s="56">
        <v>82</v>
      </c>
      <c r="F15" s="57">
        <v>3</v>
      </c>
      <c r="J15" s="35">
        <v>6</v>
      </c>
      <c r="K15" s="36">
        <v>2</v>
      </c>
      <c r="L15" s="37">
        <v>4</v>
      </c>
      <c r="Q15" s="35">
        <v>1</v>
      </c>
      <c r="R15" s="36">
        <v>9</v>
      </c>
      <c r="S15" s="36">
        <v>4</v>
      </c>
      <c r="T15" s="37">
        <v>5</v>
      </c>
      <c r="AD15" s="145">
        <f t="shared" si="0"/>
        <v>12</v>
      </c>
      <c r="AE15" s="35">
        <v>6</v>
      </c>
      <c r="AF15" s="37">
        <v>7</v>
      </c>
      <c r="AG15" s="35">
        <v>1</v>
      </c>
      <c r="AH15" s="36">
        <v>1</v>
      </c>
      <c r="AI15" s="36">
        <v>1</v>
      </c>
      <c r="AJ15" s="37">
        <v>1</v>
      </c>
      <c r="AK15" s="35">
        <v>4</v>
      </c>
      <c r="AL15" s="37">
        <v>0</v>
      </c>
      <c r="AQ15" s="39">
        <v>12</v>
      </c>
      <c r="AR15" s="35">
        <v>1</v>
      </c>
      <c r="AS15" s="36">
        <v>9</v>
      </c>
      <c r="AT15" s="36">
        <v>4</v>
      </c>
      <c r="AU15" s="36">
        <v>5</v>
      </c>
      <c r="AV15" s="37">
        <v>4</v>
      </c>
      <c r="AX15" s="39">
        <v>12</v>
      </c>
      <c r="AY15" s="146" t="s">
        <v>122</v>
      </c>
      <c r="AZ15" s="99" t="s">
        <v>124</v>
      </c>
      <c r="BA15" s="99" t="s">
        <v>124</v>
      </c>
      <c r="BB15" s="147" t="s">
        <v>125</v>
      </c>
      <c r="BD15" s="39">
        <v>12</v>
      </c>
      <c r="BE15" s="35">
        <v>3</v>
      </c>
      <c r="BF15" s="36">
        <v>4</v>
      </c>
      <c r="BG15" s="36">
        <v>1</v>
      </c>
      <c r="BH15" s="37">
        <v>3</v>
      </c>
      <c r="BJ15" s="35">
        <v>37</v>
      </c>
      <c r="BK15" s="36">
        <v>1</v>
      </c>
      <c r="BL15" s="36">
        <v>1</v>
      </c>
      <c r="BM15" s="36">
        <v>1</v>
      </c>
      <c r="BN15" s="37">
        <v>1</v>
      </c>
      <c r="BO15" s="39">
        <v>4</v>
      </c>
      <c r="CB15" s="59"/>
      <c r="CC15" s="8" t="s">
        <v>74</v>
      </c>
      <c r="CD15" s="94">
        <f>SUM(CD5:CD14)</f>
        <v>33</v>
      </c>
      <c r="CF15" s="47"/>
      <c r="CG15" s="162"/>
      <c r="CH15" s="20"/>
      <c r="CI15" s="20"/>
      <c r="CJ15" s="20"/>
      <c r="CK15" s="20"/>
      <c r="CL15" s="161"/>
      <c r="CM15" s="124"/>
      <c r="CN15" s="124"/>
      <c r="CO15" s="47"/>
      <c r="CP15" s="20"/>
    </row>
    <row r="16" spans="1:103" s="3" customFormat="1" ht="19" customHeight="1" x14ac:dyDescent="0.2">
      <c r="A16" s="35">
        <v>13</v>
      </c>
      <c r="B16" s="36">
        <v>13</v>
      </c>
      <c r="C16" s="144">
        <v>7</v>
      </c>
      <c r="E16" s="17" t="s">
        <v>138</v>
      </c>
      <c r="F16" s="11">
        <f>SUM(F6:F15)</f>
        <v>33</v>
      </c>
      <c r="J16" s="35">
        <v>6</v>
      </c>
      <c r="K16" s="36">
        <v>4</v>
      </c>
      <c r="L16" s="37">
        <v>1</v>
      </c>
      <c r="Q16" s="35">
        <v>2</v>
      </c>
      <c r="R16" s="36">
        <v>4</v>
      </c>
      <c r="S16" s="36">
        <v>2</v>
      </c>
      <c r="T16" s="37">
        <v>1</v>
      </c>
      <c r="AD16" s="145">
        <f t="shared" si="0"/>
        <v>13</v>
      </c>
      <c r="AE16" s="35">
        <v>6</v>
      </c>
      <c r="AF16" s="37">
        <v>9</v>
      </c>
      <c r="AG16" s="35">
        <v>1</v>
      </c>
      <c r="AH16" s="36">
        <v>1</v>
      </c>
      <c r="AI16" s="36">
        <v>1</v>
      </c>
      <c r="AJ16" s="37">
        <v>1</v>
      </c>
      <c r="AK16" s="35">
        <v>4</v>
      </c>
      <c r="AL16" s="37">
        <v>0</v>
      </c>
      <c r="AQ16" s="39">
        <v>13</v>
      </c>
      <c r="AR16" s="35">
        <v>2</v>
      </c>
      <c r="AS16" s="36">
        <v>4</v>
      </c>
      <c r="AT16" s="36">
        <v>2</v>
      </c>
      <c r="AU16" s="36">
        <v>1</v>
      </c>
      <c r="AV16" s="37">
        <v>1</v>
      </c>
      <c r="AX16" s="39">
        <v>13</v>
      </c>
      <c r="AY16" s="146" t="s">
        <v>122</v>
      </c>
      <c r="AZ16" s="99" t="s">
        <v>124</v>
      </c>
      <c r="BA16" s="99" t="s">
        <v>124</v>
      </c>
      <c r="BB16" s="147" t="s">
        <v>125</v>
      </c>
      <c r="BD16" s="39">
        <v>13</v>
      </c>
      <c r="BE16" s="35">
        <v>3</v>
      </c>
      <c r="BF16" s="36">
        <v>6</v>
      </c>
      <c r="BG16" s="36">
        <v>1</v>
      </c>
      <c r="BH16" s="37">
        <v>3</v>
      </c>
      <c r="BJ16" s="35">
        <v>37</v>
      </c>
      <c r="BK16" s="36">
        <v>1</v>
      </c>
      <c r="BL16" s="36">
        <v>1</v>
      </c>
      <c r="BM16" s="36">
        <v>1</v>
      </c>
      <c r="BN16" s="37">
        <v>1</v>
      </c>
      <c r="BO16" s="39">
        <v>4</v>
      </c>
      <c r="CF16" s="47"/>
      <c r="CG16" s="162"/>
      <c r="CH16" s="20"/>
      <c r="CI16" s="20"/>
      <c r="CJ16" s="20"/>
      <c r="CK16" s="20"/>
      <c r="CO16" s="47"/>
      <c r="CP16" s="20"/>
    </row>
    <row r="17" spans="1:100" s="3" customFormat="1" ht="18.5" customHeight="1" x14ac:dyDescent="0.2">
      <c r="A17" s="35">
        <v>14</v>
      </c>
      <c r="B17" s="36">
        <v>14</v>
      </c>
      <c r="C17" s="144">
        <v>34</v>
      </c>
      <c r="J17" s="35">
        <v>6</v>
      </c>
      <c r="K17" s="36">
        <v>4</v>
      </c>
      <c r="L17" s="37">
        <v>2</v>
      </c>
      <c r="Q17" s="35">
        <v>2</v>
      </c>
      <c r="R17" s="36">
        <v>4</v>
      </c>
      <c r="S17" s="36">
        <v>3</v>
      </c>
      <c r="T17" s="37">
        <v>1</v>
      </c>
      <c r="AD17" s="145">
        <f t="shared" si="0"/>
        <v>14</v>
      </c>
      <c r="AE17" s="35">
        <v>25</v>
      </c>
      <c r="AF17" s="37">
        <v>4</v>
      </c>
      <c r="AG17" s="35">
        <v>1</v>
      </c>
      <c r="AH17" s="36">
        <v>1</v>
      </c>
      <c r="AI17" s="36">
        <v>1</v>
      </c>
      <c r="AJ17" s="37">
        <v>1</v>
      </c>
      <c r="AK17" s="35">
        <v>4</v>
      </c>
      <c r="AL17" s="37">
        <v>0</v>
      </c>
      <c r="AQ17" s="39">
        <v>14</v>
      </c>
      <c r="AR17" s="35">
        <v>2</v>
      </c>
      <c r="AS17" s="36">
        <v>4</v>
      </c>
      <c r="AT17" s="36">
        <v>3</v>
      </c>
      <c r="AU17" s="36">
        <v>1</v>
      </c>
      <c r="AV17" s="37">
        <v>1</v>
      </c>
      <c r="AX17" s="39">
        <v>14</v>
      </c>
      <c r="AY17" s="146" t="s">
        <v>122</v>
      </c>
      <c r="AZ17" s="99" t="s">
        <v>124</v>
      </c>
      <c r="BA17" s="99" t="s">
        <v>124</v>
      </c>
      <c r="BB17" s="147" t="s">
        <v>125</v>
      </c>
      <c r="BD17" s="39">
        <v>14</v>
      </c>
      <c r="BE17" s="35">
        <v>3</v>
      </c>
      <c r="BF17" s="36">
        <v>7</v>
      </c>
      <c r="BG17" s="36">
        <v>1</v>
      </c>
      <c r="BH17" s="37">
        <v>3</v>
      </c>
      <c r="BJ17" s="35">
        <v>37</v>
      </c>
      <c r="BK17" s="36">
        <v>1</v>
      </c>
      <c r="BL17" s="36">
        <v>1</v>
      </c>
      <c r="BM17" s="36">
        <v>1</v>
      </c>
      <c r="BN17" s="37">
        <v>1</v>
      </c>
      <c r="BO17" s="39">
        <v>4</v>
      </c>
      <c r="CO17" s="47"/>
      <c r="CP17" s="20"/>
    </row>
    <row r="18" spans="1:100" s="3" customFormat="1" ht="18" customHeight="1" x14ac:dyDescent="0.2">
      <c r="A18" s="35">
        <v>15</v>
      </c>
      <c r="B18" s="36">
        <v>15</v>
      </c>
      <c r="C18" s="144">
        <v>1</v>
      </c>
      <c r="E18" s="42"/>
      <c r="J18" s="35">
        <v>6</v>
      </c>
      <c r="K18" s="36">
        <v>4</v>
      </c>
      <c r="L18" s="37">
        <v>3</v>
      </c>
      <c r="Q18" s="35">
        <v>2</v>
      </c>
      <c r="R18" s="36">
        <v>4</v>
      </c>
      <c r="S18" s="36">
        <v>4</v>
      </c>
      <c r="T18" s="37">
        <v>1</v>
      </c>
      <c r="AD18" s="145">
        <f t="shared" si="0"/>
        <v>15</v>
      </c>
      <c r="AE18" s="35">
        <v>2</v>
      </c>
      <c r="AF18" s="37">
        <v>4</v>
      </c>
      <c r="AG18" s="35">
        <v>0</v>
      </c>
      <c r="AH18" s="36">
        <v>1</v>
      </c>
      <c r="AI18" s="36">
        <v>1</v>
      </c>
      <c r="AJ18" s="37">
        <v>1</v>
      </c>
      <c r="AK18" s="35">
        <v>3</v>
      </c>
      <c r="AL18" s="37">
        <v>1</v>
      </c>
      <c r="AQ18" s="39">
        <v>15</v>
      </c>
      <c r="AR18" s="35">
        <v>2</v>
      </c>
      <c r="AS18" s="36">
        <v>4</v>
      </c>
      <c r="AT18" s="36">
        <v>4</v>
      </c>
      <c r="AU18" s="36">
        <v>1</v>
      </c>
      <c r="AV18" s="37">
        <v>1</v>
      </c>
      <c r="AX18" s="39">
        <v>15</v>
      </c>
      <c r="AY18" s="146" t="s">
        <v>122</v>
      </c>
      <c r="AZ18" s="99" t="s">
        <v>124</v>
      </c>
      <c r="BA18" s="99" t="s">
        <v>124</v>
      </c>
      <c r="BB18" s="147" t="s">
        <v>125</v>
      </c>
      <c r="BD18" s="39">
        <v>15</v>
      </c>
      <c r="BE18" s="35">
        <v>3</v>
      </c>
      <c r="BF18" s="36">
        <v>9</v>
      </c>
      <c r="BG18" s="36">
        <v>1</v>
      </c>
      <c r="BH18" s="37">
        <v>3</v>
      </c>
      <c r="BJ18" s="35">
        <v>1</v>
      </c>
      <c r="BK18" s="36">
        <v>1</v>
      </c>
      <c r="BL18" s="36">
        <v>1</v>
      </c>
      <c r="BM18" s="36">
        <v>1</v>
      </c>
      <c r="BN18" s="37">
        <v>0</v>
      </c>
      <c r="BO18" s="39">
        <v>3</v>
      </c>
      <c r="BQ18" s="60" t="s">
        <v>139</v>
      </c>
      <c r="CT18" s="120"/>
      <c r="CU18" s="121"/>
    </row>
    <row r="19" spans="1:100" s="3" customFormat="1" ht="18.5" customHeight="1" x14ac:dyDescent="0.2">
      <c r="A19" s="35">
        <v>16</v>
      </c>
      <c r="B19" s="36">
        <v>16</v>
      </c>
      <c r="C19" s="144">
        <v>7</v>
      </c>
      <c r="J19" s="35">
        <v>6</v>
      </c>
      <c r="K19" s="36">
        <v>4</v>
      </c>
      <c r="L19" s="37">
        <v>4</v>
      </c>
      <c r="Q19" s="35">
        <v>2</v>
      </c>
      <c r="R19" s="36">
        <v>7</v>
      </c>
      <c r="S19" s="36">
        <v>2</v>
      </c>
      <c r="T19" s="37">
        <v>1</v>
      </c>
      <c r="AD19" s="145">
        <f t="shared" si="0"/>
        <v>16</v>
      </c>
      <c r="AE19" s="35">
        <v>2</v>
      </c>
      <c r="AF19" s="37">
        <v>7</v>
      </c>
      <c r="AG19" s="35">
        <v>0</v>
      </c>
      <c r="AH19" s="36">
        <v>1</v>
      </c>
      <c r="AI19" s="36">
        <v>1</v>
      </c>
      <c r="AJ19" s="37">
        <v>1</v>
      </c>
      <c r="AK19" s="35">
        <v>3</v>
      </c>
      <c r="AL19" s="37">
        <v>1</v>
      </c>
      <c r="AQ19" s="39">
        <v>16</v>
      </c>
      <c r="AR19" s="35">
        <v>2</v>
      </c>
      <c r="AS19" s="36">
        <v>7</v>
      </c>
      <c r="AT19" s="36">
        <v>2</v>
      </c>
      <c r="AU19" s="36">
        <v>1</v>
      </c>
      <c r="AV19" s="37">
        <v>1</v>
      </c>
      <c r="AX19" s="39">
        <v>16</v>
      </c>
      <c r="AY19" s="146" t="s">
        <v>140</v>
      </c>
      <c r="AZ19" s="99" t="s">
        <v>124</v>
      </c>
      <c r="BA19" s="99" t="s">
        <v>124</v>
      </c>
      <c r="BB19" s="147" t="s">
        <v>125</v>
      </c>
      <c r="BD19" s="39">
        <v>16</v>
      </c>
      <c r="BE19" s="35">
        <v>4</v>
      </c>
      <c r="BF19" s="36">
        <v>1</v>
      </c>
      <c r="BG19" s="36">
        <v>37</v>
      </c>
      <c r="BH19" s="37">
        <v>1</v>
      </c>
      <c r="BJ19" s="35">
        <v>1</v>
      </c>
      <c r="BK19" s="36">
        <v>1</v>
      </c>
      <c r="BL19" s="36">
        <v>1</v>
      </c>
      <c r="BM19" s="36">
        <v>1</v>
      </c>
      <c r="BN19" s="37">
        <v>0</v>
      </c>
      <c r="BO19" s="39">
        <v>3</v>
      </c>
      <c r="BQ19" s="163" t="s">
        <v>141</v>
      </c>
      <c r="CD19" s="60" t="s">
        <v>142</v>
      </c>
      <c r="CT19" s="162"/>
      <c r="CU19" s="124"/>
    </row>
    <row r="20" spans="1:100" s="3" customFormat="1" ht="19" customHeight="1" x14ac:dyDescent="0.2">
      <c r="A20" s="35">
        <v>17</v>
      </c>
      <c r="B20" s="36">
        <v>17</v>
      </c>
      <c r="C20" s="144">
        <v>7</v>
      </c>
      <c r="E20" s="6" t="s">
        <v>143</v>
      </c>
      <c r="J20" s="35">
        <v>6</v>
      </c>
      <c r="K20" s="36">
        <v>6</v>
      </c>
      <c r="L20" s="37">
        <v>1</v>
      </c>
      <c r="Q20" s="35">
        <v>2</v>
      </c>
      <c r="R20" s="36">
        <v>7</v>
      </c>
      <c r="S20" s="36">
        <v>3</v>
      </c>
      <c r="T20" s="37">
        <v>1</v>
      </c>
      <c r="AD20" s="145">
        <f t="shared" si="0"/>
        <v>17</v>
      </c>
      <c r="AE20" s="35">
        <v>2</v>
      </c>
      <c r="AF20" s="37">
        <v>9</v>
      </c>
      <c r="AG20" s="35">
        <v>0</v>
      </c>
      <c r="AH20" s="36">
        <v>1</v>
      </c>
      <c r="AI20" s="36">
        <v>1</v>
      </c>
      <c r="AJ20" s="37">
        <v>1</v>
      </c>
      <c r="AK20" s="35">
        <v>3</v>
      </c>
      <c r="AL20" s="37">
        <v>1</v>
      </c>
      <c r="AQ20" s="39">
        <v>17</v>
      </c>
      <c r="AR20" s="35">
        <v>2</v>
      </c>
      <c r="AS20" s="36">
        <v>7</v>
      </c>
      <c r="AT20" s="36">
        <v>3</v>
      </c>
      <c r="AU20" s="36">
        <v>1</v>
      </c>
      <c r="AV20" s="37">
        <v>1</v>
      </c>
      <c r="AX20" s="39">
        <v>17</v>
      </c>
      <c r="AY20" s="146" t="s">
        <v>140</v>
      </c>
      <c r="AZ20" s="99" t="s">
        <v>124</v>
      </c>
      <c r="BA20" s="99" t="s">
        <v>124</v>
      </c>
      <c r="BB20" s="147" t="s">
        <v>125</v>
      </c>
      <c r="BD20" s="39">
        <v>17</v>
      </c>
      <c r="BE20" s="35">
        <v>4</v>
      </c>
      <c r="BF20" s="36">
        <v>2</v>
      </c>
      <c r="BG20" s="36">
        <v>37</v>
      </c>
      <c r="BH20" s="37">
        <v>1</v>
      </c>
      <c r="BJ20" s="35">
        <v>1</v>
      </c>
      <c r="BK20" s="36">
        <v>1</v>
      </c>
      <c r="BL20" s="36">
        <v>1</v>
      </c>
      <c r="BM20" s="36">
        <v>1</v>
      </c>
      <c r="BN20" s="37">
        <v>0</v>
      </c>
      <c r="BO20" s="39">
        <v>3</v>
      </c>
      <c r="BQ20" s="6" t="s">
        <v>144</v>
      </c>
      <c r="BR20" s="17" t="s">
        <v>145</v>
      </c>
      <c r="CD20" s="14" t="s">
        <v>146</v>
      </c>
      <c r="CJ20" s="14" t="s">
        <v>147</v>
      </c>
      <c r="CQ20" s="60" t="s">
        <v>148</v>
      </c>
      <c r="CR20" s="61"/>
      <c r="CS20" s="61"/>
      <c r="CT20" s="162"/>
      <c r="CU20" s="124"/>
    </row>
    <row r="21" spans="1:100" s="3" customFormat="1" ht="19" customHeight="1" x14ac:dyDescent="0.2">
      <c r="A21" s="35">
        <v>18</v>
      </c>
      <c r="B21" s="36">
        <v>18</v>
      </c>
      <c r="C21" s="144">
        <v>7</v>
      </c>
      <c r="J21" s="35">
        <v>6</v>
      </c>
      <c r="K21" s="36">
        <v>6</v>
      </c>
      <c r="L21" s="37">
        <v>2</v>
      </c>
      <c r="Q21" s="35">
        <v>2</v>
      </c>
      <c r="R21" s="36">
        <v>7</v>
      </c>
      <c r="S21" s="36">
        <v>4</v>
      </c>
      <c r="T21" s="37">
        <v>1</v>
      </c>
      <c r="AD21" s="145">
        <f t="shared" si="0"/>
        <v>18</v>
      </c>
      <c r="AE21" s="35">
        <v>3</v>
      </c>
      <c r="AF21" s="37">
        <v>1</v>
      </c>
      <c r="AG21" s="35">
        <v>0</v>
      </c>
      <c r="AH21" s="36">
        <v>1</v>
      </c>
      <c r="AI21" s="36">
        <v>1</v>
      </c>
      <c r="AJ21" s="37">
        <v>1</v>
      </c>
      <c r="AK21" s="35">
        <v>3</v>
      </c>
      <c r="AL21" s="37">
        <v>1</v>
      </c>
      <c r="AQ21" s="39">
        <v>18</v>
      </c>
      <c r="AR21" s="35">
        <v>2</v>
      </c>
      <c r="AS21" s="36">
        <v>7</v>
      </c>
      <c r="AT21" s="36">
        <v>4</v>
      </c>
      <c r="AU21" s="36">
        <v>1</v>
      </c>
      <c r="AV21" s="37">
        <v>1</v>
      </c>
      <c r="AX21" s="39">
        <v>18</v>
      </c>
      <c r="AY21" s="146" t="s">
        <v>140</v>
      </c>
      <c r="AZ21" s="99" t="s">
        <v>124</v>
      </c>
      <c r="BA21" s="99" t="s">
        <v>124</v>
      </c>
      <c r="BB21" s="147" t="s">
        <v>125</v>
      </c>
      <c r="BD21" s="39">
        <v>18</v>
      </c>
      <c r="BE21" s="35">
        <v>4</v>
      </c>
      <c r="BF21" s="36">
        <v>4</v>
      </c>
      <c r="BG21" s="36">
        <v>37</v>
      </c>
      <c r="BH21" s="37">
        <v>1</v>
      </c>
      <c r="BJ21" s="35">
        <v>1</v>
      </c>
      <c r="BK21" s="36">
        <v>1</v>
      </c>
      <c r="BL21" s="36">
        <v>1</v>
      </c>
      <c r="BM21" s="36">
        <v>1</v>
      </c>
      <c r="BN21" s="37">
        <v>0</v>
      </c>
      <c r="BO21" s="39">
        <v>3</v>
      </c>
      <c r="BQ21" s="8" t="s">
        <v>23</v>
      </c>
      <c r="BR21" s="9">
        <v>1</v>
      </c>
      <c r="BS21" s="10">
        <v>2</v>
      </c>
      <c r="BT21" s="11">
        <v>3</v>
      </c>
      <c r="BU21" s="164" t="s">
        <v>74</v>
      </c>
      <c r="CD21" s="9">
        <v>1</v>
      </c>
      <c r="CE21" s="10">
        <v>2</v>
      </c>
      <c r="CF21" s="10">
        <v>3</v>
      </c>
      <c r="CG21" s="11">
        <v>4</v>
      </c>
      <c r="CJ21" s="9">
        <v>1</v>
      </c>
      <c r="CK21" s="10">
        <v>2</v>
      </c>
      <c r="CL21" s="10">
        <v>3</v>
      </c>
      <c r="CM21" s="11">
        <v>4</v>
      </c>
      <c r="CQ21" s="14" t="s">
        <v>149</v>
      </c>
      <c r="CR21" s="15"/>
      <c r="CS21" s="61"/>
      <c r="CT21" s="162"/>
      <c r="CU21" s="124"/>
    </row>
    <row r="22" spans="1:100" s="3" customFormat="1" ht="19" customHeight="1" x14ac:dyDescent="0.2">
      <c r="A22" s="35">
        <v>19</v>
      </c>
      <c r="B22" s="36">
        <v>19</v>
      </c>
      <c r="C22" s="144">
        <v>7</v>
      </c>
      <c r="J22" s="35">
        <v>6</v>
      </c>
      <c r="K22" s="36">
        <v>6</v>
      </c>
      <c r="L22" s="37">
        <v>3</v>
      </c>
      <c r="Q22" s="35">
        <v>2</v>
      </c>
      <c r="R22" s="36">
        <v>9</v>
      </c>
      <c r="S22" s="36">
        <v>2</v>
      </c>
      <c r="T22" s="37">
        <v>1</v>
      </c>
      <c r="AD22" s="145">
        <f t="shared" si="0"/>
        <v>19</v>
      </c>
      <c r="AE22" s="35">
        <v>3</v>
      </c>
      <c r="AF22" s="37">
        <v>2</v>
      </c>
      <c r="AG22" s="35">
        <v>0</v>
      </c>
      <c r="AH22" s="36">
        <v>1</v>
      </c>
      <c r="AI22" s="36">
        <v>1</v>
      </c>
      <c r="AJ22" s="37">
        <v>1</v>
      </c>
      <c r="AK22" s="35">
        <v>3</v>
      </c>
      <c r="AL22" s="37">
        <v>1</v>
      </c>
      <c r="AQ22" s="39">
        <v>19</v>
      </c>
      <c r="AR22" s="35">
        <v>2</v>
      </c>
      <c r="AS22" s="36">
        <v>9</v>
      </c>
      <c r="AT22" s="36">
        <v>2</v>
      </c>
      <c r="AU22" s="36">
        <v>1</v>
      </c>
      <c r="AV22" s="37">
        <v>1</v>
      </c>
      <c r="AX22" s="39">
        <v>19</v>
      </c>
      <c r="AY22" s="146" t="s">
        <v>140</v>
      </c>
      <c r="AZ22" s="99" t="s">
        <v>124</v>
      </c>
      <c r="BA22" s="99" t="s">
        <v>124</v>
      </c>
      <c r="BB22" s="147" t="s">
        <v>125</v>
      </c>
      <c r="BD22" s="39">
        <v>19</v>
      </c>
      <c r="BE22" s="35">
        <v>4</v>
      </c>
      <c r="BF22" s="36">
        <v>5</v>
      </c>
      <c r="BG22" s="36">
        <v>37</v>
      </c>
      <c r="BH22" s="37">
        <v>1</v>
      </c>
      <c r="BJ22" s="35">
        <v>1</v>
      </c>
      <c r="BK22" s="36">
        <v>1</v>
      </c>
      <c r="BL22" s="36">
        <v>1</v>
      </c>
      <c r="BM22" s="36">
        <v>1</v>
      </c>
      <c r="BN22" s="37">
        <v>0</v>
      </c>
      <c r="BO22" s="39">
        <v>3</v>
      </c>
      <c r="BQ22" s="28">
        <v>1</v>
      </c>
      <c r="BR22" s="23">
        <v>1</v>
      </c>
      <c r="BS22" s="24">
        <v>1</v>
      </c>
      <c r="BT22" s="25">
        <v>0</v>
      </c>
      <c r="BU22" s="28">
        <f t="shared" ref="BU22:BU31" si="1">SUM(BR22:BT22)</f>
        <v>2</v>
      </c>
      <c r="CC22" s="128">
        <v>1</v>
      </c>
      <c r="CD22" s="23">
        <v>2</v>
      </c>
      <c r="CE22" s="24">
        <v>2</v>
      </c>
      <c r="CF22" s="24">
        <v>1</v>
      </c>
      <c r="CG22" s="25">
        <v>0</v>
      </c>
      <c r="CI22" s="128">
        <v>1</v>
      </c>
      <c r="CJ22" s="165" t="b">
        <v>1</v>
      </c>
      <c r="CK22" s="166" t="b">
        <v>1</v>
      </c>
      <c r="CL22" s="166" t="b">
        <v>1</v>
      </c>
      <c r="CM22" s="167" t="b">
        <v>0</v>
      </c>
      <c r="CQ22" s="168" t="s">
        <v>150</v>
      </c>
      <c r="CR22" s="8" t="s">
        <v>151</v>
      </c>
      <c r="CS22" s="169"/>
      <c r="CT22" s="170"/>
      <c r="CU22" s="121"/>
      <c r="CV22" s="161"/>
    </row>
    <row r="23" spans="1:100" s="3" customFormat="1" ht="19" customHeight="1" x14ac:dyDescent="0.2">
      <c r="A23" s="35">
        <v>20</v>
      </c>
      <c r="B23" s="36">
        <v>20</v>
      </c>
      <c r="C23" s="144">
        <v>1</v>
      </c>
      <c r="J23" s="35">
        <v>6</v>
      </c>
      <c r="K23" s="36">
        <v>6</v>
      </c>
      <c r="L23" s="37">
        <v>4</v>
      </c>
      <c r="Q23" s="35">
        <v>2</v>
      </c>
      <c r="R23" s="36">
        <v>9</v>
      </c>
      <c r="S23" s="36">
        <v>3</v>
      </c>
      <c r="T23" s="37">
        <v>1</v>
      </c>
      <c r="AD23" s="145">
        <f t="shared" si="0"/>
        <v>20</v>
      </c>
      <c r="AE23" s="35">
        <v>3</v>
      </c>
      <c r="AF23" s="37">
        <v>4</v>
      </c>
      <c r="AG23" s="35">
        <v>0</v>
      </c>
      <c r="AH23" s="36">
        <v>1</v>
      </c>
      <c r="AI23" s="36">
        <v>1</v>
      </c>
      <c r="AJ23" s="37">
        <v>1</v>
      </c>
      <c r="AK23" s="35">
        <v>3</v>
      </c>
      <c r="AL23" s="37">
        <v>1</v>
      </c>
      <c r="AQ23" s="39">
        <v>20</v>
      </c>
      <c r="AR23" s="35">
        <v>2</v>
      </c>
      <c r="AS23" s="36">
        <v>9</v>
      </c>
      <c r="AT23" s="36">
        <v>3</v>
      </c>
      <c r="AU23" s="36">
        <v>1</v>
      </c>
      <c r="AV23" s="37">
        <v>1</v>
      </c>
      <c r="AX23" s="39">
        <v>20</v>
      </c>
      <c r="AY23" s="146" t="s">
        <v>140</v>
      </c>
      <c r="AZ23" s="99" t="s">
        <v>124</v>
      </c>
      <c r="BA23" s="99" t="s">
        <v>124</v>
      </c>
      <c r="BB23" s="147" t="s">
        <v>125</v>
      </c>
      <c r="BD23" s="39">
        <v>20</v>
      </c>
      <c r="BE23" s="35">
        <v>4</v>
      </c>
      <c r="BF23" s="36">
        <v>6</v>
      </c>
      <c r="BG23" s="36">
        <v>37</v>
      </c>
      <c r="BH23" s="37">
        <v>1</v>
      </c>
      <c r="BJ23" s="35">
        <v>1</v>
      </c>
      <c r="BK23" s="36">
        <v>1</v>
      </c>
      <c r="BL23" s="36">
        <v>1</v>
      </c>
      <c r="BM23" s="36">
        <v>1</v>
      </c>
      <c r="BN23" s="37">
        <v>0</v>
      </c>
      <c r="BO23" s="39">
        <v>3</v>
      </c>
      <c r="BQ23" s="39">
        <v>2</v>
      </c>
      <c r="BR23" s="35">
        <v>1</v>
      </c>
      <c r="BS23" s="36">
        <v>1</v>
      </c>
      <c r="BT23" s="37">
        <v>1</v>
      </c>
      <c r="BU23" s="39">
        <f t="shared" si="1"/>
        <v>3</v>
      </c>
      <c r="BX23" s="101" t="s">
        <v>152</v>
      </c>
      <c r="CC23" s="140">
        <v>2</v>
      </c>
      <c r="CD23" s="35">
        <v>3</v>
      </c>
      <c r="CE23" s="36">
        <v>3</v>
      </c>
      <c r="CF23" s="36">
        <v>2</v>
      </c>
      <c r="CG23" s="37">
        <v>1</v>
      </c>
      <c r="CI23" s="140">
        <v>2</v>
      </c>
      <c r="CJ23" s="171" t="b">
        <v>1</v>
      </c>
      <c r="CK23" s="172" t="b">
        <v>1</v>
      </c>
      <c r="CL23" s="172" t="b">
        <v>1</v>
      </c>
      <c r="CM23" s="173" t="b">
        <v>1</v>
      </c>
      <c r="CQ23" s="174">
        <v>1</v>
      </c>
      <c r="CR23" s="28">
        <v>30</v>
      </c>
      <c r="CS23" s="175"/>
      <c r="CT23" s="170"/>
      <c r="CU23" s="121"/>
      <c r="CV23" s="161"/>
    </row>
    <row r="24" spans="1:100" s="3" customFormat="1" ht="19" customHeight="1" x14ac:dyDescent="0.2">
      <c r="A24" s="35">
        <v>21</v>
      </c>
      <c r="B24" s="36">
        <v>21</v>
      </c>
      <c r="C24" s="144">
        <v>7</v>
      </c>
      <c r="J24" s="35">
        <v>6</v>
      </c>
      <c r="K24" s="36">
        <v>7</v>
      </c>
      <c r="L24" s="37">
        <v>1</v>
      </c>
      <c r="Q24" s="35">
        <v>2</v>
      </c>
      <c r="R24" s="36">
        <v>9</v>
      </c>
      <c r="S24" s="36">
        <v>4</v>
      </c>
      <c r="T24" s="37">
        <v>1</v>
      </c>
      <c r="AD24" s="145">
        <f t="shared" si="0"/>
        <v>21</v>
      </c>
      <c r="AE24" s="35">
        <v>3</v>
      </c>
      <c r="AF24" s="37">
        <v>6</v>
      </c>
      <c r="AG24" s="35">
        <v>0</v>
      </c>
      <c r="AH24" s="36">
        <v>1</v>
      </c>
      <c r="AI24" s="36">
        <v>1</v>
      </c>
      <c r="AJ24" s="37">
        <v>1</v>
      </c>
      <c r="AK24" s="35">
        <v>3</v>
      </c>
      <c r="AL24" s="37">
        <v>1</v>
      </c>
      <c r="AQ24" s="39">
        <v>21</v>
      </c>
      <c r="AR24" s="35">
        <v>2</v>
      </c>
      <c r="AS24" s="36">
        <v>9</v>
      </c>
      <c r="AT24" s="36">
        <v>4</v>
      </c>
      <c r="AU24" s="36">
        <v>1</v>
      </c>
      <c r="AV24" s="37">
        <v>1</v>
      </c>
      <c r="AX24" s="39">
        <v>21</v>
      </c>
      <c r="AY24" s="146" t="s">
        <v>140</v>
      </c>
      <c r="AZ24" s="99" t="s">
        <v>124</v>
      </c>
      <c r="BA24" s="99" t="s">
        <v>124</v>
      </c>
      <c r="BB24" s="147" t="s">
        <v>125</v>
      </c>
      <c r="BD24" s="39">
        <v>21</v>
      </c>
      <c r="BE24" s="35">
        <v>4</v>
      </c>
      <c r="BF24" s="36">
        <v>7</v>
      </c>
      <c r="BG24" s="36">
        <v>37</v>
      </c>
      <c r="BH24" s="37">
        <v>1</v>
      </c>
      <c r="BJ24" s="35">
        <v>1</v>
      </c>
      <c r="BK24" s="36">
        <v>1</v>
      </c>
      <c r="BL24" s="36">
        <v>1</v>
      </c>
      <c r="BM24" s="36">
        <v>1</v>
      </c>
      <c r="BN24" s="37">
        <v>0</v>
      </c>
      <c r="BO24" s="39">
        <v>3</v>
      </c>
      <c r="BQ24" s="39">
        <v>3</v>
      </c>
      <c r="BR24" s="35">
        <v>1</v>
      </c>
      <c r="BS24" s="36">
        <v>1</v>
      </c>
      <c r="BT24" s="37">
        <v>1</v>
      </c>
      <c r="BU24" s="39">
        <f t="shared" si="1"/>
        <v>3</v>
      </c>
      <c r="BX24" s="8" t="s">
        <v>145</v>
      </c>
      <c r="CC24" s="140">
        <v>3</v>
      </c>
      <c r="CD24" s="35">
        <v>3</v>
      </c>
      <c r="CE24" s="36">
        <v>3</v>
      </c>
      <c r="CF24" s="36">
        <v>2</v>
      </c>
      <c r="CG24" s="37">
        <v>1</v>
      </c>
      <c r="CI24" s="140">
        <v>3</v>
      </c>
      <c r="CJ24" s="171" t="b">
        <v>1</v>
      </c>
      <c r="CK24" s="172" t="b">
        <v>1</v>
      </c>
      <c r="CL24" s="172" t="b">
        <v>1</v>
      </c>
      <c r="CM24" s="173" t="b">
        <v>1</v>
      </c>
      <c r="CO24" s="163" t="s">
        <v>43</v>
      </c>
      <c r="CQ24" s="176">
        <v>2</v>
      </c>
      <c r="CR24" s="39">
        <v>33</v>
      </c>
      <c r="CS24" s="175"/>
      <c r="CT24" s="170"/>
      <c r="CU24" s="121"/>
      <c r="CV24" s="161"/>
    </row>
    <row r="25" spans="1:100" s="3" customFormat="1" ht="19" customHeight="1" x14ac:dyDescent="0.2">
      <c r="A25" s="35">
        <v>22</v>
      </c>
      <c r="B25" s="36">
        <v>22</v>
      </c>
      <c r="C25" s="144">
        <v>7</v>
      </c>
      <c r="J25" s="35">
        <v>6</v>
      </c>
      <c r="K25" s="36">
        <v>7</v>
      </c>
      <c r="L25" s="37">
        <v>2</v>
      </c>
      <c r="Q25" s="35">
        <v>3</v>
      </c>
      <c r="R25" s="36">
        <v>1</v>
      </c>
      <c r="S25" s="36">
        <v>2</v>
      </c>
      <c r="T25" s="37">
        <v>3</v>
      </c>
      <c r="AD25" s="145">
        <f t="shared" si="0"/>
        <v>22</v>
      </c>
      <c r="AE25" s="35">
        <v>3</v>
      </c>
      <c r="AF25" s="37">
        <v>7</v>
      </c>
      <c r="AG25" s="35">
        <v>0</v>
      </c>
      <c r="AH25" s="36">
        <v>1</v>
      </c>
      <c r="AI25" s="36">
        <v>1</v>
      </c>
      <c r="AJ25" s="37">
        <v>1</v>
      </c>
      <c r="AK25" s="35">
        <v>3</v>
      </c>
      <c r="AL25" s="37">
        <v>1</v>
      </c>
      <c r="AQ25" s="39">
        <v>22</v>
      </c>
      <c r="AR25" s="35">
        <v>3</v>
      </c>
      <c r="AS25" s="36">
        <v>1</v>
      </c>
      <c r="AT25" s="36">
        <v>2</v>
      </c>
      <c r="AU25" s="36">
        <v>3</v>
      </c>
      <c r="AV25" s="37">
        <v>1</v>
      </c>
      <c r="AX25" s="39">
        <v>22</v>
      </c>
      <c r="AY25" s="146" t="s">
        <v>140</v>
      </c>
      <c r="AZ25" s="99" t="s">
        <v>124</v>
      </c>
      <c r="BA25" s="99" t="s">
        <v>124</v>
      </c>
      <c r="BB25" s="147" t="s">
        <v>125</v>
      </c>
      <c r="BD25" s="39">
        <v>22</v>
      </c>
      <c r="BE25" s="35">
        <v>4</v>
      </c>
      <c r="BF25" s="36">
        <v>9</v>
      </c>
      <c r="BG25" s="36">
        <v>37</v>
      </c>
      <c r="BH25" s="37">
        <v>1</v>
      </c>
      <c r="BJ25" s="35">
        <v>1</v>
      </c>
      <c r="BK25" s="36">
        <v>1</v>
      </c>
      <c r="BL25" s="36">
        <v>1</v>
      </c>
      <c r="BM25" s="36">
        <v>1</v>
      </c>
      <c r="BN25" s="37">
        <v>0</v>
      </c>
      <c r="BO25" s="39">
        <v>3</v>
      </c>
      <c r="BQ25" s="39">
        <v>4</v>
      </c>
      <c r="BR25" s="35">
        <v>1</v>
      </c>
      <c r="BS25" s="36">
        <v>0</v>
      </c>
      <c r="BT25" s="37">
        <v>1</v>
      </c>
      <c r="BU25" s="39">
        <f t="shared" si="1"/>
        <v>2</v>
      </c>
      <c r="BW25" s="8" t="s">
        <v>23</v>
      </c>
      <c r="BX25" s="96">
        <v>1</v>
      </c>
      <c r="BY25" s="97">
        <v>2</v>
      </c>
      <c r="BZ25" s="97">
        <v>3</v>
      </c>
      <c r="CA25" s="98">
        <v>4</v>
      </c>
      <c r="CC25" s="140">
        <v>4</v>
      </c>
      <c r="CD25" s="35">
        <v>2</v>
      </c>
      <c r="CE25" s="36">
        <v>2</v>
      </c>
      <c r="CF25" s="36">
        <v>1</v>
      </c>
      <c r="CG25" s="37">
        <v>1</v>
      </c>
      <c r="CI25" s="140">
        <v>4</v>
      </c>
      <c r="CJ25" s="171" t="b">
        <v>1</v>
      </c>
      <c r="CK25" s="172" t="b">
        <v>1</v>
      </c>
      <c r="CL25" s="172" t="b">
        <v>1</v>
      </c>
      <c r="CM25" s="173" t="b">
        <v>1</v>
      </c>
      <c r="CO25" s="8" t="s">
        <v>103</v>
      </c>
      <c r="CQ25" s="176">
        <v>3</v>
      </c>
      <c r="CR25" s="39">
        <v>33</v>
      </c>
      <c r="CS25" s="175"/>
      <c r="CT25" s="170"/>
      <c r="CU25" s="121"/>
      <c r="CV25" s="161"/>
    </row>
    <row r="26" spans="1:100" s="3" customFormat="1" ht="18.5" customHeight="1" x14ac:dyDescent="0.2">
      <c r="A26" s="35">
        <v>23</v>
      </c>
      <c r="B26" s="36">
        <v>23</v>
      </c>
      <c r="C26" s="144">
        <v>1</v>
      </c>
      <c r="J26" s="35">
        <v>6</v>
      </c>
      <c r="K26" s="36">
        <v>7</v>
      </c>
      <c r="L26" s="37">
        <v>3</v>
      </c>
      <c r="Q26" s="35">
        <v>3</v>
      </c>
      <c r="R26" s="36">
        <v>1</v>
      </c>
      <c r="S26" s="36">
        <v>3</v>
      </c>
      <c r="T26" s="37">
        <v>3</v>
      </c>
      <c r="AD26" s="145">
        <f t="shared" si="0"/>
        <v>23</v>
      </c>
      <c r="AE26" s="35">
        <v>3</v>
      </c>
      <c r="AF26" s="37">
        <v>9</v>
      </c>
      <c r="AG26" s="35">
        <v>0</v>
      </c>
      <c r="AH26" s="36">
        <v>1</v>
      </c>
      <c r="AI26" s="36">
        <v>1</v>
      </c>
      <c r="AJ26" s="37">
        <v>1</v>
      </c>
      <c r="AK26" s="35">
        <v>3</v>
      </c>
      <c r="AL26" s="37">
        <v>1</v>
      </c>
      <c r="AQ26" s="39">
        <v>23</v>
      </c>
      <c r="AR26" s="35">
        <v>3</v>
      </c>
      <c r="AS26" s="36">
        <v>1</v>
      </c>
      <c r="AT26" s="36">
        <v>3</v>
      </c>
      <c r="AU26" s="36">
        <v>3</v>
      </c>
      <c r="AV26" s="37">
        <v>1</v>
      </c>
      <c r="AX26" s="39">
        <v>23</v>
      </c>
      <c r="AY26" s="146" t="s">
        <v>140</v>
      </c>
      <c r="AZ26" s="99" t="s">
        <v>124</v>
      </c>
      <c r="BA26" s="99" t="s">
        <v>124</v>
      </c>
      <c r="BB26" s="147" t="s">
        <v>125</v>
      </c>
      <c r="BD26" s="39">
        <v>23</v>
      </c>
      <c r="BE26" s="35">
        <v>6</v>
      </c>
      <c r="BF26" s="36">
        <v>1</v>
      </c>
      <c r="BG26" s="36">
        <v>37</v>
      </c>
      <c r="BH26" s="37">
        <v>3</v>
      </c>
      <c r="BJ26" s="35">
        <v>1</v>
      </c>
      <c r="BK26" s="36">
        <v>1</v>
      </c>
      <c r="BL26" s="36">
        <v>1</v>
      </c>
      <c r="BM26" s="36">
        <v>1</v>
      </c>
      <c r="BN26" s="37">
        <v>0</v>
      </c>
      <c r="BO26" s="39">
        <v>3</v>
      </c>
      <c r="BQ26" s="39">
        <v>5</v>
      </c>
      <c r="BR26" s="35">
        <v>1</v>
      </c>
      <c r="BS26" s="36">
        <v>0</v>
      </c>
      <c r="BT26" s="37">
        <v>0</v>
      </c>
      <c r="BU26" s="39">
        <f t="shared" si="1"/>
        <v>1</v>
      </c>
      <c r="BW26" s="136">
        <v>1</v>
      </c>
      <c r="BX26" s="137">
        <v>1</v>
      </c>
      <c r="BY26" s="138">
        <v>1</v>
      </c>
      <c r="BZ26" s="138">
        <v>0</v>
      </c>
      <c r="CA26" s="139">
        <v>0</v>
      </c>
      <c r="CC26" s="140">
        <v>5</v>
      </c>
      <c r="CD26" s="35">
        <v>1</v>
      </c>
      <c r="CE26" s="36">
        <v>1</v>
      </c>
      <c r="CF26" s="36">
        <v>0</v>
      </c>
      <c r="CG26" s="37">
        <v>0</v>
      </c>
      <c r="CI26" s="140">
        <v>5</v>
      </c>
      <c r="CJ26" s="171" t="b">
        <v>1</v>
      </c>
      <c r="CK26" s="172" t="b">
        <v>1</v>
      </c>
      <c r="CL26" s="172" t="b">
        <v>0</v>
      </c>
      <c r="CM26" s="173" t="b">
        <v>0</v>
      </c>
      <c r="CO26" s="28">
        <v>15</v>
      </c>
      <c r="CQ26" s="176">
        <v>4</v>
      </c>
      <c r="CR26" s="39">
        <v>33</v>
      </c>
      <c r="CS26" s="175"/>
      <c r="CT26" s="170"/>
      <c r="CU26" s="121"/>
      <c r="CV26" s="161"/>
    </row>
    <row r="27" spans="1:100" s="3" customFormat="1" ht="20.75" customHeight="1" x14ac:dyDescent="0.25">
      <c r="A27" s="35">
        <v>24</v>
      </c>
      <c r="B27" s="36">
        <v>24</v>
      </c>
      <c r="C27" s="144">
        <v>7</v>
      </c>
      <c r="J27" s="35">
        <v>6</v>
      </c>
      <c r="K27" s="36">
        <v>7</v>
      </c>
      <c r="L27" s="37">
        <v>4</v>
      </c>
      <c r="Q27" s="35">
        <v>3</v>
      </c>
      <c r="R27" s="36">
        <v>1</v>
      </c>
      <c r="S27" s="36">
        <v>4</v>
      </c>
      <c r="T27" s="37">
        <v>3</v>
      </c>
      <c r="AD27" s="145">
        <f t="shared" si="0"/>
        <v>24</v>
      </c>
      <c r="AE27" s="35">
        <v>1</v>
      </c>
      <c r="AF27" s="37">
        <v>1</v>
      </c>
      <c r="AG27" s="35">
        <v>0</v>
      </c>
      <c r="AH27" s="36">
        <v>0</v>
      </c>
      <c r="AI27" s="36">
        <v>1</v>
      </c>
      <c r="AJ27" s="37">
        <v>1</v>
      </c>
      <c r="AK27" s="35">
        <v>2</v>
      </c>
      <c r="AL27" s="37">
        <v>2</v>
      </c>
      <c r="AQ27" s="39">
        <v>24</v>
      </c>
      <c r="AR27" s="35">
        <v>3</v>
      </c>
      <c r="AS27" s="36">
        <v>1</v>
      </c>
      <c r="AT27" s="36">
        <v>4</v>
      </c>
      <c r="AU27" s="36">
        <v>3</v>
      </c>
      <c r="AV27" s="37">
        <v>1</v>
      </c>
      <c r="AX27" s="39">
        <v>24</v>
      </c>
      <c r="AY27" s="146" t="s">
        <v>140</v>
      </c>
      <c r="AZ27" s="99" t="s">
        <v>124</v>
      </c>
      <c r="BA27" s="99" t="s">
        <v>124</v>
      </c>
      <c r="BB27" s="147" t="s">
        <v>125</v>
      </c>
      <c r="BD27" s="39">
        <v>24</v>
      </c>
      <c r="BE27" s="35">
        <v>6</v>
      </c>
      <c r="BF27" s="36">
        <v>2</v>
      </c>
      <c r="BG27" s="36">
        <v>37</v>
      </c>
      <c r="BH27" s="37">
        <v>3</v>
      </c>
      <c r="BJ27" s="35">
        <v>4</v>
      </c>
      <c r="BK27" s="36">
        <v>1</v>
      </c>
      <c r="BL27" s="36">
        <v>1</v>
      </c>
      <c r="BM27" s="36">
        <v>0</v>
      </c>
      <c r="BN27" s="37">
        <v>0</v>
      </c>
      <c r="BO27" s="39">
        <v>2</v>
      </c>
      <c r="BQ27" s="39">
        <v>6</v>
      </c>
      <c r="BR27" s="35">
        <v>1</v>
      </c>
      <c r="BS27" s="36">
        <v>0</v>
      </c>
      <c r="BT27" s="37">
        <v>0</v>
      </c>
      <c r="BU27" s="39">
        <f t="shared" si="1"/>
        <v>1</v>
      </c>
      <c r="BV27" s="177" t="s">
        <v>153</v>
      </c>
      <c r="BW27" s="148">
        <v>2</v>
      </c>
      <c r="BX27" s="149">
        <v>1</v>
      </c>
      <c r="BY27" s="150">
        <v>1</v>
      </c>
      <c r="BZ27" s="150">
        <v>1</v>
      </c>
      <c r="CA27" s="151">
        <v>0</v>
      </c>
      <c r="CB27" s="178" t="s">
        <v>154</v>
      </c>
      <c r="CC27" s="140">
        <v>6</v>
      </c>
      <c r="CD27" s="35">
        <v>1</v>
      </c>
      <c r="CE27" s="36">
        <v>1</v>
      </c>
      <c r="CF27" s="36">
        <v>0</v>
      </c>
      <c r="CG27" s="37">
        <v>0</v>
      </c>
      <c r="CH27" s="119" t="s">
        <v>155</v>
      </c>
      <c r="CI27" s="140">
        <v>6</v>
      </c>
      <c r="CJ27" s="171" t="b">
        <v>1</v>
      </c>
      <c r="CK27" s="172" t="b">
        <v>1</v>
      </c>
      <c r="CL27" s="172" t="b">
        <v>0</v>
      </c>
      <c r="CM27" s="173" t="b">
        <v>0</v>
      </c>
      <c r="CN27" s="178" t="s">
        <v>153</v>
      </c>
      <c r="CO27" s="39">
        <v>10</v>
      </c>
      <c r="CP27" s="119" t="s">
        <v>154</v>
      </c>
      <c r="CQ27" s="176">
        <v>5</v>
      </c>
      <c r="CR27" s="39">
        <v>25</v>
      </c>
      <c r="CS27" s="175"/>
      <c r="CT27" s="170"/>
      <c r="CU27" s="121"/>
      <c r="CV27" s="161"/>
    </row>
    <row r="28" spans="1:100" s="3" customFormat="1" ht="18.5" customHeight="1" x14ac:dyDescent="0.2">
      <c r="A28" s="35">
        <v>25</v>
      </c>
      <c r="B28" s="36">
        <v>25</v>
      </c>
      <c r="C28" s="144">
        <v>7</v>
      </c>
      <c r="J28" s="35">
        <v>6</v>
      </c>
      <c r="K28" s="36">
        <v>9</v>
      </c>
      <c r="L28" s="37">
        <v>1</v>
      </c>
      <c r="Q28" s="35">
        <v>3</v>
      </c>
      <c r="R28" s="36">
        <v>2</v>
      </c>
      <c r="S28" s="36">
        <v>2</v>
      </c>
      <c r="T28" s="37">
        <v>3</v>
      </c>
      <c r="AD28" s="145">
        <f t="shared" si="0"/>
        <v>25</v>
      </c>
      <c r="AE28" s="35">
        <v>1</v>
      </c>
      <c r="AF28" s="37">
        <v>2</v>
      </c>
      <c r="AG28" s="35">
        <v>0</v>
      </c>
      <c r="AH28" s="36">
        <v>0</v>
      </c>
      <c r="AI28" s="36">
        <v>1</v>
      </c>
      <c r="AJ28" s="37">
        <v>1</v>
      </c>
      <c r="AK28" s="35">
        <v>2</v>
      </c>
      <c r="AL28" s="37">
        <v>2</v>
      </c>
      <c r="AQ28" s="39">
        <v>25</v>
      </c>
      <c r="AR28" s="35">
        <v>3</v>
      </c>
      <c r="AS28" s="36">
        <v>2</v>
      </c>
      <c r="AT28" s="36">
        <v>2</v>
      </c>
      <c r="AU28" s="36">
        <v>3</v>
      </c>
      <c r="AV28" s="37">
        <v>1</v>
      </c>
      <c r="AX28" s="39">
        <v>25</v>
      </c>
      <c r="AY28" s="146" t="s">
        <v>140</v>
      </c>
      <c r="AZ28" s="99" t="s">
        <v>124</v>
      </c>
      <c r="BA28" s="99" t="s">
        <v>124</v>
      </c>
      <c r="BB28" s="147" t="s">
        <v>125</v>
      </c>
      <c r="BD28" s="39">
        <v>25</v>
      </c>
      <c r="BE28" s="35">
        <v>6</v>
      </c>
      <c r="BF28" s="36">
        <v>4</v>
      </c>
      <c r="BG28" s="36">
        <v>37</v>
      </c>
      <c r="BH28" s="37">
        <v>3</v>
      </c>
      <c r="BJ28" s="35">
        <v>4</v>
      </c>
      <c r="BK28" s="36">
        <v>1</v>
      </c>
      <c r="BL28" s="36">
        <v>1</v>
      </c>
      <c r="BM28" s="36">
        <v>0</v>
      </c>
      <c r="BN28" s="37">
        <v>0</v>
      </c>
      <c r="BO28" s="39">
        <v>2</v>
      </c>
      <c r="BQ28" s="39">
        <v>7</v>
      </c>
      <c r="BR28" s="35">
        <v>0</v>
      </c>
      <c r="BS28" s="36">
        <v>1</v>
      </c>
      <c r="BT28" s="37">
        <v>1</v>
      </c>
      <c r="BU28" s="39">
        <f t="shared" si="1"/>
        <v>2</v>
      </c>
      <c r="BW28" s="157">
        <v>3</v>
      </c>
      <c r="BX28" s="158">
        <v>1</v>
      </c>
      <c r="BY28" s="159">
        <v>1</v>
      </c>
      <c r="BZ28" s="159">
        <v>1</v>
      </c>
      <c r="CA28" s="160">
        <v>1</v>
      </c>
      <c r="CC28" s="140">
        <v>7</v>
      </c>
      <c r="CD28" s="35">
        <v>2</v>
      </c>
      <c r="CE28" s="36">
        <v>2</v>
      </c>
      <c r="CF28" s="36">
        <v>2</v>
      </c>
      <c r="CG28" s="37">
        <v>1</v>
      </c>
      <c r="CI28" s="140">
        <v>7</v>
      </c>
      <c r="CJ28" s="171" t="b">
        <v>1</v>
      </c>
      <c r="CK28" s="172" t="b">
        <v>1</v>
      </c>
      <c r="CL28" s="172" t="b">
        <v>1</v>
      </c>
      <c r="CM28" s="173" t="b">
        <v>1</v>
      </c>
      <c r="CO28" s="39">
        <v>5</v>
      </c>
      <c r="CQ28" s="176">
        <v>6</v>
      </c>
      <c r="CR28" s="39">
        <v>25</v>
      </c>
      <c r="CS28" s="175"/>
      <c r="CT28" s="170"/>
      <c r="CU28" s="121"/>
      <c r="CV28" s="161"/>
    </row>
    <row r="29" spans="1:100" s="3" customFormat="1" ht="19" customHeight="1" x14ac:dyDescent="0.2">
      <c r="A29" s="35">
        <v>26</v>
      </c>
      <c r="B29" s="36">
        <v>26</v>
      </c>
      <c r="C29" s="144">
        <v>82</v>
      </c>
      <c r="J29" s="35">
        <v>6</v>
      </c>
      <c r="K29" s="36">
        <v>9</v>
      </c>
      <c r="L29" s="37">
        <v>2</v>
      </c>
      <c r="Q29" s="35">
        <v>3</v>
      </c>
      <c r="R29" s="36">
        <v>2</v>
      </c>
      <c r="S29" s="36">
        <v>3</v>
      </c>
      <c r="T29" s="37">
        <v>3</v>
      </c>
      <c r="AD29" s="145">
        <f t="shared" si="0"/>
        <v>26</v>
      </c>
      <c r="AE29" s="35">
        <v>1</v>
      </c>
      <c r="AF29" s="37">
        <v>4</v>
      </c>
      <c r="AG29" s="35">
        <v>0</v>
      </c>
      <c r="AH29" s="36">
        <v>0</v>
      </c>
      <c r="AI29" s="36">
        <v>1</v>
      </c>
      <c r="AJ29" s="37">
        <v>1</v>
      </c>
      <c r="AK29" s="35">
        <v>2</v>
      </c>
      <c r="AL29" s="37">
        <v>2</v>
      </c>
      <c r="AQ29" s="39">
        <v>26</v>
      </c>
      <c r="AR29" s="35">
        <v>3</v>
      </c>
      <c r="AS29" s="36">
        <v>2</v>
      </c>
      <c r="AT29" s="36">
        <v>3</v>
      </c>
      <c r="AU29" s="36">
        <v>3</v>
      </c>
      <c r="AV29" s="37">
        <v>1</v>
      </c>
      <c r="AX29" s="39">
        <v>26</v>
      </c>
      <c r="AY29" s="146" t="s">
        <v>140</v>
      </c>
      <c r="AZ29" s="99" t="s">
        <v>124</v>
      </c>
      <c r="BA29" s="99" t="s">
        <v>124</v>
      </c>
      <c r="BB29" s="147" t="s">
        <v>125</v>
      </c>
      <c r="BD29" s="39">
        <v>26</v>
      </c>
      <c r="BE29" s="35">
        <v>6</v>
      </c>
      <c r="BF29" s="36">
        <v>6</v>
      </c>
      <c r="BG29" s="36">
        <v>37</v>
      </c>
      <c r="BH29" s="37">
        <v>3</v>
      </c>
      <c r="BJ29" s="35">
        <v>4</v>
      </c>
      <c r="BK29" s="36">
        <v>1</v>
      </c>
      <c r="BL29" s="36">
        <v>1</v>
      </c>
      <c r="BM29" s="36">
        <v>0</v>
      </c>
      <c r="BN29" s="37">
        <v>0</v>
      </c>
      <c r="BO29" s="39">
        <v>2</v>
      </c>
      <c r="BQ29" s="39">
        <v>8</v>
      </c>
      <c r="BR29" s="35">
        <v>0</v>
      </c>
      <c r="BS29" s="36">
        <v>1</v>
      </c>
      <c r="BT29" s="37">
        <v>1</v>
      </c>
      <c r="BU29" s="39">
        <f t="shared" si="1"/>
        <v>2</v>
      </c>
      <c r="CC29" s="140">
        <v>8</v>
      </c>
      <c r="CD29" s="35">
        <v>2</v>
      </c>
      <c r="CE29" s="36">
        <v>2</v>
      </c>
      <c r="CF29" s="36">
        <v>2</v>
      </c>
      <c r="CG29" s="37">
        <v>1</v>
      </c>
      <c r="CI29" s="140">
        <v>8</v>
      </c>
      <c r="CJ29" s="171" t="b">
        <v>1</v>
      </c>
      <c r="CK29" s="172" t="b">
        <v>1</v>
      </c>
      <c r="CL29" s="172" t="b">
        <v>1</v>
      </c>
      <c r="CM29" s="173" t="b">
        <v>1</v>
      </c>
      <c r="CO29" s="56">
        <v>3</v>
      </c>
      <c r="CQ29" s="176">
        <v>7</v>
      </c>
      <c r="CR29" s="39">
        <v>33</v>
      </c>
      <c r="CS29" s="175"/>
      <c r="CT29" s="170"/>
      <c r="CU29" s="121"/>
      <c r="CV29" s="161"/>
    </row>
    <row r="30" spans="1:100" s="3" customFormat="1" ht="19" customHeight="1" x14ac:dyDescent="0.2">
      <c r="A30" s="35">
        <v>27</v>
      </c>
      <c r="B30" s="36">
        <v>27</v>
      </c>
      <c r="C30" s="144">
        <v>1</v>
      </c>
      <c r="J30" s="35">
        <v>6</v>
      </c>
      <c r="K30" s="36">
        <v>9</v>
      </c>
      <c r="L30" s="37">
        <v>3</v>
      </c>
      <c r="Q30" s="35">
        <v>3</v>
      </c>
      <c r="R30" s="36">
        <v>2</v>
      </c>
      <c r="S30" s="36">
        <v>4</v>
      </c>
      <c r="T30" s="37">
        <v>3</v>
      </c>
      <c r="AD30" s="145">
        <f t="shared" si="0"/>
        <v>27</v>
      </c>
      <c r="AE30" s="35">
        <v>1</v>
      </c>
      <c r="AF30" s="37">
        <v>6</v>
      </c>
      <c r="AG30" s="35">
        <v>0</v>
      </c>
      <c r="AH30" s="36">
        <v>0</v>
      </c>
      <c r="AI30" s="36">
        <v>1</v>
      </c>
      <c r="AJ30" s="37">
        <v>1</v>
      </c>
      <c r="AK30" s="35">
        <v>2</v>
      </c>
      <c r="AL30" s="37">
        <v>2</v>
      </c>
      <c r="AQ30" s="39">
        <v>27</v>
      </c>
      <c r="AR30" s="35">
        <v>3</v>
      </c>
      <c r="AS30" s="36">
        <v>2</v>
      </c>
      <c r="AT30" s="36">
        <v>4</v>
      </c>
      <c r="AU30" s="36">
        <v>3</v>
      </c>
      <c r="AV30" s="37">
        <v>1</v>
      </c>
      <c r="AX30" s="39">
        <v>27</v>
      </c>
      <c r="AY30" s="146" t="s">
        <v>140</v>
      </c>
      <c r="AZ30" s="99" t="s">
        <v>124</v>
      </c>
      <c r="BA30" s="99" t="s">
        <v>124</v>
      </c>
      <c r="BB30" s="147" t="s">
        <v>125</v>
      </c>
      <c r="BD30" s="39">
        <v>27</v>
      </c>
      <c r="BE30" s="35">
        <v>6</v>
      </c>
      <c r="BF30" s="36">
        <v>7</v>
      </c>
      <c r="BG30" s="36">
        <v>37</v>
      </c>
      <c r="BH30" s="37">
        <v>3</v>
      </c>
      <c r="BJ30" s="35">
        <v>4</v>
      </c>
      <c r="BK30" s="36">
        <v>1</v>
      </c>
      <c r="BL30" s="36">
        <v>1</v>
      </c>
      <c r="BM30" s="36">
        <v>0</v>
      </c>
      <c r="BN30" s="37">
        <v>0</v>
      </c>
      <c r="BO30" s="39">
        <v>2</v>
      </c>
      <c r="BQ30" s="56">
        <v>9</v>
      </c>
      <c r="BR30" s="32">
        <v>0</v>
      </c>
      <c r="BS30" s="33">
        <v>1</v>
      </c>
      <c r="BT30" s="34">
        <v>1</v>
      </c>
      <c r="BU30" s="56">
        <f t="shared" si="1"/>
        <v>2</v>
      </c>
      <c r="CC30" s="153">
        <v>9</v>
      </c>
      <c r="CD30" s="32">
        <v>2</v>
      </c>
      <c r="CE30" s="33">
        <v>2</v>
      </c>
      <c r="CF30" s="33">
        <v>2</v>
      </c>
      <c r="CG30" s="34">
        <v>1</v>
      </c>
      <c r="CI30" s="153">
        <v>9</v>
      </c>
      <c r="CJ30" s="179" t="b">
        <v>1</v>
      </c>
      <c r="CK30" s="180" t="b">
        <v>1</v>
      </c>
      <c r="CL30" s="180" t="b">
        <v>1</v>
      </c>
      <c r="CM30" s="181" t="b">
        <v>1</v>
      </c>
      <c r="CQ30" s="176">
        <v>8</v>
      </c>
      <c r="CR30" s="39">
        <v>33</v>
      </c>
      <c r="CS30" s="175"/>
      <c r="CT30" s="170"/>
      <c r="CU30" s="121"/>
      <c r="CV30" s="161"/>
    </row>
    <row r="31" spans="1:100" s="3" customFormat="1" ht="19" customHeight="1" x14ac:dyDescent="0.2">
      <c r="A31" s="35">
        <v>28</v>
      </c>
      <c r="B31" s="36">
        <v>28</v>
      </c>
      <c r="C31" s="144">
        <v>34</v>
      </c>
      <c r="J31" s="35">
        <v>6</v>
      </c>
      <c r="K31" s="36">
        <v>9</v>
      </c>
      <c r="L31" s="37">
        <v>4</v>
      </c>
      <c r="Q31" s="35">
        <v>3</v>
      </c>
      <c r="R31" s="36">
        <v>4</v>
      </c>
      <c r="S31" s="36">
        <v>2</v>
      </c>
      <c r="T31" s="37">
        <v>3</v>
      </c>
      <c r="AD31" s="145">
        <f t="shared" si="0"/>
        <v>28</v>
      </c>
      <c r="AE31" s="35">
        <v>1</v>
      </c>
      <c r="AF31" s="37">
        <v>7</v>
      </c>
      <c r="AG31" s="35">
        <v>0</v>
      </c>
      <c r="AH31" s="36">
        <v>0</v>
      </c>
      <c r="AI31" s="36">
        <v>1</v>
      </c>
      <c r="AJ31" s="37">
        <v>1</v>
      </c>
      <c r="AK31" s="35">
        <v>2</v>
      </c>
      <c r="AL31" s="37">
        <v>2</v>
      </c>
      <c r="AQ31" s="39">
        <v>28</v>
      </c>
      <c r="AR31" s="35">
        <v>3</v>
      </c>
      <c r="AS31" s="36">
        <v>4</v>
      </c>
      <c r="AT31" s="36">
        <v>2</v>
      </c>
      <c r="AU31" s="36">
        <v>3</v>
      </c>
      <c r="AV31" s="37">
        <v>1</v>
      </c>
      <c r="AX31" s="39">
        <v>28</v>
      </c>
      <c r="AY31" s="146" t="s">
        <v>140</v>
      </c>
      <c r="AZ31" s="99" t="s">
        <v>124</v>
      </c>
      <c r="BA31" s="99" t="s">
        <v>124</v>
      </c>
      <c r="BB31" s="147" t="s">
        <v>125</v>
      </c>
      <c r="BD31" s="39">
        <v>28</v>
      </c>
      <c r="BE31" s="35">
        <v>6</v>
      </c>
      <c r="BF31" s="36">
        <v>9</v>
      </c>
      <c r="BG31" s="36">
        <v>37</v>
      </c>
      <c r="BH31" s="37">
        <v>3</v>
      </c>
      <c r="BJ31" s="35">
        <v>4</v>
      </c>
      <c r="BK31" s="36">
        <v>1</v>
      </c>
      <c r="BL31" s="36">
        <v>1</v>
      </c>
      <c r="BM31" s="36">
        <v>0</v>
      </c>
      <c r="BN31" s="37">
        <v>0</v>
      </c>
      <c r="BO31" s="39">
        <v>2</v>
      </c>
      <c r="BQ31" s="8" t="s">
        <v>74</v>
      </c>
      <c r="BR31" s="9">
        <f>SUM(BR22:BR30)</f>
        <v>6</v>
      </c>
      <c r="BS31" s="10">
        <f>SUM(BS22:BS30)</f>
        <v>6</v>
      </c>
      <c r="BT31" s="11">
        <f>SUM(BT22:BT30)</f>
        <v>6</v>
      </c>
      <c r="BU31" s="94">
        <f t="shared" si="1"/>
        <v>18</v>
      </c>
      <c r="CQ31" s="182">
        <v>9</v>
      </c>
      <c r="CR31" s="56">
        <v>33</v>
      </c>
      <c r="CS31" s="175"/>
      <c r="CT31" s="124"/>
    </row>
    <row r="32" spans="1:100" s="3" customFormat="1" ht="19" customHeight="1" x14ac:dyDescent="0.2">
      <c r="A32" s="35">
        <v>29</v>
      </c>
      <c r="B32" s="36">
        <v>29</v>
      </c>
      <c r="C32" s="144">
        <v>1</v>
      </c>
      <c r="J32" s="35">
        <v>4</v>
      </c>
      <c r="K32" s="36">
        <v>1</v>
      </c>
      <c r="L32" s="37">
        <v>1</v>
      </c>
      <c r="Q32" s="35">
        <v>3</v>
      </c>
      <c r="R32" s="36">
        <v>4</v>
      </c>
      <c r="S32" s="36">
        <v>3</v>
      </c>
      <c r="T32" s="37">
        <v>3</v>
      </c>
      <c r="AD32" s="145">
        <f t="shared" si="0"/>
        <v>29</v>
      </c>
      <c r="AE32" s="35">
        <v>1</v>
      </c>
      <c r="AF32" s="37">
        <v>9</v>
      </c>
      <c r="AG32" s="35">
        <v>0</v>
      </c>
      <c r="AH32" s="36">
        <v>0</v>
      </c>
      <c r="AI32" s="36">
        <v>1</v>
      </c>
      <c r="AJ32" s="37">
        <v>1</v>
      </c>
      <c r="AK32" s="35">
        <v>2</v>
      </c>
      <c r="AL32" s="37">
        <v>2</v>
      </c>
      <c r="AQ32" s="39">
        <v>29</v>
      </c>
      <c r="AR32" s="35">
        <v>3</v>
      </c>
      <c r="AS32" s="36">
        <v>4</v>
      </c>
      <c r="AT32" s="36">
        <v>3</v>
      </c>
      <c r="AU32" s="36">
        <v>3</v>
      </c>
      <c r="AV32" s="37">
        <v>1</v>
      </c>
      <c r="AX32" s="39">
        <v>29</v>
      </c>
      <c r="AY32" s="146" t="s">
        <v>122</v>
      </c>
      <c r="AZ32" s="99" t="s">
        <v>123</v>
      </c>
      <c r="BA32" s="99" t="s">
        <v>124</v>
      </c>
      <c r="BB32" s="147" t="s">
        <v>125</v>
      </c>
      <c r="BD32" s="39">
        <v>29</v>
      </c>
      <c r="BE32" s="35">
        <v>7</v>
      </c>
      <c r="BF32" s="36">
        <v>1</v>
      </c>
      <c r="BG32" s="36">
        <v>4</v>
      </c>
      <c r="BH32" s="37">
        <v>13</v>
      </c>
      <c r="BJ32" s="35">
        <v>4</v>
      </c>
      <c r="BK32" s="36">
        <v>1</v>
      </c>
      <c r="BL32" s="36">
        <v>1</v>
      </c>
      <c r="BM32" s="36">
        <v>0</v>
      </c>
      <c r="BN32" s="37">
        <v>0</v>
      </c>
      <c r="BO32" s="39">
        <v>2</v>
      </c>
      <c r="CQ32" s="8" t="s">
        <v>74</v>
      </c>
      <c r="CR32" s="94">
        <f>SUM(CR23:CR31)</f>
        <v>278</v>
      </c>
      <c r="CS32" s="175"/>
      <c r="CT32" s="124"/>
    </row>
    <row r="33" spans="1:121" s="3" customFormat="1" ht="18.5" customHeight="1" x14ac:dyDescent="0.2">
      <c r="A33" s="35">
        <v>30</v>
      </c>
      <c r="B33" s="36">
        <v>30</v>
      </c>
      <c r="C33" s="144">
        <v>16</v>
      </c>
      <c r="J33" s="35">
        <v>4</v>
      </c>
      <c r="K33" s="36">
        <v>1</v>
      </c>
      <c r="L33" s="37">
        <v>2</v>
      </c>
      <c r="Q33" s="35">
        <v>3</v>
      </c>
      <c r="R33" s="36">
        <v>4</v>
      </c>
      <c r="S33" s="36">
        <v>4</v>
      </c>
      <c r="T33" s="37">
        <v>3</v>
      </c>
      <c r="AD33" s="145">
        <f t="shared" si="0"/>
        <v>30</v>
      </c>
      <c r="AE33" s="35">
        <v>7</v>
      </c>
      <c r="AF33" s="37">
        <v>1</v>
      </c>
      <c r="AG33" s="35">
        <v>0</v>
      </c>
      <c r="AH33" s="36">
        <v>0</v>
      </c>
      <c r="AI33" s="36">
        <v>1</v>
      </c>
      <c r="AJ33" s="37">
        <v>1</v>
      </c>
      <c r="AK33" s="35">
        <v>2</v>
      </c>
      <c r="AL33" s="37">
        <v>2</v>
      </c>
      <c r="AQ33" s="39">
        <v>30</v>
      </c>
      <c r="AR33" s="35">
        <v>3</v>
      </c>
      <c r="AS33" s="36">
        <v>4</v>
      </c>
      <c r="AT33" s="36">
        <v>4</v>
      </c>
      <c r="AU33" s="36">
        <v>3</v>
      </c>
      <c r="AV33" s="37">
        <v>1</v>
      </c>
      <c r="AX33" s="39">
        <v>30</v>
      </c>
      <c r="AY33" s="146" t="s">
        <v>122</v>
      </c>
      <c r="AZ33" s="99" t="s">
        <v>123</v>
      </c>
      <c r="BA33" s="99" t="s">
        <v>124</v>
      </c>
      <c r="BB33" s="147" t="s">
        <v>125</v>
      </c>
      <c r="BD33" s="39">
        <v>30</v>
      </c>
      <c r="BE33" s="35">
        <v>7</v>
      </c>
      <c r="BF33" s="36">
        <v>2</v>
      </c>
      <c r="BG33" s="36">
        <v>4</v>
      </c>
      <c r="BH33" s="37">
        <v>13</v>
      </c>
      <c r="BJ33" s="35">
        <v>4</v>
      </c>
      <c r="BK33" s="36">
        <v>1</v>
      </c>
      <c r="BL33" s="36">
        <v>1</v>
      </c>
      <c r="BM33" s="36">
        <v>0</v>
      </c>
      <c r="BN33" s="37">
        <v>0</v>
      </c>
      <c r="BO33" s="39">
        <v>2</v>
      </c>
      <c r="BR33" s="21"/>
      <c r="BS33" s="21"/>
      <c r="BT33" s="21"/>
    </row>
    <row r="34" spans="1:121" s="3" customFormat="1" ht="18" customHeight="1" x14ac:dyDescent="0.2">
      <c r="A34" s="35">
        <v>31</v>
      </c>
      <c r="B34" s="36">
        <v>31</v>
      </c>
      <c r="C34" s="144">
        <v>7</v>
      </c>
      <c r="J34" s="35">
        <v>4</v>
      </c>
      <c r="K34" s="36">
        <v>1</v>
      </c>
      <c r="L34" s="37">
        <v>3</v>
      </c>
      <c r="Q34" s="35">
        <v>3</v>
      </c>
      <c r="R34" s="36">
        <v>6</v>
      </c>
      <c r="S34" s="36">
        <v>2</v>
      </c>
      <c r="T34" s="37">
        <v>3</v>
      </c>
      <c r="AD34" s="145">
        <f t="shared" si="0"/>
        <v>31</v>
      </c>
      <c r="AE34" s="35">
        <v>7</v>
      </c>
      <c r="AF34" s="37">
        <v>2</v>
      </c>
      <c r="AG34" s="35">
        <v>0</v>
      </c>
      <c r="AH34" s="36">
        <v>0</v>
      </c>
      <c r="AI34" s="36">
        <v>1</v>
      </c>
      <c r="AJ34" s="37">
        <v>1</v>
      </c>
      <c r="AK34" s="35">
        <v>2</v>
      </c>
      <c r="AL34" s="37">
        <v>2</v>
      </c>
      <c r="AQ34" s="39">
        <v>31</v>
      </c>
      <c r="AR34" s="35">
        <v>3</v>
      </c>
      <c r="AS34" s="36">
        <v>6</v>
      </c>
      <c r="AT34" s="36">
        <v>2</v>
      </c>
      <c r="AU34" s="36">
        <v>3</v>
      </c>
      <c r="AV34" s="37">
        <v>1</v>
      </c>
      <c r="AX34" s="39">
        <v>31</v>
      </c>
      <c r="AY34" s="146" t="s">
        <v>122</v>
      </c>
      <c r="AZ34" s="99" t="s">
        <v>123</v>
      </c>
      <c r="BA34" s="99" t="s">
        <v>124</v>
      </c>
      <c r="BB34" s="147" t="s">
        <v>125</v>
      </c>
      <c r="BD34" s="39">
        <v>31</v>
      </c>
      <c r="BE34" s="35">
        <v>7</v>
      </c>
      <c r="BF34" s="36">
        <v>3</v>
      </c>
      <c r="BG34" s="36">
        <v>4</v>
      </c>
      <c r="BH34" s="37">
        <v>13</v>
      </c>
      <c r="BJ34" s="35">
        <v>4</v>
      </c>
      <c r="BK34" s="36">
        <v>1</v>
      </c>
      <c r="BL34" s="36">
        <v>1</v>
      </c>
      <c r="BM34" s="36">
        <v>0</v>
      </c>
      <c r="BN34" s="37">
        <v>0</v>
      </c>
      <c r="BO34" s="39">
        <v>2</v>
      </c>
      <c r="BR34" s="21"/>
      <c r="BS34" s="21"/>
      <c r="BT34" s="21"/>
    </row>
    <row r="35" spans="1:121" s="3" customFormat="1" ht="18" customHeight="1" x14ac:dyDescent="0.2">
      <c r="A35" s="35">
        <v>32</v>
      </c>
      <c r="B35" s="36">
        <v>32</v>
      </c>
      <c r="C35" s="144">
        <v>7</v>
      </c>
      <c r="J35" s="35">
        <v>4</v>
      </c>
      <c r="K35" s="36">
        <v>1</v>
      </c>
      <c r="L35" s="37">
        <v>4</v>
      </c>
      <c r="Q35" s="35">
        <v>3</v>
      </c>
      <c r="R35" s="36">
        <v>6</v>
      </c>
      <c r="S35" s="36">
        <v>3</v>
      </c>
      <c r="T35" s="37">
        <v>3</v>
      </c>
      <c r="AD35" s="145">
        <f t="shared" si="0"/>
        <v>32</v>
      </c>
      <c r="AE35" s="35">
        <v>7</v>
      </c>
      <c r="AF35" s="37">
        <v>3</v>
      </c>
      <c r="AG35" s="35">
        <v>0</v>
      </c>
      <c r="AH35" s="36">
        <v>0</v>
      </c>
      <c r="AI35" s="36">
        <v>1</v>
      </c>
      <c r="AJ35" s="37">
        <v>1</v>
      </c>
      <c r="AK35" s="35">
        <v>2</v>
      </c>
      <c r="AL35" s="37">
        <v>2</v>
      </c>
      <c r="AQ35" s="39">
        <v>32</v>
      </c>
      <c r="AR35" s="35">
        <v>3</v>
      </c>
      <c r="AS35" s="36">
        <v>6</v>
      </c>
      <c r="AT35" s="36">
        <v>3</v>
      </c>
      <c r="AU35" s="36">
        <v>3</v>
      </c>
      <c r="AV35" s="37">
        <v>1</v>
      </c>
      <c r="AX35" s="39">
        <v>32</v>
      </c>
      <c r="AY35" s="146" t="s">
        <v>122</v>
      </c>
      <c r="AZ35" s="99" t="s">
        <v>123</v>
      </c>
      <c r="BA35" s="99" t="s">
        <v>124</v>
      </c>
      <c r="BB35" s="147" t="s">
        <v>125</v>
      </c>
      <c r="BD35" s="39">
        <v>32</v>
      </c>
      <c r="BE35" s="35">
        <v>7</v>
      </c>
      <c r="BF35" s="36">
        <v>4</v>
      </c>
      <c r="BG35" s="36">
        <v>4</v>
      </c>
      <c r="BH35" s="37">
        <v>13</v>
      </c>
      <c r="BJ35" s="35">
        <v>4</v>
      </c>
      <c r="BK35" s="36">
        <v>1</v>
      </c>
      <c r="BL35" s="36">
        <v>1</v>
      </c>
      <c r="BM35" s="36">
        <v>0</v>
      </c>
      <c r="BN35" s="37">
        <v>0</v>
      </c>
      <c r="BO35" s="39">
        <v>2</v>
      </c>
      <c r="BR35" s="21"/>
      <c r="BS35" s="21"/>
      <c r="BT35" s="21"/>
    </row>
    <row r="36" spans="1:121" s="3" customFormat="1" ht="18.5" customHeight="1" x14ac:dyDescent="0.2">
      <c r="A36" s="32">
        <v>33</v>
      </c>
      <c r="B36" s="33">
        <v>33</v>
      </c>
      <c r="C36" s="183">
        <v>7</v>
      </c>
      <c r="J36" s="35">
        <v>4</v>
      </c>
      <c r="K36" s="36">
        <v>2</v>
      </c>
      <c r="L36" s="37">
        <v>1</v>
      </c>
      <c r="Q36" s="35">
        <v>3</v>
      </c>
      <c r="R36" s="36">
        <v>6</v>
      </c>
      <c r="S36" s="36">
        <v>4</v>
      </c>
      <c r="T36" s="37">
        <v>3</v>
      </c>
      <c r="AD36" s="145">
        <f t="shared" si="0"/>
        <v>33</v>
      </c>
      <c r="AE36" s="35">
        <v>7</v>
      </c>
      <c r="AF36" s="37">
        <v>4</v>
      </c>
      <c r="AG36" s="35">
        <v>0</v>
      </c>
      <c r="AH36" s="36">
        <v>0</v>
      </c>
      <c r="AI36" s="36">
        <v>1</v>
      </c>
      <c r="AJ36" s="37">
        <v>1</v>
      </c>
      <c r="AK36" s="35">
        <v>2</v>
      </c>
      <c r="AL36" s="37">
        <v>2</v>
      </c>
      <c r="AQ36" s="39">
        <v>33</v>
      </c>
      <c r="AR36" s="35">
        <v>3</v>
      </c>
      <c r="AS36" s="36">
        <v>6</v>
      </c>
      <c r="AT36" s="36">
        <v>4</v>
      </c>
      <c r="AU36" s="36">
        <v>3</v>
      </c>
      <c r="AV36" s="37">
        <v>1</v>
      </c>
      <c r="AX36" s="39">
        <v>33</v>
      </c>
      <c r="AY36" s="146" t="s">
        <v>122</v>
      </c>
      <c r="AZ36" s="99" t="s">
        <v>123</v>
      </c>
      <c r="BA36" s="99" t="s">
        <v>124</v>
      </c>
      <c r="BB36" s="147" t="s">
        <v>125</v>
      </c>
      <c r="BD36" s="39">
        <v>33</v>
      </c>
      <c r="BE36" s="35">
        <v>7</v>
      </c>
      <c r="BF36" s="36">
        <v>5</v>
      </c>
      <c r="BG36" s="36">
        <v>4</v>
      </c>
      <c r="BH36" s="37">
        <v>13</v>
      </c>
      <c r="BJ36" s="35">
        <v>4</v>
      </c>
      <c r="BK36" s="36">
        <v>1</v>
      </c>
      <c r="BL36" s="36">
        <v>1</v>
      </c>
      <c r="BM36" s="36">
        <v>0</v>
      </c>
      <c r="BN36" s="37">
        <v>0</v>
      </c>
      <c r="BO36" s="39">
        <v>2</v>
      </c>
      <c r="BR36" s="21"/>
      <c r="BS36" s="21"/>
      <c r="BT36" s="21"/>
    </row>
    <row r="37" spans="1:121" s="3" customFormat="1" ht="18.5" customHeight="1" x14ac:dyDescent="0.2">
      <c r="J37" s="35">
        <v>4</v>
      </c>
      <c r="K37" s="36">
        <v>2</v>
      </c>
      <c r="L37" s="37">
        <v>2</v>
      </c>
      <c r="Q37" s="35">
        <v>3</v>
      </c>
      <c r="R37" s="36">
        <v>7</v>
      </c>
      <c r="S37" s="36">
        <v>2</v>
      </c>
      <c r="T37" s="37">
        <v>3</v>
      </c>
      <c r="AD37" s="145">
        <f t="shared" si="0"/>
        <v>34</v>
      </c>
      <c r="AE37" s="35">
        <v>7</v>
      </c>
      <c r="AF37" s="37">
        <v>5</v>
      </c>
      <c r="AG37" s="35">
        <v>0</v>
      </c>
      <c r="AH37" s="36">
        <v>0</v>
      </c>
      <c r="AI37" s="36">
        <v>1</v>
      </c>
      <c r="AJ37" s="37">
        <v>1</v>
      </c>
      <c r="AK37" s="35">
        <v>2</v>
      </c>
      <c r="AL37" s="37">
        <v>2</v>
      </c>
      <c r="AQ37" s="39">
        <v>34</v>
      </c>
      <c r="AR37" s="35">
        <v>3</v>
      </c>
      <c r="AS37" s="36">
        <v>7</v>
      </c>
      <c r="AT37" s="36">
        <v>2</v>
      </c>
      <c r="AU37" s="36">
        <v>3</v>
      </c>
      <c r="AV37" s="37">
        <v>1</v>
      </c>
      <c r="AX37" s="39">
        <v>34</v>
      </c>
      <c r="AY37" s="146" t="s">
        <v>122</v>
      </c>
      <c r="AZ37" s="99" t="s">
        <v>123</v>
      </c>
      <c r="BA37" s="99" t="s">
        <v>124</v>
      </c>
      <c r="BB37" s="147" t="s">
        <v>125</v>
      </c>
      <c r="BD37" s="39">
        <v>34</v>
      </c>
      <c r="BE37" s="35">
        <v>7</v>
      </c>
      <c r="BF37" s="36">
        <v>6</v>
      </c>
      <c r="BG37" s="36">
        <v>4</v>
      </c>
      <c r="BH37" s="37">
        <v>13</v>
      </c>
      <c r="BJ37" s="35">
        <v>4</v>
      </c>
      <c r="BK37" s="36">
        <v>1</v>
      </c>
      <c r="BL37" s="36">
        <v>1</v>
      </c>
      <c r="BM37" s="36">
        <v>0</v>
      </c>
      <c r="BN37" s="37">
        <v>0</v>
      </c>
      <c r="BO37" s="39">
        <v>2</v>
      </c>
      <c r="BR37" s="21"/>
      <c r="BS37" s="21"/>
      <c r="BT37" s="21"/>
    </row>
    <row r="38" spans="1:121" s="3" customFormat="1" ht="18" customHeight="1" x14ac:dyDescent="0.2">
      <c r="J38" s="35">
        <v>4</v>
      </c>
      <c r="K38" s="36">
        <v>2</v>
      </c>
      <c r="L38" s="37">
        <v>3</v>
      </c>
      <c r="Q38" s="35">
        <v>3</v>
      </c>
      <c r="R38" s="36">
        <v>7</v>
      </c>
      <c r="S38" s="36">
        <v>3</v>
      </c>
      <c r="T38" s="37">
        <v>3</v>
      </c>
      <c r="AD38" s="145">
        <f t="shared" si="0"/>
        <v>35</v>
      </c>
      <c r="AE38" s="35">
        <v>7</v>
      </c>
      <c r="AF38" s="37">
        <v>6</v>
      </c>
      <c r="AG38" s="35">
        <v>0</v>
      </c>
      <c r="AH38" s="36">
        <v>0</v>
      </c>
      <c r="AI38" s="36">
        <v>1</v>
      </c>
      <c r="AJ38" s="37">
        <v>1</v>
      </c>
      <c r="AK38" s="35">
        <v>2</v>
      </c>
      <c r="AL38" s="37">
        <v>2</v>
      </c>
      <c r="AQ38" s="39">
        <v>35</v>
      </c>
      <c r="AR38" s="35">
        <v>3</v>
      </c>
      <c r="AS38" s="36">
        <v>7</v>
      </c>
      <c r="AT38" s="36">
        <v>3</v>
      </c>
      <c r="AU38" s="36">
        <v>3</v>
      </c>
      <c r="AV38" s="37">
        <v>1</v>
      </c>
      <c r="AX38" s="39">
        <v>35</v>
      </c>
      <c r="AY38" s="146" t="s">
        <v>122</v>
      </c>
      <c r="AZ38" s="99" t="s">
        <v>123</v>
      </c>
      <c r="BA38" s="99" t="s">
        <v>124</v>
      </c>
      <c r="BB38" s="147" t="s">
        <v>125</v>
      </c>
      <c r="BD38" s="39">
        <v>35</v>
      </c>
      <c r="BE38" s="35">
        <v>7</v>
      </c>
      <c r="BF38" s="36">
        <v>7</v>
      </c>
      <c r="BG38" s="36">
        <v>4</v>
      </c>
      <c r="BH38" s="37">
        <v>13</v>
      </c>
      <c r="BJ38" s="35">
        <v>4</v>
      </c>
      <c r="BK38" s="36">
        <v>1</v>
      </c>
      <c r="BL38" s="36">
        <v>1</v>
      </c>
      <c r="BM38" s="36">
        <v>0</v>
      </c>
      <c r="BN38" s="37">
        <v>0</v>
      </c>
      <c r="BO38" s="39">
        <v>2</v>
      </c>
    </row>
    <row r="39" spans="1:121" s="3" customFormat="1" ht="18.5" customHeight="1" x14ac:dyDescent="0.2">
      <c r="J39" s="35">
        <v>4</v>
      </c>
      <c r="K39" s="36">
        <v>2</v>
      </c>
      <c r="L39" s="37">
        <v>4</v>
      </c>
      <c r="Q39" s="35">
        <v>3</v>
      </c>
      <c r="R39" s="36">
        <v>7</v>
      </c>
      <c r="S39" s="36">
        <v>4</v>
      </c>
      <c r="T39" s="37">
        <v>3</v>
      </c>
      <c r="AD39" s="145">
        <f t="shared" si="0"/>
        <v>36</v>
      </c>
      <c r="AE39" s="35">
        <v>7</v>
      </c>
      <c r="AF39" s="37">
        <v>7</v>
      </c>
      <c r="AG39" s="35">
        <v>0</v>
      </c>
      <c r="AH39" s="36">
        <v>0</v>
      </c>
      <c r="AI39" s="36">
        <v>1</v>
      </c>
      <c r="AJ39" s="37">
        <v>1</v>
      </c>
      <c r="AK39" s="35">
        <v>2</v>
      </c>
      <c r="AL39" s="37">
        <v>2</v>
      </c>
      <c r="AQ39" s="39">
        <v>36</v>
      </c>
      <c r="AR39" s="35">
        <v>3</v>
      </c>
      <c r="AS39" s="36">
        <v>7</v>
      </c>
      <c r="AT39" s="36">
        <v>4</v>
      </c>
      <c r="AU39" s="36">
        <v>3</v>
      </c>
      <c r="AV39" s="37">
        <v>1</v>
      </c>
      <c r="AX39" s="39">
        <v>36</v>
      </c>
      <c r="AY39" s="146" t="s">
        <v>122</v>
      </c>
      <c r="AZ39" s="99" t="s">
        <v>123</v>
      </c>
      <c r="BA39" s="99" t="s">
        <v>124</v>
      </c>
      <c r="BB39" s="147" t="s">
        <v>125</v>
      </c>
      <c r="BD39" s="39">
        <v>36</v>
      </c>
      <c r="BE39" s="35">
        <v>7</v>
      </c>
      <c r="BF39" s="36">
        <v>8</v>
      </c>
      <c r="BG39" s="36">
        <v>4</v>
      </c>
      <c r="BH39" s="37">
        <v>13</v>
      </c>
      <c r="BJ39" s="35">
        <v>4</v>
      </c>
      <c r="BK39" s="36">
        <v>1</v>
      </c>
      <c r="BL39" s="36">
        <v>1</v>
      </c>
      <c r="BM39" s="36">
        <v>0</v>
      </c>
      <c r="BN39" s="37">
        <v>0</v>
      </c>
      <c r="BO39" s="39">
        <v>2</v>
      </c>
      <c r="CA39" s="60" t="s">
        <v>156</v>
      </c>
    </row>
    <row r="40" spans="1:121" s="3" customFormat="1" ht="19" customHeight="1" x14ac:dyDescent="0.2">
      <c r="J40" s="35">
        <v>4</v>
      </c>
      <c r="K40" s="36">
        <v>4</v>
      </c>
      <c r="L40" s="37">
        <v>1</v>
      </c>
      <c r="Q40" s="35">
        <v>3</v>
      </c>
      <c r="R40" s="36">
        <v>9</v>
      </c>
      <c r="S40" s="36">
        <v>2</v>
      </c>
      <c r="T40" s="37">
        <v>3</v>
      </c>
      <c r="AD40" s="145">
        <f t="shared" si="0"/>
        <v>37</v>
      </c>
      <c r="AE40" s="35">
        <v>7</v>
      </c>
      <c r="AF40" s="37">
        <v>8</v>
      </c>
      <c r="AG40" s="35">
        <v>0</v>
      </c>
      <c r="AH40" s="36">
        <v>0</v>
      </c>
      <c r="AI40" s="36">
        <v>1</v>
      </c>
      <c r="AJ40" s="37">
        <v>1</v>
      </c>
      <c r="AK40" s="35">
        <v>2</v>
      </c>
      <c r="AL40" s="37">
        <v>2</v>
      </c>
      <c r="AQ40" s="39">
        <v>37</v>
      </c>
      <c r="AR40" s="35">
        <v>3</v>
      </c>
      <c r="AS40" s="36">
        <v>9</v>
      </c>
      <c r="AT40" s="36">
        <v>2</v>
      </c>
      <c r="AU40" s="36">
        <v>3</v>
      </c>
      <c r="AV40" s="37">
        <v>1</v>
      </c>
      <c r="AX40" s="39">
        <v>37</v>
      </c>
      <c r="AY40" s="146" t="s">
        <v>122</v>
      </c>
      <c r="AZ40" s="99" t="s">
        <v>123</v>
      </c>
      <c r="BA40" s="99" t="s">
        <v>124</v>
      </c>
      <c r="BB40" s="147" t="s">
        <v>125</v>
      </c>
      <c r="BD40" s="39">
        <v>37</v>
      </c>
      <c r="BE40" s="35">
        <v>7</v>
      </c>
      <c r="BF40" s="36">
        <v>9</v>
      </c>
      <c r="BG40" s="36">
        <v>4</v>
      </c>
      <c r="BH40" s="37">
        <v>13</v>
      </c>
      <c r="BJ40" s="35">
        <v>4</v>
      </c>
      <c r="BK40" s="36">
        <v>1</v>
      </c>
      <c r="BL40" s="36">
        <v>1</v>
      </c>
      <c r="BM40" s="36">
        <v>0</v>
      </c>
      <c r="BN40" s="37">
        <v>0</v>
      </c>
      <c r="BO40" s="39">
        <v>2</v>
      </c>
      <c r="BQ40" s="6" t="s">
        <v>157</v>
      </c>
      <c r="BR40" s="122" t="s">
        <v>158</v>
      </c>
      <c r="BS40" s="15"/>
      <c r="BT40" s="15"/>
      <c r="BU40" s="15"/>
      <c r="BV40" s="14" t="s">
        <v>159</v>
      </c>
      <c r="BW40" s="15"/>
      <c r="BX40" s="15"/>
      <c r="BY40" s="15"/>
      <c r="BZ40" s="14" t="s">
        <v>160</v>
      </c>
      <c r="CA40" s="15"/>
    </row>
    <row r="41" spans="1:121" s="3" customFormat="1" ht="19" customHeight="1" x14ac:dyDescent="0.2">
      <c r="J41" s="35">
        <v>4</v>
      </c>
      <c r="K41" s="36">
        <v>4</v>
      </c>
      <c r="L41" s="37">
        <v>2</v>
      </c>
      <c r="Q41" s="35">
        <v>3</v>
      </c>
      <c r="R41" s="36">
        <v>9</v>
      </c>
      <c r="S41" s="36">
        <v>3</v>
      </c>
      <c r="T41" s="37">
        <v>3</v>
      </c>
      <c r="AD41" s="145">
        <f t="shared" si="0"/>
        <v>38</v>
      </c>
      <c r="AE41" s="35">
        <v>7</v>
      </c>
      <c r="AF41" s="37">
        <v>9</v>
      </c>
      <c r="AG41" s="35">
        <v>0</v>
      </c>
      <c r="AH41" s="36">
        <v>0</v>
      </c>
      <c r="AI41" s="36">
        <v>1</v>
      </c>
      <c r="AJ41" s="37">
        <v>1</v>
      </c>
      <c r="AK41" s="35">
        <v>2</v>
      </c>
      <c r="AL41" s="37">
        <v>2</v>
      </c>
      <c r="AQ41" s="39">
        <v>38</v>
      </c>
      <c r="AR41" s="35">
        <v>3</v>
      </c>
      <c r="AS41" s="36">
        <v>9</v>
      </c>
      <c r="AT41" s="36">
        <v>3</v>
      </c>
      <c r="AU41" s="36">
        <v>3</v>
      </c>
      <c r="AV41" s="37">
        <v>1</v>
      </c>
      <c r="AX41" s="39">
        <v>38</v>
      </c>
      <c r="AY41" s="146" t="s">
        <v>122</v>
      </c>
      <c r="AZ41" s="99" t="s">
        <v>123</v>
      </c>
      <c r="BA41" s="99" t="s">
        <v>124</v>
      </c>
      <c r="BB41" s="147" t="s">
        <v>125</v>
      </c>
      <c r="BD41" s="39">
        <v>38</v>
      </c>
      <c r="BE41" s="35">
        <v>7</v>
      </c>
      <c r="BF41" s="36">
        <v>10</v>
      </c>
      <c r="BG41" s="36">
        <v>4</v>
      </c>
      <c r="BH41" s="37">
        <v>13</v>
      </c>
      <c r="BJ41" s="35">
        <v>4</v>
      </c>
      <c r="BK41" s="36">
        <v>1</v>
      </c>
      <c r="BL41" s="36">
        <v>1</v>
      </c>
      <c r="BM41" s="36">
        <v>0</v>
      </c>
      <c r="BN41" s="37">
        <v>0</v>
      </c>
      <c r="BO41" s="39">
        <v>2</v>
      </c>
      <c r="BR41" s="8" t="s">
        <v>87</v>
      </c>
      <c r="BS41" s="184" t="s">
        <v>12</v>
      </c>
      <c r="BT41" s="96">
        <v>1</v>
      </c>
      <c r="BU41" s="97">
        <v>2</v>
      </c>
      <c r="BV41" s="97">
        <v>3</v>
      </c>
      <c r="BW41" s="97">
        <v>4</v>
      </c>
      <c r="BX41" s="97">
        <v>5</v>
      </c>
      <c r="BY41" s="97">
        <v>6</v>
      </c>
      <c r="BZ41" s="97">
        <v>7</v>
      </c>
      <c r="CA41" s="97">
        <v>8</v>
      </c>
      <c r="CB41" s="97">
        <v>9</v>
      </c>
      <c r="CC41" s="97">
        <v>10</v>
      </c>
      <c r="CD41" s="97">
        <v>11</v>
      </c>
      <c r="CE41" s="97">
        <v>12</v>
      </c>
      <c r="CF41" s="97">
        <v>13</v>
      </c>
      <c r="CG41" s="97">
        <v>14</v>
      </c>
      <c r="CH41" s="97">
        <v>15</v>
      </c>
      <c r="CI41" s="97">
        <v>16</v>
      </c>
      <c r="CJ41" s="97">
        <v>17</v>
      </c>
      <c r="CK41" s="97">
        <v>18</v>
      </c>
      <c r="CL41" s="97">
        <v>19</v>
      </c>
      <c r="CM41" s="97">
        <v>20</v>
      </c>
      <c r="CN41" s="97">
        <v>21</v>
      </c>
      <c r="CO41" s="97">
        <v>22</v>
      </c>
      <c r="CP41" s="97">
        <v>23</v>
      </c>
      <c r="CQ41" s="97">
        <v>24</v>
      </c>
      <c r="CR41" s="97">
        <v>25</v>
      </c>
      <c r="CS41" s="97">
        <v>26</v>
      </c>
      <c r="CT41" s="97">
        <v>27</v>
      </c>
      <c r="CU41" s="97">
        <v>28</v>
      </c>
      <c r="CV41" s="97">
        <v>29</v>
      </c>
      <c r="CW41" s="97">
        <v>30</v>
      </c>
      <c r="CX41" s="97">
        <v>31</v>
      </c>
      <c r="CY41" s="97">
        <v>32</v>
      </c>
      <c r="CZ41" s="97">
        <v>33</v>
      </c>
      <c r="DA41" s="97">
        <v>34</v>
      </c>
      <c r="DB41" s="97">
        <v>35</v>
      </c>
      <c r="DC41" s="97">
        <v>36</v>
      </c>
      <c r="DD41" s="97">
        <v>37</v>
      </c>
      <c r="DE41" s="97">
        <v>38</v>
      </c>
      <c r="DF41" s="97">
        <v>39</v>
      </c>
      <c r="DG41" s="97">
        <v>40</v>
      </c>
      <c r="DH41" s="97">
        <v>41</v>
      </c>
      <c r="DI41" s="97">
        <v>42</v>
      </c>
      <c r="DJ41" s="97">
        <v>43</v>
      </c>
      <c r="DK41" s="97">
        <v>44</v>
      </c>
      <c r="DL41" s="97">
        <v>45</v>
      </c>
      <c r="DM41" s="97">
        <v>46</v>
      </c>
      <c r="DN41" s="97">
        <v>47</v>
      </c>
      <c r="DO41" s="98">
        <v>48</v>
      </c>
      <c r="DP41" s="8" t="s">
        <v>74</v>
      </c>
      <c r="DQ41" s="8" t="s">
        <v>161</v>
      </c>
    </row>
    <row r="42" spans="1:121" s="3" customFormat="1" ht="18.5" customHeight="1" x14ac:dyDescent="0.2">
      <c r="J42" s="35">
        <v>4</v>
      </c>
      <c r="K42" s="36">
        <v>4</v>
      </c>
      <c r="L42" s="37">
        <v>3</v>
      </c>
      <c r="Q42" s="35">
        <v>3</v>
      </c>
      <c r="R42" s="36">
        <v>9</v>
      </c>
      <c r="S42" s="36">
        <v>4</v>
      </c>
      <c r="T42" s="37">
        <v>3</v>
      </c>
      <c r="AD42" s="145">
        <f t="shared" si="0"/>
        <v>39</v>
      </c>
      <c r="AE42" s="35">
        <v>7</v>
      </c>
      <c r="AF42" s="37">
        <v>10</v>
      </c>
      <c r="AG42" s="35">
        <v>0</v>
      </c>
      <c r="AH42" s="36">
        <v>0</v>
      </c>
      <c r="AI42" s="36">
        <v>1</v>
      </c>
      <c r="AJ42" s="37">
        <v>1</v>
      </c>
      <c r="AK42" s="35">
        <v>2</v>
      </c>
      <c r="AL42" s="37">
        <v>2</v>
      </c>
      <c r="AQ42" s="39">
        <v>39</v>
      </c>
      <c r="AR42" s="35">
        <v>3</v>
      </c>
      <c r="AS42" s="36">
        <v>9</v>
      </c>
      <c r="AT42" s="36">
        <v>4</v>
      </c>
      <c r="AU42" s="36">
        <v>3</v>
      </c>
      <c r="AV42" s="37">
        <v>1</v>
      </c>
      <c r="AX42" s="39">
        <v>39</v>
      </c>
      <c r="AY42" s="146" t="s">
        <v>122</v>
      </c>
      <c r="AZ42" s="99" t="s">
        <v>123</v>
      </c>
      <c r="BA42" s="99" t="s">
        <v>124</v>
      </c>
      <c r="BB42" s="147" t="s">
        <v>125</v>
      </c>
      <c r="BD42" s="39">
        <v>39</v>
      </c>
      <c r="BE42" s="35">
        <v>16</v>
      </c>
      <c r="BF42" s="36">
        <v>1</v>
      </c>
      <c r="BG42" s="36">
        <v>4</v>
      </c>
      <c r="BH42" s="37">
        <v>1</v>
      </c>
      <c r="BJ42" s="35">
        <v>4</v>
      </c>
      <c r="BK42" s="36">
        <v>1</v>
      </c>
      <c r="BL42" s="36">
        <v>1</v>
      </c>
      <c r="BM42" s="36">
        <v>0</v>
      </c>
      <c r="BN42" s="37">
        <v>0</v>
      </c>
      <c r="BO42" s="39">
        <v>2</v>
      </c>
      <c r="BR42" s="185" t="s">
        <v>104</v>
      </c>
      <c r="BS42" s="28">
        <v>1</v>
      </c>
      <c r="BT42" s="23">
        <v>1</v>
      </c>
      <c r="BU42" s="24">
        <v>0</v>
      </c>
      <c r="BV42" s="24">
        <v>0</v>
      </c>
      <c r="BW42" s="24">
        <v>0</v>
      </c>
      <c r="BX42" s="24">
        <v>0</v>
      </c>
      <c r="BY42" s="24">
        <v>0</v>
      </c>
      <c r="BZ42" s="24">
        <v>0</v>
      </c>
      <c r="CA42" s="24">
        <v>0</v>
      </c>
      <c r="CB42" s="24">
        <v>0</v>
      </c>
      <c r="CC42" s="24">
        <v>1</v>
      </c>
      <c r="CD42" s="24">
        <v>0</v>
      </c>
      <c r="CE42" s="24">
        <v>0</v>
      </c>
      <c r="CF42" s="24">
        <v>0</v>
      </c>
      <c r="CG42" s="24">
        <v>0</v>
      </c>
      <c r="CH42" s="24">
        <v>0</v>
      </c>
      <c r="CI42" s="24">
        <v>1</v>
      </c>
      <c r="CJ42" s="24">
        <v>0</v>
      </c>
      <c r="CK42" s="24">
        <v>0</v>
      </c>
      <c r="CL42" s="24">
        <v>0</v>
      </c>
      <c r="CM42" s="24">
        <v>0</v>
      </c>
      <c r="CN42" s="24">
        <v>0</v>
      </c>
      <c r="CO42" s="24">
        <v>0</v>
      </c>
      <c r="CP42" s="24">
        <v>1</v>
      </c>
      <c r="CQ42" s="24">
        <v>0</v>
      </c>
      <c r="CR42" s="24">
        <v>0</v>
      </c>
      <c r="CS42" s="24">
        <v>0</v>
      </c>
      <c r="CT42" s="24">
        <v>0</v>
      </c>
      <c r="CU42" s="24">
        <v>0</v>
      </c>
      <c r="CV42" s="24">
        <v>1</v>
      </c>
      <c r="CW42" s="24">
        <v>0</v>
      </c>
      <c r="CX42" s="24">
        <v>0</v>
      </c>
      <c r="CY42" s="24">
        <v>0</v>
      </c>
      <c r="CZ42" s="24">
        <v>0</v>
      </c>
      <c r="DA42" s="24">
        <v>0</v>
      </c>
      <c r="DB42" s="24">
        <v>0</v>
      </c>
      <c r="DC42" s="24">
        <v>0</v>
      </c>
      <c r="DD42" s="24">
        <v>0</v>
      </c>
      <c r="DE42" s="24">
        <v>0</v>
      </c>
      <c r="DF42" s="24">
        <v>1</v>
      </c>
      <c r="DG42" s="24">
        <v>0</v>
      </c>
      <c r="DH42" s="24">
        <v>0</v>
      </c>
      <c r="DI42" s="24">
        <v>0</v>
      </c>
      <c r="DJ42" s="24">
        <v>0</v>
      </c>
      <c r="DK42" s="24">
        <v>0</v>
      </c>
      <c r="DL42" s="24">
        <v>0</v>
      </c>
      <c r="DM42" s="24">
        <v>0</v>
      </c>
      <c r="DN42" s="24">
        <v>0</v>
      </c>
      <c r="DO42" s="25">
        <v>0</v>
      </c>
      <c r="DP42" s="186">
        <f t="shared" ref="DP42:DP51" si="2">SUM(BT42:DO42)</f>
        <v>6</v>
      </c>
      <c r="DQ42" s="29">
        <v>15</v>
      </c>
    </row>
    <row r="43" spans="1:121" s="3" customFormat="1" ht="18" customHeight="1" x14ac:dyDescent="0.2">
      <c r="J43" s="35">
        <v>4</v>
      </c>
      <c r="K43" s="36">
        <v>4</v>
      </c>
      <c r="L43" s="37">
        <v>4</v>
      </c>
      <c r="Q43" s="35">
        <v>4</v>
      </c>
      <c r="R43" s="36">
        <v>1</v>
      </c>
      <c r="S43" s="36">
        <v>1</v>
      </c>
      <c r="T43" s="37">
        <v>1</v>
      </c>
      <c r="AD43" s="145">
        <f t="shared" si="0"/>
        <v>40</v>
      </c>
      <c r="AE43" s="35">
        <v>16</v>
      </c>
      <c r="AF43" s="37">
        <v>1</v>
      </c>
      <c r="AG43" s="35">
        <v>0</v>
      </c>
      <c r="AH43" s="36">
        <v>0</v>
      </c>
      <c r="AI43" s="36">
        <v>1</v>
      </c>
      <c r="AJ43" s="37">
        <v>1</v>
      </c>
      <c r="AK43" s="35">
        <v>2</v>
      </c>
      <c r="AL43" s="37">
        <v>2</v>
      </c>
      <c r="AQ43" s="39">
        <v>40</v>
      </c>
      <c r="AR43" s="35">
        <v>4</v>
      </c>
      <c r="AS43" s="36">
        <v>1</v>
      </c>
      <c r="AT43" s="36">
        <v>1</v>
      </c>
      <c r="AU43" s="36">
        <v>1</v>
      </c>
      <c r="AV43" s="37">
        <v>37</v>
      </c>
      <c r="AX43" s="39">
        <v>40</v>
      </c>
      <c r="AY43" s="146" t="s">
        <v>122</v>
      </c>
      <c r="AZ43" s="99" t="s">
        <v>123</v>
      </c>
      <c r="BA43" s="99" t="s">
        <v>124</v>
      </c>
      <c r="BB43" s="147" t="s">
        <v>125</v>
      </c>
      <c r="BD43" s="39">
        <v>40</v>
      </c>
      <c r="BE43" s="35">
        <v>16</v>
      </c>
      <c r="BF43" s="36">
        <v>2</v>
      </c>
      <c r="BG43" s="36">
        <v>4</v>
      </c>
      <c r="BH43" s="37">
        <v>1</v>
      </c>
      <c r="BJ43" s="35">
        <v>4</v>
      </c>
      <c r="BK43" s="36">
        <v>1</v>
      </c>
      <c r="BL43" s="36">
        <v>1</v>
      </c>
      <c r="BM43" s="36">
        <v>0</v>
      </c>
      <c r="BN43" s="37">
        <v>0</v>
      </c>
      <c r="BO43" s="39">
        <v>2</v>
      </c>
      <c r="BR43" s="187" t="s">
        <v>120</v>
      </c>
      <c r="BS43" s="39">
        <v>2</v>
      </c>
      <c r="BT43" s="35">
        <v>0</v>
      </c>
      <c r="BU43" s="36">
        <v>1</v>
      </c>
      <c r="BV43" s="36">
        <v>0</v>
      </c>
      <c r="BW43" s="36">
        <v>0</v>
      </c>
      <c r="BX43" s="36">
        <v>0</v>
      </c>
      <c r="BY43" s="36">
        <v>0</v>
      </c>
      <c r="BZ43" s="36">
        <v>0</v>
      </c>
      <c r="CA43" s="36">
        <v>0</v>
      </c>
      <c r="CB43" s="36">
        <v>0</v>
      </c>
      <c r="CC43" s="36">
        <v>0</v>
      </c>
      <c r="CD43" s="36">
        <v>1</v>
      </c>
      <c r="CE43" s="36">
        <v>0</v>
      </c>
      <c r="CF43" s="36">
        <v>0</v>
      </c>
      <c r="CG43" s="36">
        <v>0</v>
      </c>
      <c r="CH43" s="36">
        <v>0</v>
      </c>
      <c r="CI43" s="36">
        <v>0</v>
      </c>
      <c r="CJ43" s="36">
        <v>1</v>
      </c>
      <c r="CK43" s="36">
        <v>0</v>
      </c>
      <c r="CL43" s="36">
        <v>0</v>
      </c>
      <c r="CM43" s="36">
        <v>0</v>
      </c>
      <c r="CN43" s="36">
        <v>0</v>
      </c>
      <c r="CO43" s="36">
        <v>0</v>
      </c>
      <c r="CP43" s="36">
        <v>0</v>
      </c>
      <c r="CQ43" s="36">
        <v>1</v>
      </c>
      <c r="CR43" s="36">
        <v>0</v>
      </c>
      <c r="CS43" s="36">
        <v>0</v>
      </c>
      <c r="CT43" s="36">
        <v>0</v>
      </c>
      <c r="CU43" s="36">
        <v>0</v>
      </c>
      <c r="CV43" s="36">
        <v>0</v>
      </c>
      <c r="CW43" s="36">
        <v>1</v>
      </c>
      <c r="CX43" s="36">
        <v>0</v>
      </c>
      <c r="CY43" s="36">
        <v>0</v>
      </c>
      <c r="CZ43" s="36">
        <v>0</v>
      </c>
      <c r="DA43" s="36">
        <v>0</v>
      </c>
      <c r="DB43" s="36">
        <v>0</v>
      </c>
      <c r="DC43" s="36">
        <v>0</v>
      </c>
      <c r="DD43" s="36">
        <v>0</v>
      </c>
      <c r="DE43" s="36">
        <v>0</v>
      </c>
      <c r="DF43" s="36">
        <v>0</v>
      </c>
      <c r="DG43" s="36">
        <v>1</v>
      </c>
      <c r="DH43" s="36">
        <v>0</v>
      </c>
      <c r="DI43" s="36">
        <v>0</v>
      </c>
      <c r="DJ43" s="36">
        <v>0</v>
      </c>
      <c r="DK43" s="36">
        <v>0</v>
      </c>
      <c r="DL43" s="36">
        <v>0</v>
      </c>
      <c r="DM43" s="36">
        <v>0</v>
      </c>
      <c r="DN43" s="36">
        <v>0</v>
      </c>
      <c r="DO43" s="37">
        <v>0</v>
      </c>
      <c r="DP43" s="188">
        <f t="shared" si="2"/>
        <v>6</v>
      </c>
      <c r="DQ43" s="40">
        <v>45</v>
      </c>
    </row>
    <row r="44" spans="1:121" s="3" customFormat="1" ht="18" customHeight="1" x14ac:dyDescent="0.2">
      <c r="J44" s="35">
        <v>4</v>
      </c>
      <c r="K44" s="36">
        <v>5</v>
      </c>
      <c r="L44" s="37">
        <v>1</v>
      </c>
      <c r="Q44" s="35">
        <v>4</v>
      </c>
      <c r="R44" s="36">
        <v>1</v>
      </c>
      <c r="S44" s="36">
        <v>2</v>
      </c>
      <c r="T44" s="37">
        <v>1</v>
      </c>
      <c r="AD44" s="145">
        <f t="shared" si="0"/>
        <v>41</v>
      </c>
      <c r="AE44" s="35">
        <v>16</v>
      </c>
      <c r="AF44" s="37">
        <v>2</v>
      </c>
      <c r="AG44" s="35">
        <v>0</v>
      </c>
      <c r="AH44" s="36">
        <v>0</v>
      </c>
      <c r="AI44" s="36">
        <v>1</v>
      </c>
      <c r="AJ44" s="37">
        <v>1</v>
      </c>
      <c r="AK44" s="35">
        <v>2</v>
      </c>
      <c r="AL44" s="37">
        <v>2</v>
      </c>
      <c r="AQ44" s="39">
        <v>41</v>
      </c>
      <c r="AR44" s="35">
        <v>4</v>
      </c>
      <c r="AS44" s="36">
        <v>1</v>
      </c>
      <c r="AT44" s="36">
        <v>2</v>
      </c>
      <c r="AU44" s="36">
        <v>1</v>
      </c>
      <c r="AV44" s="37">
        <v>37</v>
      </c>
      <c r="AX44" s="39">
        <v>41</v>
      </c>
      <c r="AY44" s="146" t="s">
        <v>122</v>
      </c>
      <c r="AZ44" s="99" t="s">
        <v>123</v>
      </c>
      <c r="BA44" s="99" t="s">
        <v>124</v>
      </c>
      <c r="BB44" s="147" t="s">
        <v>125</v>
      </c>
      <c r="BD44" s="39">
        <v>41</v>
      </c>
      <c r="BE44" s="35">
        <v>16</v>
      </c>
      <c r="BF44" s="36">
        <v>4</v>
      </c>
      <c r="BG44" s="36">
        <v>4</v>
      </c>
      <c r="BH44" s="37">
        <v>1</v>
      </c>
      <c r="BJ44" s="35">
        <v>4</v>
      </c>
      <c r="BK44" s="36">
        <v>1</v>
      </c>
      <c r="BL44" s="36">
        <v>1</v>
      </c>
      <c r="BM44" s="36">
        <v>0</v>
      </c>
      <c r="BN44" s="37">
        <v>0</v>
      </c>
      <c r="BO44" s="39">
        <v>2</v>
      </c>
      <c r="BR44" s="187" t="s">
        <v>127</v>
      </c>
      <c r="BS44" s="39">
        <v>3</v>
      </c>
      <c r="BT44" s="35">
        <v>0</v>
      </c>
      <c r="BU44" s="36">
        <v>0</v>
      </c>
      <c r="BV44" s="36">
        <v>0</v>
      </c>
      <c r="BW44" s="36">
        <v>0</v>
      </c>
      <c r="BX44" s="36">
        <v>0</v>
      </c>
      <c r="BY44" s="36">
        <v>0</v>
      </c>
      <c r="BZ44" s="36">
        <v>0</v>
      </c>
      <c r="CA44" s="36">
        <v>0</v>
      </c>
      <c r="CB44" s="36">
        <v>0</v>
      </c>
      <c r="CC44" s="36">
        <v>0</v>
      </c>
      <c r="CD44" s="36">
        <v>0</v>
      </c>
      <c r="CE44" s="36">
        <v>0</v>
      </c>
      <c r="CF44" s="36">
        <v>0</v>
      </c>
      <c r="CG44" s="36">
        <v>0</v>
      </c>
      <c r="CH44" s="36">
        <v>0</v>
      </c>
      <c r="CI44" s="36">
        <v>0</v>
      </c>
      <c r="CJ44" s="36">
        <v>0</v>
      </c>
      <c r="CK44" s="36">
        <v>0</v>
      </c>
      <c r="CL44" s="36">
        <v>0</v>
      </c>
      <c r="CM44" s="36">
        <v>0</v>
      </c>
      <c r="CN44" s="36">
        <v>0</v>
      </c>
      <c r="CO44" s="36">
        <v>0</v>
      </c>
      <c r="CP44" s="36">
        <v>0</v>
      </c>
      <c r="CQ44" s="36">
        <v>0</v>
      </c>
      <c r="CR44" s="36">
        <v>0</v>
      </c>
      <c r="CS44" s="36">
        <v>0</v>
      </c>
      <c r="CT44" s="36">
        <v>0</v>
      </c>
      <c r="CU44" s="36">
        <v>0</v>
      </c>
      <c r="CV44" s="36">
        <v>0</v>
      </c>
      <c r="CW44" s="36">
        <v>0</v>
      </c>
      <c r="CX44" s="36">
        <v>1</v>
      </c>
      <c r="CY44" s="36">
        <v>0</v>
      </c>
      <c r="CZ44" s="36">
        <v>0</v>
      </c>
      <c r="DA44" s="36">
        <v>0</v>
      </c>
      <c r="DB44" s="36">
        <v>0</v>
      </c>
      <c r="DC44" s="36">
        <v>0</v>
      </c>
      <c r="DD44" s="36">
        <v>0</v>
      </c>
      <c r="DE44" s="36">
        <v>0</v>
      </c>
      <c r="DF44" s="36">
        <v>0</v>
      </c>
      <c r="DG44" s="36">
        <v>0</v>
      </c>
      <c r="DH44" s="36">
        <v>0</v>
      </c>
      <c r="DI44" s="36">
        <v>0</v>
      </c>
      <c r="DJ44" s="36">
        <v>0</v>
      </c>
      <c r="DK44" s="36">
        <v>0</v>
      </c>
      <c r="DL44" s="36">
        <v>0</v>
      </c>
      <c r="DM44" s="36">
        <v>0</v>
      </c>
      <c r="DN44" s="36">
        <v>0</v>
      </c>
      <c r="DO44" s="37">
        <v>0</v>
      </c>
      <c r="DP44" s="188">
        <f t="shared" si="2"/>
        <v>1</v>
      </c>
      <c r="DQ44" s="40">
        <v>38</v>
      </c>
    </row>
    <row r="45" spans="1:121" s="3" customFormat="1" ht="18" customHeight="1" x14ac:dyDescent="0.2">
      <c r="J45" s="35">
        <v>4</v>
      </c>
      <c r="K45" s="36">
        <v>5</v>
      </c>
      <c r="L45" s="37">
        <v>2</v>
      </c>
      <c r="Q45" s="35">
        <v>4</v>
      </c>
      <c r="R45" s="36">
        <v>1</v>
      </c>
      <c r="S45" s="36">
        <v>3</v>
      </c>
      <c r="T45" s="37">
        <v>1</v>
      </c>
      <c r="AD45" s="145">
        <f t="shared" si="0"/>
        <v>42</v>
      </c>
      <c r="AE45" s="35">
        <v>16</v>
      </c>
      <c r="AF45" s="37">
        <v>4</v>
      </c>
      <c r="AG45" s="35">
        <v>0</v>
      </c>
      <c r="AH45" s="36">
        <v>0</v>
      </c>
      <c r="AI45" s="36">
        <v>1</v>
      </c>
      <c r="AJ45" s="37">
        <v>1</v>
      </c>
      <c r="AK45" s="35">
        <v>2</v>
      </c>
      <c r="AL45" s="37">
        <v>2</v>
      </c>
      <c r="AQ45" s="39">
        <v>42</v>
      </c>
      <c r="AR45" s="35">
        <v>4</v>
      </c>
      <c r="AS45" s="36">
        <v>1</v>
      </c>
      <c r="AT45" s="36">
        <v>3</v>
      </c>
      <c r="AU45" s="36">
        <v>1</v>
      </c>
      <c r="AV45" s="37">
        <v>37</v>
      </c>
      <c r="AX45" s="39">
        <v>42</v>
      </c>
      <c r="AY45" s="146" t="s">
        <v>122</v>
      </c>
      <c r="AZ45" s="99" t="s">
        <v>123</v>
      </c>
      <c r="BA45" s="99" t="s">
        <v>124</v>
      </c>
      <c r="BB45" s="147" t="s">
        <v>125</v>
      </c>
      <c r="BD45" s="39">
        <v>42</v>
      </c>
      <c r="BE45" s="35">
        <v>16</v>
      </c>
      <c r="BF45" s="36">
        <v>7</v>
      </c>
      <c r="BG45" s="36">
        <v>4</v>
      </c>
      <c r="BH45" s="37">
        <v>1</v>
      </c>
      <c r="BJ45" s="35">
        <v>4</v>
      </c>
      <c r="BK45" s="36">
        <v>1</v>
      </c>
      <c r="BL45" s="36">
        <v>1</v>
      </c>
      <c r="BM45" s="36">
        <v>0</v>
      </c>
      <c r="BN45" s="37">
        <v>0</v>
      </c>
      <c r="BO45" s="39">
        <v>2</v>
      </c>
      <c r="BR45" s="187" t="s">
        <v>129</v>
      </c>
      <c r="BS45" s="39">
        <v>4</v>
      </c>
      <c r="BT45" s="35">
        <v>0</v>
      </c>
      <c r="BU45" s="36">
        <v>0</v>
      </c>
      <c r="BV45" s="36">
        <v>1</v>
      </c>
      <c r="BW45" s="36">
        <v>0</v>
      </c>
      <c r="BX45" s="36">
        <v>0</v>
      </c>
      <c r="BY45" s="36">
        <v>0</v>
      </c>
      <c r="BZ45" s="36">
        <v>1</v>
      </c>
      <c r="CA45" s="36">
        <v>0</v>
      </c>
      <c r="CB45" s="36">
        <v>0</v>
      </c>
      <c r="CC45" s="36">
        <v>0</v>
      </c>
      <c r="CD45" s="36">
        <v>0</v>
      </c>
      <c r="CE45" s="36">
        <v>1</v>
      </c>
      <c r="CF45" s="36">
        <v>0</v>
      </c>
      <c r="CG45" s="36">
        <v>0</v>
      </c>
      <c r="CH45" s="36">
        <v>0</v>
      </c>
      <c r="CI45" s="36">
        <v>0</v>
      </c>
      <c r="CJ45" s="36">
        <v>0</v>
      </c>
      <c r="CK45" s="36">
        <v>1</v>
      </c>
      <c r="CL45" s="36">
        <v>0</v>
      </c>
      <c r="CM45" s="36">
        <v>0</v>
      </c>
      <c r="CN45" s="36">
        <v>0</v>
      </c>
      <c r="CO45" s="36">
        <v>0</v>
      </c>
      <c r="CP45" s="36">
        <v>0</v>
      </c>
      <c r="CQ45" s="36">
        <v>0</v>
      </c>
      <c r="CR45" s="36">
        <v>1</v>
      </c>
      <c r="CS45" s="36">
        <v>0</v>
      </c>
      <c r="CT45" s="36">
        <v>0</v>
      </c>
      <c r="CU45" s="36">
        <v>0</v>
      </c>
      <c r="CV45" s="36">
        <v>0</v>
      </c>
      <c r="CW45" s="36">
        <v>0</v>
      </c>
      <c r="CX45" s="36">
        <v>0</v>
      </c>
      <c r="CY45" s="36">
        <v>1</v>
      </c>
      <c r="CZ45" s="36">
        <v>0</v>
      </c>
      <c r="DA45" s="36">
        <v>0</v>
      </c>
      <c r="DB45" s="36">
        <v>0</v>
      </c>
      <c r="DC45" s="36">
        <v>0</v>
      </c>
      <c r="DD45" s="36">
        <v>0</v>
      </c>
      <c r="DE45" s="36">
        <v>0</v>
      </c>
      <c r="DF45" s="36">
        <v>0</v>
      </c>
      <c r="DG45" s="36">
        <v>0</v>
      </c>
      <c r="DH45" s="36">
        <v>1</v>
      </c>
      <c r="DI45" s="36">
        <v>0</v>
      </c>
      <c r="DJ45" s="36">
        <v>0</v>
      </c>
      <c r="DK45" s="36">
        <v>1</v>
      </c>
      <c r="DL45" s="36">
        <v>1</v>
      </c>
      <c r="DM45" s="36">
        <v>0</v>
      </c>
      <c r="DN45" s="36">
        <v>0</v>
      </c>
      <c r="DO45" s="37">
        <v>1</v>
      </c>
      <c r="DP45" s="188">
        <f t="shared" si="2"/>
        <v>10</v>
      </c>
      <c r="DQ45" s="40">
        <v>30</v>
      </c>
    </row>
    <row r="46" spans="1:121" s="3" customFormat="1" ht="18" customHeight="1" x14ac:dyDescent="0.2">
      <c r="J46" s="35">
        <v>4</v>
      </c>
      <c r="K46" s="36">
        <v>5</v>
      </c>
      <c r="L46" s="37">
        <v>3</v>
      </c>
      <c r="Q46" s="35">
        <v>4</v>
      </c>
      <c r="R46" s="36">
        <v>1</v>
      </c>
      <c r="S46" s="36">
        <v>4</v>
      </c>
      <c r="T46" s="37">
        <v>1</v>
      </c>
      <c r="AD46" s="145">
        <f t="shared" si="0"/>
        <v>43</v>
      </c>
      <c r="AE46" s="35">
        <v>16</v>
      </c>
      <c r="AF46" s="37">
        <v>7</v>
      </c>
      <c r="AG46" s="35">
        <v>0</v>
      </c>
      <c r="AH46" s="36">
        <v>0</v>
      </c>
      <c r="AI46" s="36">
        <v>1</v>
      </c>
      <c r="AJ46" s="37">
        <v>1</v>
      </c>
      <c r="AK46" s="35">
        <v>2</v>
      </c>
      <c r="AL46" s="37">
        <v>2</v>
      </c>
      <c r="AQ46" s="39">
        <v>43</v>
      </c>
      <c r="AR46" s="35">
        <v>4</v>
      </c>
      <c r="AS46" s="36">
        <v>1</v>
      </c>
      <c r="AT46" s="36">
        <v>4</v>
      </c>
      <c r="AU46" s="36">
        <v>1</v>
      </c>
      <c r="AV46" s="37">
        <v>37</v>
      </c>
      <c r="AX46" s="39">
        <v>43</v>
      </c>
      <c r="AY46" s="146" t="s">
        <v>122</v>
      </c>
      <c r="AZ46" s="99" t="s">
        <v>123</v>
      </c>
      <c r="BA46" s="99" t="s">
        <v>124</v>
      </c>
      <c r="BB46" s="147" t="s">
        <v>125</v>
      </c>
      <c r="BD46" s="39">
        <v>43</v>
      </c>
      <c r="BE46" s="35">
        <v>16</v>
      </c>
      <c r="BF46" s="36">
        <v>9</v>
      </c>
      <c r="BG46" s="36">
        <v>4</v>
      </c>
      <c r="BH46" s="37">
        <v>1</v>
      </c>
      <c r="BJ46" s="35">
        <v>4</v>
      </c>
      <c r="BK46" s="36">
        <v>1</v>
      </c>
      <c r="BL46" s="36">
        <v>1</v>
      </c>
      <c r="BM46" s="36">
        <v>0</v>
      </c>
      <c r="BN46" s="37">
        <v>0</v>
      </c>
      <c r="BO46" s="39">
        <v>2</v>
      </c>
      <c r="BR46" s="187" t="s">
        <v>130</v>
      </c>
      <c r="BS46" s="39">
        <v>5</v>
      </c>
      <c r="BT46" s="35">
        <v>0</v>
      </c>
      <c r="BU46" s="36">
        <v>0</v>
      </c>
      <c r="BV46" s="36">
        <v>0</v>
      </c>
      <c r="BW46" s="36">
        <v>0</v>
      </c>
      <c r="BX46" s="36">
        <v>0</v>
      </c>
      <c r="BY46" s="36">
        <v>0</v>
      </c>
      <c r="BZ46" s="36">
        <v>0</v>
      </c>
      <c r="CA46" s="36">
        <v>0</v>
      </c>
      <c r="CB46" s="36">
        <v>0</v>
      </c>
      <c r="CC46" s="36">
        <v>0</v>
      </c>
      <c r="CD46" s="36">
        <v>0</v>
      </c>
      <c r="CE46" s="36">
        <v>0</v>
      </c>
      <c r="CF46" s="36">
        <v>0</v>
      </c>
      <c r="CG46" s="36">
        <v>0</v>
      </c>
      <c r="CH46" s="36">
        <v>0</v>
      </c>
      <c r="CI46" s="36">
        <v>0</v>
      </c>
      <c r="CJ46" s="36">
        <v>0</v>
      </c>
      <c r="CK46" s="36">
        <v>0</v>
      </c>
      <c r="CL46" s="36">
        <v>1</v>
      </c>
      <c r="CM46" s="36">
        <v>0</v>
      </c>
      <c r="CN46" s="36">
        <v>0</v>
      </c>
      <c r="CO46" s="36">
        <v>0</v>
      </c>
      <c r="CP46" s="36">
        <v>0</v>
      </c>
      <c r="CQ46" s="36">
        <v>0</v>
      </c>
      <c r="CR46" s="36">
        <v>0</v>
      </c>
      <c r="CS46" s="36">
        <v>0</v>
      </c>
      <c r="CT46" s="36">
        <v>0</v>
      </c>
      <c r="CU46" s="36">
        <v>0</v>
      </c>
      <c r="CV46" s="36">
        <v>0</v>
      </c>
      <c r="CW46" s="36">
        <v>0</v>
      </c>
      <c r="CX46" s="36">
        <v>0</v>
      </c>
      <c r="CY46" s="36">
        <v>0</v>
      </c>
      <c r="CZ46" s="36">
        <v>1</v>
      </c>
      <c r="DA46" s="36">
        <v>0</v>
      </c>
      <c r="DB46" s="36">
        <v>0</v>
      </c>
      <c r="DC46" s="36">
        <v>0</v>
      </c>
      <c r="DD46" s="36">
        <v>0</v>
      </c>
      <c r="DE46" s="36">
        <v>0</v>
      </c>
      <c r="DF46" s="36">
        <v>0</v>
      </c>
      <c r="DG46" s="36">
        <v>0</v>
      </c>
      <c r="DH46" s="36">
        <v>0</v>
      </c>
      <c r="DI46" s="36">
        <v>0</v>
      </c>
      <c r="DJ46" s="36">
        <v>0</v>
      </c>
      <c r="DK46" s="36">
        <v>0</v>
      </c>
      <c r="DL46" s="36">
        <v>0</v>
      </c>
      <c r="DM46" s="36">
        <v>0</v>
      </c>
      <c r="DN46" s="36">
        <v>0</v>
      </c>
      <c r="DO46" s="37">
        <v>0</v>
      </c>
      <c r="DP46" s="188">
        <f t="shared" si="2"/>
        <v>2</v>
      </c>
      <c r="DQ46" s="40">
        <v>23</v>
      </c>
    </row>
    <row r="47" spans="1:121" s="3" customFormat="1" ht="18" customHeight="1" x14ac:dyDescent="0.2">
      <c r="J47" s="35">
        <v>4</v>
      </c>
      <c r="K47" s="36">
        <v>5</v>
      </c>
      <c r="L47" s="37">
        <v>4</v>
      </c>
      <c r="Q47" s="35">
        <v>4</v>
      </c>
      <c r="R47" s="36">
        <v>2</v>
      </c>
      <c r="S47" s="36">
        <v>1</v>
      </c>
      <c r="T47" s="37">
        <v>1</v>
      </c>
      <c r="AD47" s="145">
        <f t="shared" si="0"/>
        <v>44</v>
      </c>
      <c r="AE47" s="35">
        <v>16</v>
      </c>
      <c r="AF47" s="37">
        <v>9</v>
      </c>
      <c r="AG47" s="35">
        <v>0</v>
      </c>
      <c r="AH47" s="36">
        <v>0</v>
      </c>
      <c r="AI47" s="36">
        <v>1</v>
      </c>
      <c r="AJ47" s="37">
        <v>1</v>
      </c>
      <c r="AK47" s="35">
        <v>2</v>
      </c>
      <c r="AL47" s="37">
        <v>2</v>
      </c>
      <c r="AQ47" s="39">
        <v>44</v>
      </c>
      <c r="AR47" s="35">
        <v>4</v>
      </c>
      <c r="AS47" s="36">
        <v>2</v>
      </c>
      <c r="AT47" s="36">
        <v>1</v>
      </c>
      <c r="AU47" s="36">
        <v>1</v>
      </c>
      <c r="AV47" s="37">
        <v>37</v>
      </c>
      <c r="AX47" s="39">
        <v>44</v>
      </c>
      <c r="AY47" s="146" t="s">
        <v>140</v>
      </c>
      <c r="AZ47" s="99" t="s">
        <v>124</v>
      </c>
      <c r="BA47" s="99" t="s">
        <v>124</v>
      </c>
      <c r="BB47" s="147" t="s">
        <v>125</v>
      </c>
      <c r="BD47" s="39">
        <v>44</v>
      </c>
      <c r="BE47" s="35">
        <v>25</v>
      </c>
      <c r="BF47" s="36">
        <v>4</v>
      </c>
      <c r="BG47" s="36">
        <v>37</v>
      </c>
      <c r="BH47" s="37">
        <v>1</v>
      </c>
      <c r="BJ47" s="35">
        <v>4</v>
      </c>
      <c r="BK47" s="36">
        <v>1</v>
      </c>
      <c r="BL47" s="36">
        <v>1</v>
      </c>
      <c r="BM47" s="36">
        <v>0</v>
      </c>
      <c r="BN47" s="37">
        <v>0</v>
      </c>
      <c r="BO47" s="39">
        <v>2</v>
      </c>
      <c r="BR47" s="187" t="s">
        <v>131</v>
      </c>
      <c r="BS47" s="39">
        <v>6</v>
      </c>
      <c r="BT47" s="35">
        <v>0</v>
      </c>
      <c r="BU47" s="36">
        <v>0</v>
      </c>
      <c r="BV47" s="36">
        <v>0</v>
      </c>
      <c r="BW47" s="36">
        <v>1</v>
      </c>
      <c r="BX47" s="36">
        <v>0</v>
      </c>
      <c r="BY47" s="36">
        <v>0</v>
      </c>
      <c r="BZ47" s="36">
        <v>0</v>
      </c>
      <c r="CA47" s="36">
        <v>0</v>
      </c>
      <c r="CB47" s="36">
        <v>0</v>
      </c>
      <c r="CC47" s="36">
        <v>0</v>
      </c>
      <c r="CD47" s="36">
        <v>0</v>
      </c>
      <c r="CE47" s="36">
        <v>0</v>
      </c>
      <c r="CF47" s="36">
        <v>1</v>
      </c>
      <c r="CG47" s="36">
        <v>0</v>
      </c>
      <c r="CH47" s="36">
        <v>0</v>
      </c>
      <c r="CI47" s="36">
        <v>0</v>
      </c>
      <c r="CJ47" s="36">
        <v>0</v>
      </c>
      <c r="CK47" s="36">
        <v>0</v>
      </c>
      <c r="CL47" s="36">
        <v>0</v>
      </c>
      <c r="CM47" s="36">
        <v>1</v>
      </c>
      <c r="CN47" s="36">
        <v>0</v>
      </c>
      <c r="CO47" s="36">
        <v>0</v>
      </c>
      <c r="CP47" s="36">
        <v>0</v>
      </c>
      <c r="CQ47" s="36">
        <v>0</v>
      </c>
      <c r="CR47" s="36">
        <v>0</v>
      </c>
      <c r="CS47" s="36">
        <v>1</v>
      </c>
      <c r="CT47" s="36">
        <v>0</v>
      </c>
      <c r="CU47" s="36">
        <v>0</v>
      </c>
      <c r="CV47" s="36">
        <v>0</v>
      </c>
      <c r="CW47" s="36">
        <v>0</v>
      </c>
      <c r="CX47" s="36">
        <v>0</v>
      </c>
      <c r="CY47" s="36">
        <v>0</v>
      </c>
      <c r="CZ47" s="36">
        <v>0</v>
      </c>
      <c r="DA47" s="36">
        <v>1</v>
      </c>
      <c r="DB47" s="36">
        <v>0</v>
      </c>
      <c r="DC47" s="36">
        <v>0</v>
      </c>
      <c r="DD47" s="36">
        <v>0</v>
      </c>
      <c r="DE47" s="36">
        <v>0</v>
      </c>
      <c r="DF47" s="36">
        <v>0</v>
      </c>
      <c r="DG47" s="36">
        <v>0</v>
      </c>
      <c r="DH47" s="36">
        <v>0</v>
      </c>
      <c r="DI47" s="36">
        <v>0</v>
      </c>
      <c r="DJ47" s="36">
        <v>0</v>
      </c>
      <c r="DK47" s="36">
        <v>0</v>
      </c>
      <c r="DL47" s="36">
        <v>0</v>
      </c>
      <c r="DM47" s="36">
        <v>0</v>
      </c>
      <c r="DN47" s="36">
        <v>0</v>
      </c>
      <c r="DO47" s="37">
        <v>0</v>
      </c>
      <c r="DP47" s="188">
        <f t="shared" si="2"/>
        <v>5</v>
      </c>
      <c r="DQ47" s="40">
        <v>47</v>
      </c>
    </row>
    <row r="48" spans="1:121" s="3" customFormat="1" ht="18" customHeight="1" x14ac:dyDescent="0.2">
      <c r="J48" s="35">
        <v>4</v>
      </c>
      <c r="K48" s="36">
        <v>6</v>
      </c>
      <c r="L48" s="37">
        <v>1</v>
      </c>
      <c r="Q48" s="35">
        <v>4</v>
      </c>
      <c r="R48" s="36">
        <v>2</v>
      </c>
      <c r="S48" s="36">
        <v>2</v>
      </c>
      <c r="T48" s="37">
        <v>1</v>
      </c>
      <c r="AD48" s="145">
        <f t="shared" si="0"/>
        <v>45</v>
      </c>
      <c r="AE48" s="35">
        <v>34</v>
      </c>
      <c r="AF48" s="37">
        <v>4</v>
      </c>
      <c r="AG48" s="35">
        <v>0</v>
      </c>
      <c r="AH48" s="36">
        <v>0</v>
      </c>
      <c r="AI48" s="36">
        <v>1</v>
      </c>
      <c r="AJ48" s="37">
        <v>1</v>
      </c>
      <c r="AK48" s="35">
        <v>2</v>
      </c>
      <c r="AL48" s="37">
        <v>2</v>
      </c>
      <c r="AQ48" s="39">
        <v>45</v>
      </c>
      <c r="AR48" s="35">
        <v>4</v>
      </c>
      <c r="AS48" s="36">
        <v>2</v>
      </c>
      <c r="AT48" s="36">
        <v>2</v>
      </c>
      <c r="AU48" s="36">
        <v>1</v>
      </c>
      <c r="AV48" s="37">
        <v>37</v>
      </c>
      <c r="AX48" s="39">
        <v>45</v>
      </c>
      <c r="AY48" s="146" t="s">
        <v>122</v>
      </c>
      <c r="AZ48" s="99" t="s">
        <v>123</v>
      </c>
      <c r="BA48" s="99" t="s">
        <v>124</v>
      </c>
      <c r="BB48" s="147" t="s">
        <v>125</v>
      </c>
      <c r="BD48" s="39">
        <v>45</v>
      </c>
      <c r="BE48" s="35">
        <v>34</v>
      </c>
      <c r="BF48" s="36">
        <v>4</v>
      </c>
      <c r="BG48" s="36">
        <v>4</v>
      </c>
      <c r="BH48" s="37">
        <v>2</v>
      </c>
      <c r="BJ48" s="35">
        <v>4</v>
      </c>
      <c r="BK48" s="36">
        <v>1</v>
      </c>
      <c r="BL48" s="36">
        <v>1</v>
      </c>
      <c r="BM48" s="36">
        <v>0</v>
      </c>
      <c r="BN48" s="37">
        <v>0</v>
      </c>
      <c r="BO48" s="39">
        <v>2</v>
      </c>
      <c r="BR48" s="187" t="s">
        <v>132</v>
      </c>
      <c r="BS48" s="39">
        <v>7</v>
      </c>
      <c r="BT48" s="35">
        <v>0</v>
      </c>
      <c r="BU48" s="36">
        <v>0</v>
      </c>
      <c r="BV48" s="36">
        <v>0</v>
      </c>
      <c r="BW48" s="36">
        <v>0</v>
      </c>
      <c r="BX48" s="36">
        <v>1</v>
      </c>
      <c r="BY48" s="36">
        <v>0</v>
      </c>
      <c r="BZ48" s="36">
        <v>0</v>
      </c>
      <c r="CA48" s="36">
        <v>1</v>
      </c>
      <c r="CB48" s="36">
        <v>0</v>
      </c>
      <c r="CC48" s="36">
        <v>0</v>
      </c>
      <c r="CD48" s="36">
        <v>0</v>
      </c>
      <c r="CE48" s="36">
        <v>0</v>
      </c>
      <c r="CF48" s="36">
        <v>0</v>
      </c>
      <c r="CG48" s="36">
        <v>1</v>
      </c>
      <c r="CH48" s="36">
        <v>0</v>
      </c>
      <c r="CI48" s="36">
        <v>0</v>
      </c>
      <c r="CJ48" s="36">
        <v>0</v>
      </c>
      <c r="CK48" s="36">
        <v>0</v>
      </c>
      <c r="CL48" s="36">
        <v>0</v>
      </c>
      <c r="CM48" s="36">
        <v>0</v>
      </c>
      <c r="CN48" s="36">
        <v>1</v>
      </c>
      <c r="CO48" s="36">
        <v>0</v>
      </c>
      <c r="CP48" s="36">
        <v>0</v>
      </c>
      <c r="CQ48" s="36">
        <v>0</v>
      </c>
      <c r="CR48" s="36">
        <v>0</v>
      </c>
      <c r="CS48" s="36">
        <v>0</v>
      </c>
      <c r="CT48" s="36">
        <v>1</v>
      </c>
      <c r="CU48" s="36">
        <v>0</v>
      </c>
      <c r="CV48" s="36">
        <v>0</v>
      </c>
      <c r="CW48" s="36">
        <v>0</v>
      </c>
      <c r="CX48" s="36">
        <v>0</v>
      </c>
      <c r="CY48" s="36">
        <v>0</v>
      </c>
      <c r="CZ48" s="36">
        <v>0</v>
      </c>
      <c r="DA48" s="36">
        <v>0</v>
      </c>
      <c r="DB48" s="36">
        <v>1</v>
      </c>
      <c r="DC48" s="36">
        <v>0</v>
      </c>
      <c r="DD48" s="36">
        <v>0</v>
      </c>
      <c r="DE48" s="36">
        <v>0</v>
      </c>
      <c r="DF48" s="36">
        <v>0</v>
      </c>
      <c r="DG48" s="36">
        <v>0</v>
      </c>
      <c r="DH48" s="36">
        <v>0</v>
      </c>
      <c r="DI48" s="36">
        <v>1</v>
      </c>
      <c r="DJ48" s="36">
        <v>0</v>
      </c>
      <c r="DK48" s="36">
        <v>0</v>
      </c>
      <c r="DL48" s="36">
        <v>0</v>
      </c>
      <c r="DM48" s="36">
        <v>1</v>
      </c>
      <c r="DN48" s="36">
        <v>0</v>
      </c>
      <c r="DO48" s="37">
        <v>0</v>
      </c>
      <c r="DP48" s="188">
        <f t="shared" si="2"/>
        <v>8</v>
      </c>
      <c r="DQ48" s="40">
        <v>20</v>
      </c>
    </row>
    <row r="49" spans="10:121" s="3" customFormat="1" ht="18" customHeight="1" x14ac:dyDescent="0.2">
      <c r="J49" s="35">
        <v>4</v>
      </c>
      <c r="K49" s="36">
        <v>6</v>
      </c>
      <c r="L49" s="37">
        <v>2</v>
      </c>
      <c r="Q49" s="35">
        <v>4</v>
      </c>
      <c r="R49" s="36">
        <v>2</v>
      </c>
      <c r="S49" s="36">
        <v>3</v>
      </c>
      <c r="T49" s="37">
        <v>1</v>
      </c>
      <c r="AD49" s="145">
        <f t="shared" si="0"/>
        <v>46</v>
      </c>
      <c r="AE49" s="35">
        <v>34</v>
      </c>
      <c r="AF49" s="37">
        <v>7</v>
      </c>
      <c r="AG49" s="35">
        <v>0</v>
      </c>
      <c r="AH49" s="36">
        <v>0</v>
      </c>
      <c r="AI49" s="36">
        <v>1</v>
      </c>
      <c r="AJ49" s="37">
        <v>1</v>
      </c>
      <c r="AK49" s="35">
        <v>2</v>
      </c>
      <c r="AL49" s="37">
        <v>2</v>
      </c>
      <c r="AQ49" s="39">
        <v>46</v>
      </c>
      <c r="AR49" s="35">
        <v>4</v>
      </c>
      <c r="AS49" s="36">
        <v>2</v>
      </c>
      <c r="AT49" s="36">
        <v>3</v>
      </c>
      <c r="AU49" s="36">
        <v>1</v>
      </c>
      <c r="AV49" s="37">
        <v>37</v>
      </c>
      <c r="AX49" s="39">
        <v>46</v>
      </c>
      <c r="AY49" s="146" t="s">
        <v>122</v>
      </c>
      <c r="AZ49" s="99" t="s">
        <v>123</v>
      </c>
      <c r="BA49" s="99" t="s">
        <v>124</v>
      </c>
      <c r="BB49" s="147" t="s">
        <v>125</v>
      </c>
      <c r="BD49" s="39">
        <v>46</v>
      </c>
      <c r="BE49" s="35">
        <v>34</v>
      </c>
      <c r="BF49" s="36">
        <v>7</v>
      </c>
      <c r="BG49" s="36">
        <v>4</v>
      </c>
      <c r="BH49" s="37">
        <v>2</v>
      </c>
      <c r="BJ49" s="35">
        <v>4</v>
      </c>
      <c r="BK49" s="36">
        <v>1</v>
      </c>
      <c r="BL49" s="36">
        <v>1</v>
      </c>
      <c r="BM49" s="36">
        <v>0</v>
      </c>
      <c r="BN49" s="37">
        <v>0</v>
      </c>
      <c r="BO49" s="39">
        <v>2</v>
      </c>
      <c r="BR49" s="187" t="s">
        <v>133</v>
      </c>
      <c r="BS49" s="39">
        <v>8</v>
      </c>
      <c r="BT49" s="35">
        <v>0</v>
      </c>
      <c r="BU49" s="36">
        <v>0</v>
      </c>
      <c r="BV49" s="36">
        <v>0</v>
      </c>
      <c r="BW49" s="36">
        <v>0</v>
      </c>
      <c r="BX49" s="36">
        <v>0</v>
      </c>
      <c r="BY49" s="36">
        <v>0</v>
      </c>
      <c r="BZ49" s="36">
        <v>0</v>
      </c>
      <c r="CA49" s="36">
        <v>0</v>
      </c>
      <c r="CB49" s="36">
        <v>0</v>
      </c>
      <c r="CC49" s="36">
        <v>0</v>
      </c>
      <c r="CD49" s="36">
        <v>0</v>
      </c>
      <c r="CE49" s="36">
        <v>0</v>
      </c>
      <c r="CF49" s="36">
        <v>0</v>
      </c>
      <c r="CG49" s="36">
        <v>0</v>
      </c>
      <c r="CH49" s="36">
        <v>0</v>
      </c>
      <c r="CI49" s="36">
        <v>0</v>
      </c>
      <c r="CJ49" s="36">
        <v>0</v>
      </c>
      <c r="CK49" s="36">
        <v>0</v>
      </c>
      <c r="CL49" s="36">
        <v>0</v>
      </c>
      <c r="CM49" s="36">
        <v>0</v>
      </c>
      <c r="CN49" s="36">
        <v>0</v>
      </c>
      <c r="CO49" s="36">
        <v>0</v>
      </c>
      <c r="CP49" s="36">
        <v>0</v>
      </c>
      <c r="CQ49" s="36">
        <v>0</v>
      </c>
      <c r="CR49" s="36">
        <v>0</v>
      </c>
      <c r="CS49" s="36">
        <v>0</v>
      </c>
      <c r="CT49" s="36">
        <v>0</v>
      </c>
      <c r="CU49" s="36">
        <v>0</v>
      </c>
      <c r="CV49" s="36">
        <v>0</v>
      </c>
      <c r="CW49" s="36">
        <v>0</v>
      </c>
      <c r="CX49" s="36">
        <v>0</v>
      </c>
      <c r="CY49" s="36">
        <v>0</v>
      </c>
      <c r="CZ49" s="36">
        <v>0</v>
      </c>
      <c r="DA49" s="36">
        <v>0</v>
      </c>
      <c r="DB49" s="36">
        <v>0</v>
      </c>
      <c r="DC49" s="36">
        <v>1</v>
      </c>
      <c r="DD49" s="36">
        <v>0</v>
      </c>
      <c r="DE49" s="36">
        <v>0</v>
      </c>
      <c r="DF49" s="36">
        <v>0</v>
      </c>
      <c r="DG49" s="36">
        <v>0</v>
      </c>
      <c r="DH49" s="36">
        <v>0</v>
      </c>
      <c r="DI49" s="36">
        <v>0</v>
      </c>
      <c r="DJ49" s="36">
        <v>0</v>
      </c>
      <c r="DK49" s="36">
        <v>0</v>
      </c>
      <c r="DL49" s="36">
        <v>0</v>
      </c>
      <c r="DM49" s="36">
        <v>0</v>
      </c>
      <c r="DN49" s="36">
        <v>0</v>
      </c>
      <c r="DO49" s="37">
        <v>0</v>
      </c>
      <c r="DP49" s="188">
        <f t="shared" si="2"/>
        <v>1</v>
      </c>
      <c r="DQ49" s="40">
        <v>15</v>
      </c>
    </row>
    <row r="50" spans="10:121" s="3" customFormat="1" ht="18" customHeight="1" x14ac:dyDescent="0.2">
      <c r="J50" s="35">
        <v>4</v>
      </c>
      <c r="K50" s="36">
        <v>6</v>
      </c>
      <c r="L50" s="37">
        <v>3</v>
      </c>
      <c r="Q50" s="35">
        <v>4</v>
      </c>
      <c r="R50" s="36">
        <v>2</v>
      </c>
      <c r="S50" s="36">
        <v>4</v>
      </c>
      <c r="T50" s="37">
        <v>1</v>
      </c>
      <c r="AD50" s="145">
        <f t="shared" si="0"/>
        <v>47</v>
      </c>
      <c r="AE50" s="35">
        <v>34</v>
      </c>
      <c r="AF50" s="37">
        <v>9</v>
      </c>
      <c r="AG50" s="35">
        <v>0</v>
      </c>
      <c r="AH50" s="36">
        <v>0</v>
      </c>
      <c r="AI50" s="36">
        <v>1</v>
      </c>
      <c r="AJ50" s="37">
        <v>1</v>
      </c>
      <c r="AK50" s="35">
        <v>2</v>
      </c>
      <c r="AL50" s="37">
        <v>2</v>
      </c>
      <c r="AQ50" s="39">
        <v>47</v>
      </c>
      <c r="AR50" s="35">
        <v>4</v>
      </c>
      <c r="AS50" s="36">
        <v>2</v>
      </c>
      <c r="AT50" s="36">
        <v>4</v>
      </c>
      <c r="AU50" s="36">
        <v>1</v>
      </c>
      <c r="AV50" s="37">
        <v>37</v>
      </c>
      <c r="AX50" s="39">
        <v>47</v>
      </c>
      <c r="AY50" s="146" t="s">
        <v>122</v>
      </c>
      <c r="AZ50" s="99" t="s">
        <v>123</v>
      </c>
      <c r="BA50" s="99" t="s">
        <v>124</v>
      </c>
      <c r="BB50" s="147" t="s">
        <v>125</v>
      </c>
      <c r="BD50" s="39">
        <v>47</v>
      </c>
      <c r="BE50" s="35">
        <v>34</v>
      </c>
      <c r="BF50" s="36">
        <v>9</v>
      </c>
      <c r="BG50" s="36">
        <v>4</v>
      </c>
      <c r="BH50" s="37">
        <v>2</v>
      </c>
      <c r="BJ50" s="35">
        <v>4</v>
      </c>
      <c r="BK50" s="36">
        <v>1</v>
      </c>
      <c r="BL50" s="36">
        <v>1</v>
      </c>
      <c r="BM50" s="36">
        <v>0</v>
      </c>
      <c r="BN50" s="37">
        <v>0</v>
      </c>
      <c r="BO50" s="39">
        <v>2</v>
      </c>
      <c r="BR50" s="187" t="s">
        <v>134</v>
      </c>
      <c r="BS50" s="39">
        <v>9</v>
      </c>
      <c r="BT50" s="35">
        <v>0</v>
      </c>
      <c r="BU50" s="36">
        <v>0</v>
      </c>
      <c r="BV50" s="36">
        <v>0</v>
      </c>
      <c r="BW50" s="36">
        <v>0</v>
      </c>
      <c r="BX50" s="36">
        <v>0</v>
      </c>
      <c r="BY50" s="36">
        <v>1</v>
      </c>
      <c r="BZ50" s="36">
        <v>0</v>
      </c>
      <c r="CA50" s="36">
        <v>0</v>
      </c>
      <c r="CB50" s="36">
        <v>1</v>
      </c>
      <c r="CC50" s="36">
        <v>0</v>
      </c>
      <c r="CD50" s="36">
        <v>0</v>
      </c>
      <c r="CE50" s="36">
        <v>0</v>
      </c>
      <c r="CF50" s="36">
        <v>0</v>
      </c>
      <c r="CG50" s="36">
        <v>0</v>
      </c>
      <c r="CH50" s="36">
        <v>1</v>
      </c>
      <c r="CI50" s="36">
        <v>0</v>
      </c>
      <c r="CJ50" s="36">
        <v>0</v>
      </c>
      <c r="CK50" s="36">
        <v>0</v>
      </c>
      <c r="CL50" s="36">
        <v>0</v>
      </c>
      <c r="CM50" s="36">
        <v>0</v>
      </c>
      <c r="CN50" s="36">
        <v>0</v>
      </c>
      <c r="CO50" s="36">
        <v>1</v>
      </c>
      <c r="CP50" s="36">
        <v>0</v>
      </c>
      <c r="CQ50" s="36">
        <v>0</v>
      </c>
      <c r="CR50" s="36">
        <v>0</v>
      </c>
      <c r="CS50" s="36">
        <v>0</v>
      </c>
      <c r="CT50" s="36">
        <v>0</v>
      </c>
      <c r="CU50" s="36">
        <v>1</v>
      </c>
      <c r="CV50" s="36">
        <v>0</v>
      </c>
      <c r="CW50" s="36">
        <v>0</v>
      </c>
      <c r="CX50" s="36">
        <v>0</v>
      </c>
      <c r="CY50" s="36">
        <v>0</v>
      </c>
      <c r="CZ50" s="36">
        <v>0</v>
      </c>
      <c r="DA50" s="36">
        <v>0</v>
      </c>
      <c r="DB50" s="36">
        <v>0</v>
      </c>
      <c r="DC50" s="36">
        <v>0</v>
      </c>
      <c r="DD50" s="36">
        <v>1</v>
      </c>
      <c r="DE50" s="36">
        <v>0</v>
      </c>
      <c r="DF50" s="36">
        <v>0</v>
      </c>
      <c r="DG50" s="36">
        <v>0</v>
      </c>
      <c r="DH50" s="36">
        <v>0</v>
      </c>
      <c r="DI50" s="36">
        <v>0</v>
      </c>
      <c r="DJ50" s="36">
        <v>1</v>
      </c>
      <c r="DK50" s="36">
        <v>0</v>
      </c>
      <c r="DL50" s="36">
        <v>0</v>
      </c>
      <c r="DM50" s="36">
        <v>0</v>
      </c>
      <c r="DN50" s="36">
        <v>1</v>
      </c>
      <c r="DO50" s="37">
        <v>0</v>
      </c>
      <c r="DP50" s="188">
        <f t="shared" si="2"/>
        <v>8</v>
      </c>
      <c r="DQ50" s="40">
        <v>90</v>
      </c>
    </row>
    <row r="51" spans="10:121" s="3" customFormat="1" ht="18.5" customHeight="1" x14ac:dyDescent="0.2">
      <c r="J51" s="35">
        <v>4</v>
      </c>
      <c r="K51" s="36">
        <v>6</v>
      </c>
      <c r="L51" s="37">
        <v>4</v>
      </c>
      <c r="Q51" s="35">
        <v>4</v>
      </c>
      <c r="R51" s="36">
        <v>4</v>
      </c>
      <c r="S51" s="36">
        <v>1</v>
      </c>
      <c r="T51" s="37">
        <v>1</v>
      </c>
      <c r="AD51" s="189">
        <f t="shared" si="0"/>
        <v>48</v>
      </c>
      <c r="AE51" s="32">
        <v>82</v>
      </c>
      <c r="AF51" s="34">
        <v>4</v>
      </c>
      <c r="AG51" s="32">
        <v>0</v>
      </c>
      <c r="AH51" s="33">
        <v>0</v>
      </c>
      <c r="AI51" s="33">
        <v>1</v>
      </c>
      <c r="AJ51" s="34">
        <v>1</v>
      </c>
      <c r="AK51" s="32">
        <v>2</v>
      </c>
      <c r="AL51" s="34">
        <v>2</v>
      </c>
      <c r="AQ51" s="39">
        <v>48</v>
      </c>
      <c r="AR51" s="35">
        <v>4</v>
      </c>
      <c r="AS51" s="36">
        <v>4</v>
      </c>
      <c r="AT51" s="36">
        <v>1</v>
      </c>
      <c r="AU51" s="36">
        <v>1</v>
      </c>
      <c r="AV51" s="37">
        <v>37</v>
      </c>
      <c r="AX51" s="56">
        <v>48</v>
      </c>
      <c r="AY51" s="190" t="s">
        <v>122</v>
      </c>
      <c r="AZ51" s="163" t="s">
        <v>123</v>
      </c>
      <c r="BA51" s="163" t="s">
        <v>124</v>
      </c>
      <c r="BB51" s="191" t="s">
        <v>125</v>
      </c>
      <c r="BD51" s="56">
        <v>48</v>
      </c>
      <c r="BE51" s="32">
        <v>82</v>
      </c>
      <c r="BF51" s="33">
        <v>4</v>
      </c>
      <c r="BG51" s="33">
        <v>4</v>
      </c>
      <c r="BH51" s="34">
        <v>3</v>
      </c>
      <c r="BJ51" s="32">
        <v>4</v>
      </c>
      <c r="BK51" s="33">
        <v>1</v>
      </c>
      <c r="BL51" s="33">
        <v>1</v>
      </c>
      <c r="BM51" s="33">
        <v>0</v>
      </c>
      <c r="BN51" s="34">
        <v>0</v>
      </c>
      <c r="BO51" s="56">
        <v>2</v>
      </c>
      <c r="BR51" s="192" t="s">
        <v>135</v>
      </c>
      <c r="BS51" s="56">
        <v>10</v>
      </c>
      <c r="BT51" s="32">
        <v>0</v>
      </c>
      <c r="BU51" s="33">
        <v>0</v>
      </c>
      <c r="BV51" s="33">
        <v>0</v>
      </c>
      <c r="BW51" s="33">
        <v>0</v>
      </c>
      <c r="BX51" s="33">
        <v>0</v>
      </c>
      <c r="BY51" s="33">
        <v>0</v>
      </c>
      <c r="BZ51" s="33">
        <v>0</v>
      </c>
      <c r="CA51" s="33">
        <v>0</v>
      </c>
      <c r="CB51" s="33">
        <v>0</v>
      </c>
      <c r="CC51" s="33">
        <v>0</v>
      </c>
      <c r="CD51" s="33">
        <v>0</v>
      </c>
      <c r="CE51" s="33">
        <v>0</v>
      </c>
      <c r="CF51" s="33">
        <v>0</v>
      </c>
      <c r="CG51" s="33">
        <v>0</v>
      </c>
      <c r="CH51" s="33">
        <v>0</v>
      </c>
      <c r="CI51" s="33">
        <v>0</v>
      </c>
      <c r="CJ51" s="33">
        <v>0</v>
      </c>
      <c r="CK51" s="33">
        <v>0</v>
      </c>
      <c r="CL51" s="33">
        <v>0</v>
      </c>
      <c r="CM51" s="33">
        <v>0</v>
      </c>
      <c r="CN51" s="33">
        <v>0</v>
      </c>
      <c r="CO51" s="33">
        <v>0</v>
      </c>
      <c r="CP51" s="33">
        <v>0</v>
      </c>
      <c r="CQ51" s="33">
        <v>0</v>
      </c>
      <c r="CR51" s="33">
        <v>0</v>
      </c>
      <c r="CS51" s="33">
        <v>0</v>
      </c>
      <c r="CT51" s="33">
        <v>0</v>
      </c>
      <c r="CU51" s="33">
        <v>0</v>
      </c>
      <c r="CV51" s="33">
        <v>0</v>
      </c>
      <c r="CW51" s="33">
        <v>0</v>
      </c>
      <c r="CX51" s="33">
        <v>0</v>
      </c>
      <c r="CY51" s="33">
        <v>0</v>
      </c>
      <c r="CZ51" s="33">
        <v>0</v>
      </c>
      <c r="DA51" s="33">
        <v>0</v>
      </c>
      <c r="DB51" s="33">
        <v>0</v>
      </c>
      <c r="DC51" s="33">
        <v>0</v>
      </c>
      <c r="DD51" s="33">
        <v>0</v>
      </c>
      <c r="DE51" s="33">
        <v>1</v>
      </c>
      <c r="DF51" s="33">
        <v>0</v>
      </c>
      <c r="DG51" s="33">
        <v>0</v>
      </c>
      <c r="DH51" s="33">
        <v>0</v>
      </c>
      <c r="DI51" s="33">
        <v>0</v>
      </c>
      <c r="DJ51" s="33">
        <v>0</v>
      </c>
      <c r="DK51" s="33">
        <v>0</v>
      </c>
      <c r="DL51" s="33">
        <v>0</v>
      </c>
      <c r="DM51" s="33">
        <v>0</v>
      </c>
      <c r="DN51" s="33">
        <v>0</v>
      </c>
      <c r="DO51" s="34">
        <v>0</v>
      </c>
      <c r="DP51" s="193">
        <f t="shared" si="2"/>
        <v>1</v>
      </c>
      <c r="DQ51" s="57">
        <v>45</v>
      </c>
    </row>
    <row r="52" spans="10:121" s="3" customFormat="1" ht="19" customHeight="1" x14ac:dyDescent="0.2">
      <c r="J52" s="35">
        <v>4</v>
      </c>
      <c r="K52" s="36">
        <v>7</v>
      </c>
      <c r="L52" s="37">
        <v>1</v>
      </c>
      <c r="Q52" s="35">
        <v>4</v>
      </c>
      <c r="R52" s="36">
        <v>4</v>
      </c>
      <c r="S52" s="36">
        <v>2</v>
      </c>
      <c r="T52" s="37">
        <v>1</v>
      </c>
      <c r="AD52" s="17" t="s">
        <v>74</v>
      </c>
      <c r="AG52" s="10">
        <v>14</v>
      </c>
      <c r="AH52" s="10">
        <v>23</v>
      </c>
      <c r="AI52" s="10">
        <v>48</v>
      </c>
      <c r="AJ52" s="11">
        <v>48</v>
      </c>
      <c r="AK52" s="94">
        <v>133</v>
      </c>
      <c r="AL52" s="94">
        <f>SUM(AL4:AL51)</f>
        <v>59</v>
      </c>
      <c r="AQ52" s="39">
        <v>49</v>
      </c>
      <c r="AR52" s="35">
        <v>4</v>
      </c>
      <c r="AS52" s="36">
        <v>4</v>
      </c>
      <c r="AT52" s="36">
        <v>2</v>
      </c>
      <c r="AU52" s="36">
        <v>1</v>
      </c>
      <c r="AV52" s="37">
        <v>37</v>
      </c>
      <c r="DO52" s="8" t="s">
        <v>74</v>
      </c>
      <c r="DP52" s="194">
        <f>SUM(DP42:DP51)</f>
        <v>48</v>
      </c>
      <c r="DQ52" s="194">
        <f>SUM(DQ42:DQ51)</f>
        <v>368</v>
      </c>
    </row>
    <row r="53" spans="10:121" s="3" customFormat="1" ht="18.5" customHeight="1" x14ac:dyDescent="0.2">
      <c r="J53" s="35">
        <v>4</v>
      </c>
      <c r="K53" s="36">
        <v>7</v>
      </c>
      <c r="L53" s="37">
        <v>2</v>
      </c>
      <c r="Q53" s="35">
        <v>4</v>
      </c>
      <c r="R53" s="36">
        <v>4</v>
      </c>
      <c r="S53" s="36">
        <v>3</v>
      </c>
      <c r="T53" s="37">
        <v>1</v>
      </c>
      <c r="W53" s="21"/>
      <c r="X53" s="21"/>
      <c r="Y53" s="21"/>
      <c r="AA53" s="21"/>
      <c r="AB53" s="21"/>
      <c r="AC53" s="21"/>
      <c r="AE53" s="111"/>
      <c r="AQ53" s="39">
        <v>50</v>
      </c>
      <c r="AR53" s="35">
        <v>4</v>
      </c>
      <c r="AS53" s="36">
        <v>4</v>
      </c>
      <c r="AT53" s="36">
        <v>3</v>
      </c>
      <c r="AU53" s="36">
        <v>1</v>
      </c>
      <c r="AV53" s="37">
        <v>37</v>
      </c>
    </row>
    <row r="54" spans="10:121" s="3" customFormat="1" ht="18.5" customHeight="1" x14ac:dyDescent="0.2">
      <c r="J54" s="35">
        <v>4</v>
      </c>
      <c r="K54" s="36">
        <v>7</v>
      </c>
      <c r="L54" s="37">
        <v>3</v>
      </c>
      <c r="Q54" s="35">
        <v>4</v>
      </c>
      <c r="R54" s="36">
        <v>4</v>
      </c>
      <c r="S54" s="36">
        <v>4</v>
      </c>
      <c r="T54" s="37">
        <v>1</v>
      </c>
      <c r="W54" s="21"/>
      <c r="X54" s="21"/>
      <c r="AE54" s="21"/>
      <c r="AQ54" s="39">
        <v>51</v>
      </c>
      <c r="AR54" s="35">
        <v>4</v>
      </c>
      <c r="AS54" s="36">
        <v>4</v>
      </c>
      <c r="AT54" s="36">
        <v>4</v>
      </c>
      <c r="AU54" s="36">
        <v>1</v>
      </c>
      <c r="AV54" s="37">
        <v>37</v>
      </c>
      <c r="BR54" s="14" t="s">
        <v>162</v>
      </c>
    </row>
    <row r="55" spans="10:121" s="3" customFormat="1" ht="19" customHeight="1" x14ac:dyDescent="0.2">
      <c r="J55" s="35">
        <v>4</v>
      </c>
      <c r="K55" s="36">
        <v>7</v>
      </c>
      <c r="L55" s="37">
        <v>4</v>
      </c>
      <c r="Q55" s="35">
        <v>4</v>
      </c>
      <c r="R55" s="36">
        <v>5</v>
      </c>
      <c r="S55" s="36">
        <v>1</v>
      </c>
      <c r="T55" s="37">
        <v>1</v>
      </c>
      <c r="W55" s="21"/>
      <c r="X55" s="21"/>
      <c r="Y55" s="21"/>
      <c r="AA55" s="21"/>
      <c r="AB55" s="21"/>
      <c r="AC55" s="21"/>
      <c r="AE55" s="21"/>
      <c r="AQ55" s="39">
        <v>52</v>
      </c>
      <c r="AR55" s="35">
        <v>4</v>
      </c>
      <c r="AS55" s="36">
        <v>5</v>
      </c>
      <c r="AT55" s="36">
        <v>1</v>
      </c>
      <c r="AU55" s="36">
        <v>1</v>
      </c>
      <c r="AV55" s="37">
        <v>37</v>
      </c>
      <c r="BQ55" s="6" t="s">
        <v>163</v>
      </c>
      <c r="BR55" s="8" t="s">
        <v>164</v>
      </c>
      <c r="BS55" s="9">
        <v>1</v>
      </c>
      <c r="BT55" s="10">
        <v>2</v>
      </c>
      <c r="BU55" s="10">
        <v>3</v>
      </c>
      <c r="BV55" s="10">
        <v>4</v>
      </c>
      <c r="BW55" s="10">
        <v>5</v>
      </c>
      <c r="BX55" s="10">
        <v>6</v>
      </c>
      <c r="BY55" s="10">
        <v>7</v>
      </c>
      <c r="BZ55" s="10">
        <v>8</v>
      </c>
      <c r="CA55" s="10">
        <v>9</v>
      </c>
      <c r="CB55" s="10">
        <v>10</v>
      </c>
      <c r="CC55" s="10">
        <v>11</v>
      </c>
      <c r="CD55" s="10">
        <v>12</v>
      </c>
      <c r="CE55" s="10">
        <v>13</v>
      </c>
      <c r="CF55" s="10">
        <v>14</v>
      </c>
      <c r="CG55" s="10">
        <v>15</v>
      </c>
      <c r="CH55" s="10">
        <v>16</v>
      </c>
      <c r="CI55" s="10">
        <v>17</v>
      </c>
      <c r="CJ55" s="10">
        <v>18</v>
      </c>
      <c r="CK55" s="10">
        <v>19</v>
      </c>
      <c r="CL55" s="10">
        <v>20</v>
      </c>
      <c r="CM55" s="10">
        <v>21</v>
      </c>
      <c r="CN55" s="10">
        <v>22</v>
      </c>
      <c r="CO55" s="10">
        <v>23</v>
      </c>
      <c r="CP55" s="10">
        <v>24</v>
      </c>
      <c r="CQ55" s="10">
        <v>25</v>
      </c>
      <c r="CR55" s="10">
        <v>26</v>
      </c>
      <c r="CS55" s="10">
        <v>27</v>
      </c>
      <c r="CT55" s="10">
        <v>28</v>
      </c>
      <c r="CU55" s="10">
        <v>29</v>
      </c>
      <c r="CV55" s="10">
        <v>30</v>
      </c>
      <c r="CW55" s="10">
        <v>31</v>
      </c>
      <c r="CX55" s="10">
        <v>32</v>
      </c>
      <c r="CY55" s="10">
        <v>33</v>
      </c>
      <c r="CZ55" s="10">
        <v>34</v>
      </c>
      <c r="DA55" s="10">
        <v>35</v>
      </c>
      <c r="DB55" s="10">
        <v>36</v>
      </c>
      <c r="DC55" s="10">
        <v>37</v>
      </c>
      <c r="DD55" s="10">
        <v>38</v>
      </c>
      <c r="DE55" s="10">
        <v>39</v>
      </c>
      <c r="DF55" s="10">
        <v>40</v>
      </c>
      <c r="DG55" s="10">
        <v>41</v>
      </c>
      <c r="DH55" s="10">
        <v>42</v>
      </c>
      <c r="DI55" s="10">
        <v>43</v>
      </c>
      <c r="DJ55" s="10">
        <v>44</v>
      </c>
      <c r="DK55" s="10">
        <v>45</v>
      </c>
      <c r="DL55" s="10">
        <v>46</v>
      </c>
      <c r="DM55" s="10">
        <v>47</v>
      </c>
      <c r="DN55" s="11">
        <v>48</v>
      </c>
    </row>
    <row r="56" spans="10:121" s="3" customFormat="1" ht="19" customHeight="1" x14ac:dyDescent="0.2">
      <c r="J56" s="35">
        <v>4</v>
      </c>
      <c r="K56" s="36">
        <v>9</v>
      </c>
      <c r="L56" s="37">
        <v>1</v>
      </c>
      <c r="Q56" s="35">
        <v>4</v>
      </c>
      <c r="R56" s="36">
        <v>5</v>
      </c>
      <c r="S56" s="36">
        <v>2</v>
      </c>
      <c r="T56" s="37">
        <v>1</v>
      </c>
      <c r="W56" s="21"/>
      <c r="X56" s="21"/>
      <c r="Y56" s="21"/>
      <c r="AA56" s="21"/>
      <c r="AB56" s="21"/>
      <c r="AC56" s="21"/>
      <c r="AE56" s="21"/>
      <c r="AQ56" s="39">
        <v>53</v>
      </c>
      <c r="AR56" s="35">
        <v>4</v>
      </c>
      <c r="AS56" s="36">
        <v>5</v>
      </c>
      <c r="AT56" s="36">
        <v>2</v>
      </c>
      <c r="AU56" s="36">
        <v>1</v>
      </c>
      <c r="AV56" s="37">
        <v>37</v>
      </c>
      <c r="AW56" s="8" t="s">
        <v>165</v>
      </c>
      <c r="AX56" s="8" t="s">
        <v>166</v>
      </c>
      <c r="AY56" s="9">
        <v>1</v>
      </c>
      <c r="AZ56" s="10">
        <v>2</v>
      </c>
      <c r="BA56" s="10">
        <v>3</v>
      </c>
      <c r="BB56" s="11">
        <v>4</v>
      </c>
      <c r="BR56" s="28">
        <v>1</v>
      </c>
      <c r="BS56" s="23">
        <v>0</v>
      </c>
      <c r="BT56" s="24">
        <v>0</v>
      </c>
      <c r="BU56" s="24">
        <v>0</v>
      </c>
      <c r="BV56" s="24">
        <v>0</v>
      </c>
      <c r="BW56" s="24">
        <v>0</v>
      </c>
      <c r="BX56" s="24">
        <v>0</v>
      </c>
      <c r="BY56" s="24">
        <v>1</v>
      </c>
      <c r="BZ56" s="24">
        <v>1</v>
      </c>
      <c r="CA56" s="24">
        <v>1</v>
      </c>
      <c r="CB56" s="24">
        <v>1</v>
      </c>
      <c r="CC56" s="24">
        <v>1</v>
      </c>
      <c r="CD56" s="24">
        <v>1</v>
      </c>
      <c r="CE56" s="24">
        <v>1</v>
      </c>
      <c r="CF56" s="24">
        <v>1</v>
      </c>
      <c r="CG56" s="24">
        <v>1</v>
      </c>
      <c r="CH56" s="24">
        <v>0</v>
      </c>
      <c r="CI56" s="24">
        <v>0</v>
      </c>
      <c r="CJ56" s="24">
        <v>0</v>
      </c>
      <c r="CK56" s="24">
        <v>0</v>
      </c>
      <c r="CL56" s="24">
        <v>0</v>
      </c>
      <c r="CM56" s="24">
        <v>0</v>
      </c>
      <c r="CN56" s="24">
        <v>0</v>
      </c>
      <c r="CO56" s="24">
        <v>0</v>
      </c>
      <c r="CP56" s="24">
        <v>0</v>
      </c>
      <c r="CQ56" s="24">
        <v>0</v>
      </c>
      <c r="CR56" s="24">
        <v>0</v>
      </c>
      <c r="CS56" s="24">
        <v>0</v>
      </c>
      <c r="CT56" s="24">
        <v>0</v>
      </c>
      <c r="CU56" s="24">
        <v>0</v>
      </c>
      <c r="CV56" s="24">
        <v>0</v>
      </c>
      <c r="CW56" s="24">
        <v>0</v>
      </c>
      <c r="CX56" s="24">
        <v>0</v>
      </c>
      <c r="CY56" s="24">
        <v>0</v>
      </c>
      <c r="CZ56" s="24">
        <v>0</v>
      </c>
      <c r="DA56" s="24">
        <v>0</v>
      </c>
      <c r="DB56" s="24">
        <v>0</v>
      </c>
      <c r="DC56" s="24">
        <v>0</v>
      </c>
      <c r="DD56" s="24">
        <v>0</v>
      </c>
      <c r="DE56" s="24">
        <v>0</v>
      </c>
      <c r="DF56" s="24">
        <v>0</v>
      </c>
      <c r="DG56" s="24">
        <v>0</v>
      </c>
      <c r="DH56" s="24">
        <v>0</v>
      </c>
      <c r="DI56" s="24">
        <v>0</v>
      </c>
      <c r="DJ56" s="24">
        <v>0</v>
      </c>
      <c r="DK56" s="24">
        <v>0</v>
      </c>
      <c r="DL56" s="24">
        <v>0</v>
      </c>
      <c r="DM56" s="24">
        <v>0</v>
      </c>
      <c r="DN56" s="25">
        <v>0</v>
      </c>
    </row>
    <row r="57" spans="10:121" s="3" customFormat="1" ht="18.5" customHeight="1" x14ac:dyDescent="0.2">
      <c r="J57" s="35">
        <v>4</v>
      </c>
      <c r="K57" s="36">
        <v>9</v>
      </c>
      <c r="L57" s="37">
        <v>2</v>
      </c>
      <c r="Q57" s="35">
        <v>4</v>
      </c>
      <c r="R57" s="36">
        <v>5</v>
      </c>
      <c r="S57" s="36">
        <v>3</v>
      </c>
      <c r="T57" s="37">
        <v>1</v>
      </c>
      <c r="W57" s="21"/>
      <c r="X57" s="21"/>
      <c r="Y57" s="21"/>
      <c r="AA57" s="21"/>
      <c r="AB57" s="21"/>
      <c r="AC57" s="21"/>
      <c r="AE57" s="21"/>
      <c r="AQ57" s="39">
        <v>54</v>
      </c>
      <c r="AR57" s="35">
        <v>4</v>
      </c>
      <c r="AS57" s="36">
        <v>5</v>
      </c>
      <c r="AT57" s="36">
        <v>3</v>
      </c>
      <c r="AU57" s="36">
        <v>1</v>
      </c>
      <c r="AV57" s="37">
        <v>37</v>
      </c>
      <c r="AX57" s="174">
        <v>1</v>
      </c>
      <c r="AY57" s="23">
        <v>0</v>
      </c>
      <c r="AZ57" s="24">
        <v>0</v>
      </c>
      <c r="BA57" s="24">
        <v>1</v>
      </c>
      <c r="BB57" s="25">
        <v>1</v>
      </c>
      <c r="BR57" s="39">
        <v>4</v>
      </c>
      <c r="BS57" s="35">
        <v>1</v>
      </c>
      <c r="BT57" s="36">
        <v>1</v>
      </c>
      <c r="BU57" s="36">
        <v>1</v>
      </c>
      <c r="BV57" s="36">
        <v>1</v>
      </c>
      <c r="BW57" s="36">
        <v>1</v>
      </c>
      <c r="BX57" s="36">
        <v>1</v>
      </c>
      <c r="BY57" s="36">
        <v>0</v>
      </c>
      <c r="BZ57" s="36">
        <v>0</v>
      </c>
      <c r="CA57" s="36">
        <v>0</v>
      </c>
      <c r="CB57" s="36">
        <v>0</v>
      </c>
      <c r="CC57" s="36">
        <v>0</v>
      </c>
      <c r="CD57" s="36">
        <v>0</v>
      </c>
      <c r="CE57" s="36">
        <v>0</v>
      </c>
      <c r="CF57" s="36">
        <v>0</v>
      </c>
      <c r="CG57" s="36">
        <v>0</v>
      </c>
      <c r="CH57" s="36">
        <v>0</v>
      </c>
      <c r="CI57" s="36">
        <v>0</v>
      </c>
      <c r="CJ57" s="36">
        <v>0</v>
      </c>
      <c r="CK57" s="36">
        <v>0</v>
      </c>
      <c r="CL57" s="36">
        <v>0</v>
      </c>
      <c r="CM57" s="36">
        <v>0</v>
      </c>
      <c r="CN57" s="36">
        <v>0</v>
      </c>
      <c r="CO57" s="36">
        <v>0</v>
      </c>
      <c r="CP57" s="36">
        <v>0</v>
      </c>
      <c r="CQ57" s="36">
        <v>0</v>
      </c>
      <c r="CR57" s="36">
        <v>0</v>
      </c>
      <c r="CS57" s="36">
        <v>0</v>
      </c>
      <c r="CT57" s="36">
        <v>0</v>
      </c>
      <c r="CU57" s="36">
        <v>1</v>
      </c>
      <c r="CV57" s="36">
        <v>1</v>
      </c>
      <c r="CW57" s="36">
        <v>1</v>
      </c>
      <c r="CX57" s="36">
        <v>1</v>
      </c>
      <c r="CY57" s="36">
        <v>1</v>
      </c>
      <c r="CZ57" s="36">
        <v>1</v>
      </c>
      <c r="DA57" s="36">
        <v>1</v>
      </c>
      <c r="DB57" s="36">
        <v>1</v>
      </c>
      <c r="DC57" s="36">
        <v>1</v>
      </c>
      <c r="DD57" s="36">
        <v>1</v>
      </c>
      <c r="DE57" s="36">
        <v>1</v>
      </c>
      <c r="DF57" s="36">
        <v>1</v>
      </c>
      <c r="DG57" s="36">
        <v>1</v>
      </c>
      <c r="DH57" s="36">
        <v>1</v>
      </c>
      <c r="DI57" s="36">
        <v>1</v>
      </c>
      <c r="DJ57" s="36">
        <v>0</v>
      </c>
      <c r="DK57" s="36">
        <v>1</v>
      </c>
      <c r="DL57" s="36">
        <v>1</v>
      </c>
      <c r="DM57" s="36">
        <v>1</v>
      </c>
      <c r="DN57" s="37">
        <v>1</v>
      </c>
    </row>
    <row r="58" spans="10:121" s="3" customFormat="1" ht="18.5" customHeight="1" x14ac:dyDescent="0.2">
      <c r="J58" s="35">
        <v>4</v>
      </c>
      <c r="K58" s="36">
        <v>9</v>
      </c>
      <c r="L58" s="37">
        <v>3</v>
      </c>
      <c r="Q58" s="35">
        <v>4</v>
      </c>
      <c r="R58" s="36">
        <v>5</v>
      </c>
      <c r="S58" s="36">
        <v>4</v>
      </c>
      <c r="T58" s="37">
        <v>1</v>
      </c>
      <c r="W58" s="21"/>
      <c r="X58" s="21"/>
      <c r="Y58" s="21"/>
      <c r="AA58" s="21"/>
      <c r="AB58" s="21"/>
      <c r="AC58" s="21"/>
      <c r="AE58" s="21"/>
      <c r="AQ58" s="39">
        <v>55</v>
      </c>
      <c r="AR58" s="35">
        <v>4</v>
      </c>
      <c r="AS58" s="36">
        <v>5</v>
      </c>
      <c r="AT58" s="36">
        <v>4</v>
      </c>
      <c r="AU58" s="36">
        <v>1</v>
      </c>
      <c r="AV58" s="37">
        <v>37</v>
      </c>
      <c r="AX58" s="195">
        <v>2</v>
      </c>
      <c r="AY58" s="35">
        <v>0</v>
      </c>
      <c r="AZ58" s="36">
        <v>0</v>
      </c>
      <c r="BA58" s="36">
        <v>1</v>
      </c>
      <c r="BB58" s="37">
        <v>1</v>
      </c>
      <c r="BR58" s="56">
        <v>37</v>
      </c>
      <c r="BS58" s="32">
        <v>0</v>
      </c>
      <c r="BT58" s="33">
        <v>0</v>
      </c>
      <c r="BU58" s="33">
        <v>0</v>
      </c>
      <c r="BV58" s="33">
        <v>0</v>
      </c>
      <c r="BW58" s="33">
        <v>0</v>
      </c>
      <c r="BX58" s="33">
        <v>0</v>
      </c>
      <c r="BY58" s="33">
        <v>0</v>
      </c>
      <c r="BZ58" s="33">
        <v>0</v>
      </c>
      <c r="CA58" s="33">
        <v>0</v>
      </c>
      <c r="CB58" s="33">
        <v>0</v>
      </c>
      <c r="CC58" s="33">
        <v>0</v>
      </c>
      <c r="CD58" s="33">
        <v>0</v>
      </c>
      <c r="CE58" s="33">
        <v>0</v>
      </c>
      <c r="CF58" s="33">
        <v>0</v>
      </c>
      <c r="CG58" s="33">
        <v>0</v>
      </c>
      <c r="CH58" s="33">
        <v>1</v>
      </c>
      <c r="CI58" s="33">
        <v>1</v>
      </c>
      <c r="CJ58" s="33">
        <v>1</v>
      </c>
      <c r="CK58" s="33">
        <v>1</v>
      </c>
      <c r="CL58" s="33">
        <v>1</v>
      </c>
      <c r="CM58" s="33">
        <v>1</v>
      </c>
      <c r="CN58" s="33">
        <v>1</v>
      </c>
      <c r="CO58" s="33">
        <v>1</v>
      </c>
      <c r="CP58" s="33">
        <v>1</v>
      </c>
      <c r="CQ58" s="33">
        <v>1</v>
      </c>
      <c r="CR58" s="33">
        <v>1</v>
      </c>
      <c r="CS58" s="33">
        <v>1</v>
      </c>
      <c r="CT58" s="33">
        <v>1</v>
      </c>
      <c r="CU58" s="33">
        <v>0</v>
      </c>
      <c r="CV58" s="33">
        <v>0</v>
      </c>
      <c r="CW58" s="33">
        <v>0</v>
      </c>
      <c r="CX58" s="33">
        <v>0</v>
      </c>
      <c r="CY58" s="33">
        <v>0</v>
      </c>
      <c r="CZ58" s="33">
        <v>0</v>
      </c>
      <c r="DA58" s="33">
        <v>0</v>
      </c>
      <c r="DB58" s="33">
        <v>0</v>
      </c>
      <c r="DC58" s="33">
        <v>0</v>
      </c>
      <c r="DD58" s="33">
        <v>0</v>
      </c>
      <c r="DE58" s="33">
        <v>0</v>
      </c>
      <c r="DF58" s="33">
        <v>0</v>
      </c>
      <c r="DG58" s="33">
        <v>0</v>
      </c>
      <c r="DH58" s="33">
        <v>0</v>
      </c>
      <c r="DI58" s="33">
        <v>0</v>
      </c>
      <c r="DJ58" s="33">
        <v>1</v>
      </c>
      <c r="DK58" s="33">
        <v>0</v>
      </c>
      <c r="DL58" s="33">
        <v>0</v>
      </c>
      <c r="DM58" s="33">
        <v>0</v>
      </c>
      <c r="DN58" s="34">
        <v>0</v>
      </c>
    </row>
    <row r="59" spans="10:121" s="3" customFormat="1" ht="18.5" customHeight="1" x14ac:dyDescent="0.2">
      <c r="J59" s="35">
        <v>4</v>
      </c>
      <c r="K59" s="36">
        <v>9</v>
      </c>
      <c r="L59" s="37">
        <v>4</v>
      </c>
      <c r="Q59" s="35">
        <v>4</v>
      </c>
      <c r="R59" s="36">
        <v>6</v>
      </c>
      <c r="S59" s="36">
        <v>1</v>
      </c>
      <c r="T59" s="37">
        <v>1</v>
      </c>
      <c r="W59" s="21"/>
      <c r="X59" s="21"/>
      <c r="Y59" s="21"/>
      <c r="AA59" s="21"/>
      <c r="AB59" s="21"/>
      <c r="AC59" s="21"/>
      <c r="AE59" s="21"/>
      <c r="AQ59" s="39">
        <v>56</v>
      </c>
      <c r="AR59" s="35">
        <v>4</v>
      </c>
      <c r="AS59" s="36">
        <v>6</v>
      </c>
      <c r="AT59" s="36">
        <v>1</v>
      </c>
      <c r="AU59" s="36">
        <v>1</v>
      </c>
      <c r="AV59" s="37">
        <v>37</v>
      </c>
      <c r="AX59" s="195">
        <v>3</v>
      </c>
      <c r="AY59" s="35">
        <v>0</v>
      </c>
      <c r="AZ59" s="36">
        <v>0</v>
      </c>
      <c r="BA59" s="36">
        <v>1</v>
      </c>
      <c r="BB59" s="37">
        <v>1</v>
      </c>
    </row>
    <row r="60" spans="10:121" s="3" customFormat="1" ht="18.5" customHeight="1" x14ac:dyDescent="0.2">
      <c r="J60" s="35">
        <v>6</v>
      </c>
      <c r="K60" s="36">
        <v>1</v>
      </c>
      <c r="L60" s="37">
        <v>1</v>
      </c>
      <c r="Q60" s="35">
        <v>4</v>
      </c>
      <c r="R60" s="36">
        <v>6</v>
      </c>
      <c r="S60" s="36">
        <v>2</v>
      </c>
      <c r="T60" s="37">
        <v>1</v>
      </c>
      <c r="W60" s="21"/>
      <c r="X60" s="21"/>
      <c r="Y60" s="21"/>
      <c r="AA60" s="21"/>
      <c r="AB60" s="21"/>
      <c r="AC60" s="21"/>
      <c r="AE60" s="21"/>
      <c r="AQ60" s="39">
        <v>57</v>
      </c>
      <c r="AR60" s="35">
        <v>4</v>
      </c>
      <c r="AS60" s="36">
        <v>6</v>
      </c>
      <c r="AT60" s="36">
        <v>2</v>
      </c>
      <c r="AU60" s="36">
        <v>1</v>
      </c>
      <c r="AV60" s="37">
        <v>37</v>
      </c>
      <c r="AX60" s="195">
        <v>4</v>
      </c>
      <c r="AY60" s="35">
        <v>0</v>
      </c>
      <c r="AZ60" s="36">
        <v>0</v>
      </c>
      <c r="BA60" s="36">
        <v>1</v>
      </c>
      <c r="BB60" s="37">
        <v>1</v>
      </c>
    </row>
    <row r="61" spans="10:121" s="3" customFormat="1" ht="19" customHeight="1" x14ac:dyDescent="0.2">
      <c r="J61" s="35">
        <v>6</v>
      </c>
      <c r="K61" s="36">
        <v>1</v>
      </c>
      <c r="L61" s="37">
        <v>2</v>
      </c>
      <c r="Q61" s="35">
        <v>4</v>
      </c>
      <c r="R61" s="36">
        <v>6</v>
      </c>
      <c r="S61" s="36">
        <v>3</v>
      </c>
      <c r="T61" s="37">
        <v>1</v>
      </c>
      <c r="W61" s="21"/>
      <c r="X61" s="21"/>
      <c r="Y61" s="21"/>
      <c r="AA61" s="21"/>
      <c r="AB61" s="21"/>
      <c r="AC61" s="21"/>
      <c r="AE61" s="21"/>
      <c r="AQ61" s="39">
        <v>58</v>
      </c>
      <c r="AR61" s="35">
        <v>4</v>
      </c>
      <c r="AS61" s="36">
        <v>6</v>
      </c>
      <c r="AT61" s="36">
        <v>3</v>
      </c>
      <c r="AU61" s="36">
        <v>1</v>
      </c>
      <c r="AV61" s="37">
        <v>37</v>
      </c>
      <c r="AX61" s="195">
        <v>5</v>
      </c>
      <c r="AY61" s="35">
        <v>0</v>
      </c>
      <c r="AZ61" s="36">
        <v>0</v>
      </c>
      <c r="BA61" s="36">
        <v>1</v>
      </c>
      <c r="BB61" s="37">
        <v>1</v>
      </c>
      <c r="BR61" s="196" t="s">
        <v>167</v>
      </c>
      <c r="BS61" s="197" t="s">
        <v>168</v>
      </c>
      <c r="BT61" s="198" t="s">
        <v>169</v>
      </c>
    </row>
    <row r="62" spans="10:121" s="3" customFormat="1" ht="19" customHeight="1" x14ac:dyDescent="0.2">
      <c r="J62" s="35">
        <v>6</v>
      </c>
      <c r="K62" s="36">
        <v>1</v>
      </c>
      <c r="L62" s="37">
        <v>3</v>
      </c>
      <c r="Q62" s="35">
        <v>4</v>
      </c>
      <c r="R62" s="36">
        <v>6</v>
      </c>
      <c r="S62" s="36">
        <v>4</v>
      </c>
      <c r="T62" s="37">
        <v>1</v>
      </c>
      <c r="W62" s="21"/>
      <c r="X62" s="21"/>
      <c r="Y62" s="21"/>
      <c r="AA62" s="21"/>
      <c r="AB62" s="21"/>
      <c r="AC62" s="21"/>
      <c r="AE62" s="21"/>
      <c r="AQ62" s="39">
        <v>59</v>
      </c>
      <c r="AR62" s="35">
        <v>4</v>
      </c>
      <c r="AS62" s="36">
        <v>6</v>
      </c>
      <c r="AT62" s="36">
        <v>4</v>
      </c>
      <c r="AU62" s="36">
        <v>1</v>
      </c>
      <c r="AV62" s="37">
        <v>37</v>
      </c>
      <c r="AX62" s="195">
        <v>6</v>
      </c>
      <c r="AY62" s="35">
        <v>0</v>
      </c>
      <c r="AZ62" s="36">
        <v>0</v>
      </c>
      <c r="BA62" s="36">
        <v>1</v>
      </c>
      <c r="BB62" s="37">
        <v>1</v>
      </c>
      <c r="BR62" s="199"/>
      <c r="BS62" s="200"/>
      <c r="BT62" s="200"/>
      <c r="BU62" s="201"/>
      <c r="BV62" s="201"/>
      <c r="BW62" s="201"/>
      <c r="BX62" s="201"/>
      <c r="BY62" s="201"/>
      <c r="BZ62" s="201"/>
      <c r="CA62" s="201"/>
      <c r="CB62" s="201"/>
      <c r="CC62" s="201"/>
      <c r="CD62" s="201"/>
      <c r="CE62" s="201"/>
      <c r="CF62" s="201"/>
      <c r="CG62" s="201"/>
      <c r="CH62" s="201"/>
      <c r="CI62" s="201"/>
      <c r="CJ62" s="201"/>
      <c r="CK62" s="201"/>
      <c r="CL62" s="201"/>
      <c r="CM62" s="201"/>
      <c r="CN62" s="201"/>
      <c r="CO62" s="201"/>
      <c r="CP62" s="201"/>
      <c r="CQ62" s="201"/>
      <c r="CR62" s="201"/>
      <c r="CS62" s="201"/>
      <c r="CT62" s="201"/>
      <c r="CU62" s="201"/>
      <c r="CV62" s="201"/>
      <c r="CW62" s="201"/>
      <c r="CX62" s="201"/>
      <c r="CY62" s="201"/>
      <c r="CZ62" s="201"/>
      <c r="DA62" s="201"/>
      <c r="DB62" s="201"/>
      <c r="DC62" s="201"/>
      <c r="DD62" s="201"/>
      <c r="DE62" s="201"/>
      <c r="DF62" s="201"/>
      <c r="DG62" s="201"/>
      <c r="DH62" s="201"/>
      <c r="DI62" s="201"/>
      <c r="DJ62" s="201"/>
      <c r="DK62" s="201"/>
      <c r="DL62" s="201"/>
      <c r="DM62" s="201"/>
      <c r="DN62" s="201"/>
    </row>
    <row r="63" spans="10:121" s="3" customFormat="1" ht="19" customHeight="1" x14ac:dyDescent="0.2">
      <c r="J63" s="35">
        <v>6</v>
      </c>
      <c r="K63" s="36">
        <v>1</v>
      </c>
      <c r="L63" s="37">
        <v>4</v>
      </c>
      <c r="Q63" s="35">
        <v>4</v>
      </c>
      <c r="R63" s="36">
        <v>7</v>
      </c>
      <c r="S63" s="36">
        <v>1</v>
      </c>
      <c r="T63" s="37">
        <v>1</v>
      </c>
      <c r="W63" s="21"/>
      <c r="X63" s="21"/>
      <c r="Y63" s="21"/>
      <c r="AA63" s="21"/>
      <c r="AB63" s="21"/>
      <c r="AC63" s="21"/>
      <c r="AE63" s="21"/>
      <c r="AQ63" s="39">
        <v>60</v>
      </c>
      <c r="AR63" s="35">
        <v>4</v>
      </c>
      <c r="AS63" s="36">
        <v>7</v>
      </c>
      <c r="AT63" s="36">
        <v>1</v>
      </c>
      <c r="AU63" s="36">
        <v>1</v>
      </c>
      <c r="AV63" s="37">
        <v>37</v>
      </c>
      <c r="AX63" s="195">
        <v>7</v>
      </c>
      <c r="AY63" s="35">
        <v>0</v>
      </c>
      <c r="AZ63" s="36">
        <v>1</v>
      </c>
      <c r="BA63" s="36">
        <v>1</v>
      </c>
      <c r="BB63" s="37">
        <v>1</v>
      </c>
      <c r="BS63" s="9">
        <v>1</v>
      </c>
      <c r="BT63" s="10">
        <v>2</v>
      </c>
      <c r="BU63" s="10">
        <v>3</v>
      </c>
      <c r="BV63" s="10">
        <v>4</v>
      </c>
      <c r="BW63" s="10">
        <v>5</v>
      </c>
      <c r="BX63" s="10">
        <v>6</v>
      </c>
      <c r="BY63" s="10">
        <v>7</v>
      </c>
      <c r="BZ63" s="10">
        <v>8</v>
      </c>
      <c r="CA63" s="10">
        <v>9</v>
      </c>
      <c r="CB63" s="10">
        <v>10</v>
      </c>
      <c r="CC63" s="10">
        <v>11</v>
      </c>
      <c r="CD63" s="10">
        <v>12</v>
      </c>
      <c r="CE63" s="10">
        <v>13</v>
      </c>
      <c r="CF63" s="10">
        <v>14</v>
      </c>
      <c r="CG63" s="10">
        <v>15</v>
      </c>
      <c r="CH63" s="10">
        <v>16</v>
      </c>
      <c r="CI63" s="10">
        <v>17</v>
      </c>
      <c r="CJ63" s="10">
        <v>18</v>
      </c>
      <c r="CK63" s="10">
        <v>19</v>
      </c>
      <c r="CL63" s="10">
        <v>20</v>
      </c>
      <c r="CM63" s="10">
        <v>21</v>
      </c>
      <c r="CN63" s="10">
        <v>22</v>
      </c>
      <c r="CO63" s="10">
        <v>23</v>
      </c>
      <c r="CP63" s="10">
        <v>24</v>
      </c>
      <c r="CQ63" s="10">
        <v>25</v>
      </c>
      <c r="CR63" s="10">
        <v>26</v>
      </c>
      <c r="CS63" s="10">
        <v>27</v>
      </c>
      <c r="CT63" s="10">
        <v>28</v>
      </c>
      <c r="CU63" s="10">
        <v>29</v>
      </c>
      <c r="CV63" s="10">
        <v>30</v>
      </c>
      <c r="CW63" s="10">
        <v>31</v>
      </c>
      <c r="CX63" s="10">
        <v>32</v>
      </c>
      <c r="CY63" s="10">
        <v>33</v>
      </c>
      <c r="CZ63" s="10">
        <v>34</v>
      </c>
      <c r="DA63" s="10">
        <v>35</v>
      </c>
      <c r="DB63" s="10">
        <v>36</v>
      </c>
      <c r="DC63" s="10">
        <v>37</v>
      </c>
      <c r="DD63" s="10">
        <v>38</v>
      </c>
      <c r="DE63" s="10">
        <v>39</v>
      </c>
      <c r="DF63" s="10">
        <v>40</v>
      </c>
      <c r="DG63" s="10">
        <v>41</v>
      </c>
      <c r="DH63" s="10">
        <v>42</v>
      </c>
      <c r="DI63" s="10">
        <v>43</v>
      </c>
      <c r="DJ63" s="10">
        <v>44</v>
      </c>
      <c r="DK63" s="10">
        <v>45</v>
      </c>
      <c r="DL63" s="10">
        <v>46</v>
      </c>
      <c r="DM63" s="10">
        <v>47</v>
      </c>
      <c r="DN63" s="11">
        <v>48</v>
      </c>
      <c r="DO63" s="8" t="s">
        <v>74</v>
      </c>
      <c r="DP63" s="8" t="s">
        <v>151</v>
      </c>
    </row>
    <row r="64" spans="10:121" s="3" customFormat="1" ht="18.5" customHeight="1" x14ac:dyDescent="0.2">
      <c r="J64" s="35">
        <v>6</v>
      </c>
      <c r="K64" s="36">
        <v>2</v>
      </c>
      <c r="L64" s="37">
        <v>1</v>
      </c>
      <c r="Q64" s="35">
        <v>4</v>
      </c>
      <c r="R64" s="36">
        <v>7</v>
      </c>
      <c r="S64" s="36">
        <v>2</v>
      </c>
      <c r="T64" s="37">
        <v>1</v>
      </c>
      <c r="W64" s="21"/>
      <c r="X64" s="21"/>
      <c r="Y64" s="21"/>
      <c r="AA64" s="21"/>
      <c r="AB64" s="21"/>
      <c r="AC64" s="21"/>
      <c r="AE64" s="21"/>
      <c r="AQ64" s="39">
        <v>61</v>
      </c>
      <c r="AR64" s="35">
        <v>4</v>
      </c>
      <c r="AS64" s="36">
        <v>7</v>
      </c>
      <c r="AT64" s="36">
        <v>2</v>
      </c>
      <c r="AU64" s="36">
        <v>1</v>
      </c>
      <c r="AV64" s="37">
        <v>37</v>
      </c>
      <c r="AX64" s="195">
        <v>8</v>
      </c>
      <c r="AY64" s="35">
        <v>0</v>
      </c>
      <c r="AZ64" s="36">
        <v>1</v>
      </c>
      <c r="BA64" s="36">
        <v>1</v>
      </c>
      <c r="BB64" s="37">
        <v>1</v>
      </c>
      <c r="BR64" s="28">
        <v>1</v>
      </c>
      <c r="BS64" s="23">
        <v>0</v>
      </c>
      <c r="BT64" s="24">
        <v>0</v>
      </c>
      <c r="BU64" s="24">
        <v>0</v>
      </c>
      <c r="BV64" s="24">
        <v>0</v>
      </c>
      <c r="BW64" s="24">
        <v>0</v>
      </c>
      <c r="BX64" s="24">
        <v>0</v>
      </c>
      <c r="BY64" s="24">
        <v>1</v>
      </c>
      <c r="BZ64" s="24">
        <v>1</v>
      </c>
      <c r="CA64" s="24">
        <v>1</v>
      </c>
      <c r="CB64" s="24">
        <v>1</v>
      </c>
      <c r="CC64" s="24">
        <v>1</v>
      </c>
      <c r="CD64" s="24">
        <v>1</v>
      </c>
      <c r="CE64" s="24">
        <v>1</v>
      </c>
      <c r="CF64" s="24">
        <v>1</v>
      </c>
      <c r="CG64" s="24">
        <v>1</v>
      </c>
      <c r="CH64" s="24">
        <v>1</v>
      </c>
      <c r="CI64" s="24">
        <v>1</v>
      </c>
      <c r="CJ64" s="24">
        <v>1</v>
      </c>
      <c r="CK64" s="24">
        <v>1</v>
      </c>
      <c r="CL64" s="24">
        <v>1</v>
      </c>
      <c r="CM64" s="24">
        <v>1</v>
      </c>
      <c r="CN64" s="24">
        <v>1</v>
      </c>
      <c r="CO64" s="24">
        <v>1</v>
      </c>
      <c r="CP64" s="24">
        <v>1</v>
      </c>
      <c r="CQ64" s="24">
        <v>1</v>
      </c>
      <c r="CR64" s="24">
        <v>1</v>
      </c>
      <c r="CS64" s="24">
        <v>1</v>
      </c>
      <c r="CT64" s="24">
        <v>1</v>
      </c>
      <c r="CU64" s="24">
        <v>0</v>
      </c>
      <c r="CV64" s="24">
        <v>0</v>
      </c>
      <c r="CW64" s="24">
        <v>0</v>
      </c>
      <c r="CX64" s="24">
        <v>0</v>
      </c>
      <c r="CY64" s="24">
        <v>0</v>
      </c>
      <c r="CZ64" s="24">
        <v>0</v>
      </c>
      <c r="DA64" s="24">
        <v>0</v>
      </c>
      <c r="DB64" s="24">
        <v>0</v>
      </c>
      <c r="DC64" s="24">
        <v>0</v>
      </c>
      <c r="DD64" s="24">
        <v>0</v>
      </c>
      <c r="DE64" s="24">
        <v>0</v>
      </c>
      <c r="DF64" s="24">
        <v>0</v>
      </c>
      <c r="DG64" s="24">
        <v>0</v>
      </c>
      <c r="DH64" s="24">
        <v>0</v>
      </c>
      <c r="DI64" s="24">
        <v>0</v>
      </c>
      <c r="DJ64" s="24">
        <v>1</v>
      </c>
      <c r="DK64" s="24">
        <v>0</v>
      </c>
      <c r="DL64" s="24">
        <v>0</v>
      </c>
      <c r="DM64" s="24">
        <v>0</v>
      </c>
      <c r="DN64" s="25">
        <v>0</v>
      </c>
      <c r="DO64" s="202">
        <f t="shared" ref="DO64:DO72" si="3">SUM(BS64:DN64)</f>
        <v>23</v>
      </c>
      <c r="DP64" s="28">
        <v>32</v>
      </c>
    </row>
    <row r="65" spans="10:120" s="3" customFormat="1" ht="18" customHeight="1" x14ac:dyDescent="0.2">
      <c r="J65" s="35">
        <v>6</v>
      </c>
      <c r="K65" s="36">
        <v>2</v>
      </c>
      <c r="L65" s="37">
        <v>2</v>
      </c>
      <c r="Q65" s="35">
        <v>4</v>
      </c>
      <c r="R65" s="36">
        <v>7</v>
      </c>
      <c r="S65" s="36">
        <v>3</v>
      </c>
      <c r="T65" s="37">
        <v>1</v>
      </c>
      <c r="W65" s="21"/>
      <c r="X65" s="21"/>
      <c r="Y65" s="21"/>
      <c r="AA65" s="21"/>
      <c r="AB65" s="21"/>
      <c r="AC65" s="21"/>
      <c r="AE65" s="21"/>
      <c r="AQ65" s="39">
        <v>62</v>
      </c>
      <c r="AR65" s="35">
        <v>4</v>
      </c>
      <c r="AS65" s="36">
        <v>7</v>
      </c>
      <c r="AT65" s="36">
        <v>3</v>
      </c>
      <c r="AU65" s="36">
        <v>1</v>
      </c>
      <c r="AV65" s="37">
        <v>37</v>
      </c>
      <c r="AX65" s="195">
        <v>9</v>
      </c>
      <c r="AY65" s="35">
        <v>0</v>
      </c>
      <c r="AZ65" s="36">
        <v>1</v>
      </c>
      <c r="BA65" s="36">
        <v>1</v>
      </c>
      <c r="BB65" s="37">
        <v>1</v>
      </c>
      <c r="BR65" s="39">
        <v>2</v>
      </c>
      <c r="BS65" s="35">
        <v>1</v>
      </c>
      <c r="BT65" s="36">
        <v>1</v>
      </c>
      <c r="BU65" s="36">
        <v>1</v>
      </c>
      <c r="BV65" s="36">
        <v>1</v>
      </c>
      <c r="BW65" s="36">
        <v>1</v>
      </c>
      <c r="BX65" s="36">
        <v>1</v>
      </c>
      <c r="BY65" s="36">
        <v>1</v>
      </c>
      <c r="BZ65" s="36">
        <v>1</v>
      </c>
      <c r="CA65" s="36">
        <v>1</v>
      </c>
      <c r="CB65" s="36">
        <v>1</v>
      </c>
      <c r="CC65" s="36">
        <v>1</v>
      </c>
      <c r="CD65" s="36">
        <v>1</v>
      </c>
      <c r="CE65" s="36">
        <v>1</v>
      </c>
      <c r="CF65" s="36">
        <v>1</v>
      </c>
      <c r="CG65" s="36">
        <v>1</v>
      </c>
      <c r="CH65" s="36">
        <v>1</v>
      </c>
      <c r="CI65" s="36">
        <v>1</v>
      </c>
      <c r="CJ65" s="36">
        <v>1</v>
      </c>
      <c r="CK65" s="36">
        <v>1</v>
      </c>
      <c r="CL65" s="36">
        <v>1</v>
      </c>
      <c r="CM65" s="36">
        <v>1</v>
      </c>
      <c r="CN65" s="36">
        <v>1</v>
      </c>
      <c r="CO65" s="36">
        <v>1</v>
      </c>
      <c r="CP65" s="36">
        <v>1</v>
      </c>
      <c r="CQ65" s="36">
        <v>1</v>
      </c>
      <c r="CR65" s="36">
        <v>1</v>
      </c>
      <c r="CS65" s="36">
        <v>1</v>
      </c>
      <c r="CT65" s="36">
        <v>1</v>
      </c>
      <c r="CU65" s="36">
        <v>1</v>
      </c>
      <c r="CV65" s="36">
        <v>1</v>
      </c>
      <c r="CW65" s="36">
        <v>1</v>
      </c>
      <c r="CX65" s="36">
        <v>1</v>
      </c>
      <c r="CY65" s="36">
        <v>1</v>
      </c>
      <c r="CZ65" s="36">
        <v>1</v>
      </c>
      <c r="DA65" s="36">
        <v>1</v>
      </c>
      <c r="DB65" s="36">
        <v>1</v>
      </c>
      <c r="DC65" s="36">
        <v>1</v>
      </c>
      <c r="DD65" s="36">
        <v>1</v>
      </c>
      <c r="DE65" s="36">
        <v>1</v>
      </c>
      <c r="DF65" s="36">
        <v>1</v>
      </c>
      <c r="DG65" s="36">
        <v>1</v>
      </c>
      <c r="DH65" s="36">
        <v>1</v>
      </c>
      <c r="DI65" s="36">
        <v>1</v>
      </c>
      <c r="DJ65" s="36">
        <v>1</v>
      </c>
      <c r="DK65" s="36">
        <v>1</v>
      </c>
      <c r="DL65" s="36">
        <v>1</v>
      </c>
      <c r="DM65" s="36">
        <v>1</v>
      </c>
      <c r="DN65" s="37">
        <v>1</v>
      </c>
      <c r="DO65" s="203">
        <f t="shared" si="3"/>
        <v>48</v>
      </c>
      <c r="DP65" s="39">
        <v>32</v>
      </c>
    </row>
    <row r="66" spans="10:120" s="3" customFormat="1" ht="18" customHeight="1" x14ac:dyDescent="0.2">
      <c r="J66" s="35">
        <v>6</v>
      </c>
      <c r="K66" s="36">
        <v>2</v>
      </c>
      <c r="L66" s="37">
        <v>3</v>
      </c>
      <c r="Q66" s="35">
        <v>4</v>
      </c>
      <c r="R66" s="36">
        <v>7</v>
      </c>
      <c r="S66" s="36">
        <v>4</v>
      </c>
      <c r="T66" s="37">
        <v>1</v>
      </c>
      <c r="W66" s="21"/>
      <c r="X66" s="21"/>
      <c r="Y66" s="21"/>
      <c r="AA66" s="21"/>
      <c r="AB66" s="21"/>
      <c r="AC66" s="21"/>
      <c r="AE66" s="21"/>
      <c r="AQ66" s="39">
        <v>63</v>
      </c>
      <c r="AR66" s="35">
        <v>4</v>
      </c>
      <c r="AS66" s="36">
        <v>7</v>
      </c>
      <c r="AT66" s="36">
        <v>4</v>
      </c>
      <c r="AU66" s="36">
        <v>1</v>
      </c>
      <c r="AV66" s="37">
        <v>37</v>
      </c>
      <c r="AX66" s="195">
        <v>10</v>
      </c>
      <c r="AY66" s="35">
        <v>0</v>
      </c>
      <c r="AZ66" s="36">
        <v>1</v>
      </c>
      <c r="BA66" s="36">
        <v>1</v>
      </c>
      <c r="BB66" s="37">
        <v>1</v>
      </c>
      <c r="BR66" s="39">
        <v>3</v>
      </c>
      <c r="BS66" s="35">
        <v>1</v>
      </c>
      <c r="BT66" s="36">
        <v>1</v>
      </c>
      <c r="BU66" s="36">
        <v>1</v>
      </c>
      <c r="BV66" s="36">
        <v>1</v>
      </c>
      <c r="BW66" s="36">
        <v>1</v>
      </c>
      <c r="BX66" s="36">
        <v>1</v>
      </c>
      <c r="BY66" s="36">
        <v>1</v>
      </c>
      <c r="BZ66" s="36">
        <v>1</v>
      </c>
      <c r="CA66" s="36">
        <v>1</v>
      </c>
      <c r="CB66" s="36">
        <v>1</v>
      </c>
      <c r="CC66" s="36">
        <v>1</v>
      </c>
      <c r="CD66" s="36">
        <v>1</v>
      </c>
      <c r="CE66" s="36">
        <v>1</v>
      </c>
      <c r="CF66" s="36">
        <v>1</v>
      </c>
      <c r="CG66" s="36">
        <v>1</v>
      </c>
      <c r="CH66" s="36">
        <v>1</v>
      </c>
      <c r="CI66" s="36">
        <v>1</v>
      </c>
      <c r="CJ66" s="36">
        <v>1</v>
      </c>
      <c r="CK66" s="36">
        <v>1</v>
      </c>
      <c r="CL66" s="36">
        <v>1</v>
      </c>
      <c r="CM66" s="36">
        <v>1</v>
      </c>
      <c r="CN66" s="36">
        <v>1</v>
      </c>
      <c r="CO66" s="36">
        <v>1</v>
      </c>
      <c r="CP66" s="36">
        <v>1</v>
      </c>
      <c r="CQ66" s="36">
        <v>1</v>
      </c>
      <c r="CR66" s="36">
        <v>1</v>
      </c>
      <c r="CS66" s="36">
        <v>1</v>
      </c>
      <c r="CT66" s="36">
        <v>1</v>
      </c>
      <c r="CU66" s="36">
        <v>1</v>
      </c>
      <c r="CV66" s="36">
        <v>1</v>
      </c>
      <c r="CW66" s="36">
        <v>1</v>
      </c>
      <c r="CX66" s="36">
        <v>1</v>
      </c>
      <c r="CY66" s="36">
        <v>1</v>
      </c>
      <c r="CZ66" s="36">
        <v>1</v>
      </c>
      <c r="DA66" s="36">
        <v>1</v>
      </c>
      <c r="DB66" s="36">
        <v>1</v>
      </c>
      <c r="DC66" s="36">
        <v>1</v>
      </c>
      <c r="DD66" s="36">
        <v>1</v>
      </c>
      <c r="DE66" s="36">
        <v>1</v>
      </c>
      <c r="DF66" s="36">
        <v>1</v>
      </c>
      <c r="DG66" s="36">
        <v>1</v>
      </c>
      <c r="DH66" s="36">
        <v>1</v>
      </c>
      <c r="DI66" s="36">
        <v>1</v>
      </c>
      <c r="DJ66" s="36">
        <v>1</v>
      </c>
      <c r="DK66" s="36">
        <v>1</v>
      </c>
      <c r="DL66" s="36">
        <v>1</v>
      </c>
      <c r="DM66" s="36">
        <v>1</v>
      </c>
      <c r="DN66" s="37">
        <v>1</v>
      </c>
      <c r="DO66" s="203">
        <f t="shared" si="3"/>
        <v>48</v>
      </c>
      <c r="DP66" s="39">
        <v>32</v>
      </c>
    </row>
    <row r="67" spans="10:120" s="3" customFormat="1" ht="18" customHeight="1" x14ac:dyDescent="0.2">
      <c r="J67" s="35">
        <v>6</v>
      </c>
      <c r="K67" s="36">
        <v>2</v>
      </c>
      <c r="L67" s="37">
        <v>4</v>
      </c>
      <c r="Q67" s="35">
        <v>4</v>
      </c>
      <c r="R67" s="36">
        <v>9</v>
      </c>
      <c r="S67" s="36">
        <v>1</v>
      </c>
      <c r="T67" s="37">
        <v>1</v>
      </c>
      <c r="W67" s="21"/>
      <c r="X67" s="21"/>
      <c r="Y67" s="21"/>
      <c r="AA67" s="21"/>
      <c r="AB67" s="21"/>
      <c r="AC67" s="21"/>
      <c r="AE67" s="21"/>
      <c r="AQ67" s="39">
        <v>64</v>
      </c>
      <c r="AR67" s="35">
        <v>4</v>
      </c>
      <c r="AS67" s="36">
        <v>9</v>
      </c>
      <c r="AT67" s="36">
        <v>1</v>
      </c>
      <c r="AU67" s="36">
        <v>1</v>
      </c>
      <c r="AV67" s="37">
        <v>37</v>
      </c>
      <c r="AX67" s="195">
        <v>11</v>
      </c>
      <c r="AY67" s="35">
        <v>0</v>
      </c>
      <c r="AZ67" s="36">
        <v>1</v>
      </c>
      <c r="BA67" s="36">
        <v>1</v>
      </c>
      <c r="BB67" s="37">
        <v>1</v>
      </c>
      <c r="BR67" s="39">
        <v>4</v>
      </c>
      <c r="BS67" s="35">
        <v>1</v>
      </c>
      <c r="BT67" s="36">
        <v>1</v>
      </c>
      <c r="BU67" s="36">
        <v>1</v>
      </c>
      <c r="BV67" s="36">
        <v>1</v>
      </c>
      <c r="BW67" s="36">
        <v>1</v>
      </c>
      <c r="BX67" s="36">
        <v>1</v>
      </c>
      <c r="BY67" s="36">
        <v>1</v>
      </c>
      <c r="BZ67" s="36">
        <v>1</v>
      </c>
      <c r="CA67" s="36">
        <v>1</v>
      </c>
      <c r="CB67" s="36">
        <v>1</v>
      </c>
      <c r="CC67" s="36">
        <v>1</v>
      </c>
      <c r="CD67" s="36">
        <v>1</v>
      </c>
      <c r="CE67" s="36">
        <v>1</v>
      </c>
      <c r="CF67" s="36">
        <v>1</v>
      </c>
      <c r="CG67" s="36">
        <v>1</v>
      </c>
      <c r="CH67" s="36">
        <v>0</v>
      </c>
      <c r="CI67" s="36">
        <v>0</v>
      </c>
      <c r="CJ67" s="36">
        <v>0</v>
      </c>
      <c r="CK67" s="36">
        <v>0</v>
      </c>
      <c r="CL67" s="36">
        <v>0</v>
      </c>
      <c r="CM67" s="36">
        <v>0</v>
      </c>
      <c r="CN67" s="36">
        <v>0</v>
      </c>
      <c r="CO67" s="36">
        <v>0</v>
      </c>
      <c r="CP67" s="36">
        <v>0</v>
      </c>
      <c r="CQ67" s="36">
        <v>0</v>
      </c>
      <c r="CR67" s="36">
        <v>0</v>
      </c>
      <c r="CS67" s="36">
        <v>0</v>
      </c>
      <c r="CT67" s="36">
        <v>0</v>
      </c>
      <c r="CU67" s="36">
        <v>1</v>
      </c>
      <c r="CV67" s="36">
        <v>1</v>
      </c>
      <c r="CW67" s="36">
        <v>1</v>
      </c>
      <c r="CX67" s="36">
        <v>1</v>
      </c>
      <c r="CY67" s="36">
        <v>1</v>
      </c>
      <c r="CZ67" s="36">
        <v>1</v>
      </c>
      <c r="DA67" s="36">
        <v>1</v>
      </c>
      <c r="DB67" s="36">
        <v>1</v>
      </c>
      <c r="DC67" s="36">
        <v>1</v>
      </c>
      <c r="DD67" s="36">
        <v>1</v>
      </c>
      <c r="DE67" s="36">
        <v>1</v>
      </c>
      <c r="DF67" s="36">
        <v>1</v>
      </c>
      <c r="DG67" s="36">
        <v>1</v>
      </c>
      <c r="DH67" s="36">
        <v>1</v>
      </c>
      <c r="DI67" s="36">
        <v>1</v>
      </c>
      <c r="DJ67" s="36">
        <v>0</v>
      </c>
      <c r="DK67" s="36">
        <v>1</v>
      </c>
      <c r="DL67" s="36">
        <v>1</v>
      </c>
      <c r="DM67" s="36">
        <v>1</v>
      </c>
      <c r="DN67" s="37">
        <v>1</v>
      </c>
      <c r="DO67" s="203">
        <f t="shared" si="3"/>
        <v>34</v>
      </c>
      <c r="DP67" s="39">
        <v>25</v>
      </c>
    </row>
    <row r="68" spans="10:120" s="3" customFormat="1" ht="18" customHeight="1" x14ac:dyDescent="0.2">
      <c r="J68" s="35">
        <v>6</v>
      </c>
      <c r="K68" s="36">
        <v>4</v>
      </c>
      <c r="L68" s="37">
        <v>1</v>
      </c>
      <c r="Q68" s="35">
        <v>4</v>
      </c>
      <c r="R68" s="36">
        <v>9</v>
      </c>
      <c r="S68" s="36">
        <v>2</v>
      </c>
      <c r="T68" s="37">
        <v>1</v>
      </c>
      <c r="W68" s="21"/>
      <c r="X68" s="21"/>
      <c r="Y68" s="21"/>
      <c r="AA68" s="21"/>
      <c r="AB68" s="21"/>
      <c r="AC68" s="21"/>
      <c r="AE68" s="21"/>
      <c r="AQ68" s="39">
        <v>65</v>
      </c>
      <c r="AR68" s="35">
        <v>4</v>
      </c>
      <c r="AS68" s="36">
        <v>9</v>
      </c>
      <c r="AT68" s="36">
        <v>2</v>
      </c>
      <c r="AU68" s="36">
        <v>1</v>
      </c>
      <c r="AV68" s="37">
        <v>37</v>
      </c>
      <c r="AX68" s="195">
        <v>12</v>
      </c>
      <c r="AY68" s="35">
        <v>0</v>
      </c>
      <c r="AZ68" s="36">
        <v>1</v>
      </c>
      <c r="BA68" s="36">
        <v>1</v>
      </c>
      <c r="BB68" s="37">
        <v>1</v>
      </c>
      <c r="BR68" s="39">
        <v>5</v>
      </c>
      <c r="BS68" s="35">
        <v>0</v>
      </c>
      <c r="BT68" s="36">
        <v>0</v>
      </c>
      <c r="BU68" s="36">
        <v>0</v>
      </c>
      <c r="BV68" s="36">
        <v>0</v>
      </c>
      <c r="BW68" s="36">
        <v>0</v>
      </c>
      <c r="BX68" s="36">
        <v>0</v>
      </c>
      <c r="BY68" s="36">
        <v>1</v>
      </c>
      <c r="BZ68" s="36">
        <v>1</v>
      </c>
      <c r="CA68" s="36">
        <v>1</v>
      </c>
      <c r="CB68" s="36">
        <v>1</v>
      </c>
      <c r="CC68" s="36">
        <v>1</v>
      </c>
      <c r="CD68" s="36">
        <v>1</v>
      </c>
      <c r="CE68" s="36">
        <v>1</v>
      </c>
      <c r="CF68" s="36">
        <v>1</v>
      </c>
      <c r="CG68" s="36">
        <v>1</v>
      </c>
      <c r="CH68" s="36">
        <v>0</v>
      </c>
      <c r="CI68" s="36">
        <v>0</v>
      </c>
      <c r="CJ68" s="36">
        <v>0</v>
      </c>
      <c r="CK68" s="36">
        <v>0</v>
      </c>
      <c r="CL68" s="36">
        <v>0</v>
      </c>
      <c r="CM68" s="36">
        <v>0</v>
      </c>
      <c r="CN68" s="36">
        <v>0</v>
      </c>
      <c r="CO68" s="36">
        <v>0</v>
      </c>
      <c r="CP68" s="36">
        <v>0</v>
      </c>
      <c r="CQ68" s="36">
        <v>0</v>
      </c>
      <c r="CR68" s="36">
        <v>0</v>
      </c>
      <c r="CS68" s="36">
        <v>0</v>
      </c>
      <c r="CT68" s="36">
        <v>0</v>
      </c>
      <c r="CU68" s="36">
        <v>0</v>
      </c>
      <c r="CV68" s="36">
        <v>0</v>
      </c>
      <c r="CW68" s="36">
        <v>0</v>
      </c>
      <c r="CX68" s="36">
        <v>0</v>
      </c>
      <c r="CY68" s="36">
        <v>0</v>
      </c>
      <c r="CZ68" s="36">
        <v>0</v>
      </c>
      <c r="DA68" s="36">
        <v>0</v>
      </c>
      <c r="DB68" s="36">
        <v>0</v>
      </c>
      <c r="DC68" s="36">
        <v>0</v>
      </c>
      <c r="DD68" s="36">
        <v>0</v>
      </c>
      <c r="DE68" s="36">
        <v>0</v>
      </c>
      <c r="DF68" s="36">
        <v>0</v>
      </c>
      <c r="DG68" s="36">
        <v>0</v>
      </c>
      <c r="DH68" s="36">
        <v>0</v>
      </c>
      <c r="DI68" s="36">
        <v>0</v>
      </c>
      <c r="DJ68" s="36">
        <v>0</v>
      </c>
      <c r="DK68" s="36">
        <v>0</v>
      </c>
      <c r="DL68" s="36">
        <v>0</v>
      </c>
      <c r="DM68" s="36">
        <v>0</v>
      </c>
      <c r="DN68" s="37">
        <v>0</v>
      </c>
      <c r="DO68" s="203">
        <f t="shared" si="3"/>
        <v>9</v>
      </c>
      <c r="DP68" s="39">
        <v>25</v>
      </c>
    </row>
    <row r="69" spans="10:120" s="3" customFormat="1" ht="18" customHeight="1" x14ac:dyDescent="0.2">
      <c r="J69" s="35">
        <v>6</v>
      </c>
      <c r="K69" s="36">
        <v>4</v>
      </c>
      <c r="L69" s="37">
        <v>2</v>
      </c>
      <c r="Q69" s="35">
        <v>4</v>
      </c>
      <c r="R69" s="36">
        <v>9</v>
      </c>
      <c r="S69" s="36">
        <v>3</v>
      </c>
      <c r="T69" s="37">
        <v>1</v>
      </c>
      <c r="W69" s="21"/>
      <c r="X69" s="21"/>
      <c r="Y69" s="21"/>
      <c r="AA69" s="21"/>
      <c r="AB69" s="21"/>
      <c r="AC69" s="21"/>
      <c r="AE69" s="21"/>
      <c r="AQ69" s="39">
        <v>66</v>
      </c>
      <c r="AR69" s="35">
        <v>4</v>
      </c>
      <c r="AS69" s="36">
        <v>9</v>
      </c>
      <c r="AT69" s="36">
        <v>3</v>
      </c>
      <c r="AU69" s="36">
        <v>1</v>
      </c>
      <c r="AV69" s="37">
        <v>37</v>
      </c>
      <c r="AX69" s="195">
        <v>13</v>
      </c>
      <c r="AY69" s="35">
        <v>0</v>
      </c>
      <c r="AZ69" s="36">
        <v>1</v>
      </c>
      <c r="BA69" s="36">
        <v>1</v>
      </c>
      <c r="BB69" s="37">
        <v>1</v>
      </c>
      <c r="BR69" s="39">
        <v>6</v>
      </c>
      <c r="BS69" s="35">
        <v>0</v>
      </c>
      <c r="BT69" s="36">
        <v>0</v>
      </c>
      <c r="BU69" s="36">
        <v>0</v>
      </c>
      <c r="BV69" s="36">
        <v>0</v>
      </c>
      <c r="BW69" s="36">
        <v>0</v>
      </c>
      <c r="BX69" s="36">
        <v>0</v>
      </c>
      <c r="BY69" s="36">
        <v>1</v>
      </c>
      <c r="BZ69" s="36">
        <v>1</v>
      </c>
      <c r="CA69" s="36">
        <v>1</v>
      </c>
      <c r="CB69" s="36">
        <v>1</v>
      </c>
      <c r="CC69" s="36">
        <v>1</v>
      </c>
      <c r="CD69" s="36">
        <v>1</v>
      </c>
      <c r="CE69" s="36">
        <v>1</v>
      </c>
      <c r="CF69" s="36">
        <v>1</v>
      </c>
      <c r="CG69" s="36">
        <v>1</v>
      </c>
      <c r="CH69" s="36">
        <v>0</v>
      </c>
      <c r="CI69" s="36">
        <v>0</v>
      </c>
      <c r="CJ69" s="36">
        <v>0</v>
      </c>
      <c r="CK69" s="36">
        <v>0</v>
      </c>
      <c r="CL69" s="36">
        <v>0</v>
      </c>
      <c r="CM69" s="36">
        <v>0</v>
      </c>
      <c r="CN69" s="36">
        <v>0</v>
      </c>
      <c r="CO69" s="36">
        <v>0</v>
      </c>
      <c r="CP69" s="36">
        <v>0</v>
      </c>
      <c r="CQ69" s="36">
        <v>0</v>
      </c>
      <c r="CR69" s="36">
        <v>0</v>
      </c>
      <c r="CS69" s="36">
        <v>0</v>
      </c>
      <c r="CT69" s="36">
        <v>0</v>
      </c>
      <c r="CU69" s="36">
        <v>0</v>
      </c>
      <c r="CV69" s="36">
        <v>0</v>
      </c>
      <c r="CW69" s="36">
        <v>0</v>
      </c>
      <c r="CX69" s="36">
        <v>0</v>
      </c>
      <c r="CY69" s="36">
        <v>0</v>
      </c>
      <c r="CZ69" s="36">
        <v>0</v>
      </c>
      <c r="DA69" s="36">
        <v>0</v>
      </c>
      <c r="DB69" s="36">
        <v>0</v>
      </c>
      <c r="DC69" s="36">
        <v>0</v>
      </c>
      <c r="DD69" s="36">
        <v>0</v>
      </c>
      <c r="DE69" s="36">
        <v>0</v>
      </c>
      <c r="DF69" s="36">
        <v>0</v>
      </c>
      <c r="DG69" s="36">
        <v>0</v>
      </c>
      <c r="DH69" s="36">
        <v>0</v>
      </c>
      <c r="DI69" s="36">
        <v>0</v>
      </c>
      <c r="DJ69" s="36">
        <v>0</v>
      </c>
      <c r="DK69" s="36">
        <v>0</v>
      </c>
      <c r="DL69" s="36">
        <v>0</v>
      </c>
      <c r="DM69" s="36">
        <v>0</v>
      </c>
      <c r="DN69" s="37">
        <v>0</v>
      </c>
      <c r="DO69" s="203">
        <f t="shared" si="3"/>
        <v>9</v>
      </c>
      <c r="DP69" s="39">
        <v>29</v>
      </c>
    </row>
    <row r="70" spans="10:120" s="3" customFormat="1" ht="18" customHeight="1" x14ac:dyDescent="0.2">
      <c r="J70" s="35">
        <v>6</v>
      </c>
      <c r="K70" s="36">
        <v>4</v>
      </c>
      <c r="L70" s="37">
        <v>3</v>
      </c>
      <c r="Q70" s="35">
        <v>4</v>
      </c>
      <c r="R70" s="36">
        <v>9</v>
      </c>
      <c r="S70" s="36">
        <v>4</v>
      </c>
      <c r="T70" s="37">
        <v>1</v>
      </c>
      <c r="W70" s="21"/>
      <c r="X70" s="21"/>
      <c r="Y70" s="21"/>
      <c r="AA70" s="21"/>
      <c r="AB70" s="21"/>
      <c r="AC70" s="21"/>
      <c r="AE70" s="21"/>
      <c r="AQ70" s="39">
        <v>67</v>
      </c>
      <c r="AR70" s="35">
        <v>4</v>
      </c>
      <c r="AS70" s="36">
        <v>9</v>
      </c>
      <c r="AT70" s="36">
        <v>4</v>
      </c>
      <c r="AU70" s="36">
        <v>1</v>
      </c>
      <c r="AV70" s="37">
        <v>37</v>
      </c>
      <c r="AX70" s="195">
        <v>14</v>
      </c>
      <c r="AY70" s="35">
        <v>0</v>
      </c>
      <c r="AZ70" s="36">
        <v>1</v>
      </c>
      <c r="BA70" s="36">
        <v>1</v>
      </c>
      <c r="BB70" s="37">
        <v>1</v>
      </c>
      <c r="BR70" s="39">
        <v>7</v>
      </c>
      <c r="BS70" s="35">
        <v>1</v>
      </c>
      <c r="BT70" s="36">
        <v>1</v>
      </c>
      <c r="BU70" s="36">
        <v>1</v>
      </c>
      <c r="BV70" s="36">
        <v>1</v>
      </c>
      <c r="BW70" s="36">
        <v>1</v>
      </c>
      <c r="BX70" s="36">
        <v>1</v>
      </c>
      <c r="BY70" s="36">
        <v>0</v>
      </c>
      <c r="BZ70" s="36">
        <v>0</v>
      </c>
      <c r="CA70" s="36">
        <v>0</v>
      </c>
      <c r="CB70" s="36">
        <v>0</v>
      </c>
      <c r="CC70" s="36">
        <v>0</v>
      </c>
      <c r="CD70" s="36">
        <v>0</v>
      </c>
      <c r="CE70" s="36">
        <v>0</v>
      </c>
      <c r="CF70" s="36">
        <v>0</v>
      </c>
      <c r="CG70" s="36">
        <v>0</v>
      </c>
      <c r="CH70" s="36">
        <v>1</v>
      </c>
      <c r="CI70" s="36">
        <v>1</v>
      </c>
      <c r="CJ70" s="36">
        <v>1</v>
      </c>
      <c r="CK70" s="36">
        <v>1</v>
      </c>
      <c r="CL70" s="36">
        <v>1</v>
      </c>
      <c r="CM70" s="36">
        <v>1</v>
      </c>
      <c r="CN70" s="36">
        <v>1</v>
      </c>
      <c r="CO70" s="36">
        <v>1</v>
      </c>
      <c r="CP70" s="36">
        <v>1</v>
      </c>
      <c r="CQ70" s="36">
        <v>1</v>
      </c>
      <c r="CR70" s="36">
        <v>1</v>
      </c>
      <c r="CS70" s="36">
        <v>1</v>
      </c>
      <c r="CT70" s="36">
        <v>1</v>
      </c>
      <c r="CU70" s="36">
        <v>1</v>
      </c>
      <c r="CV70" s="36">
        <v>1</v>
      </c>
      <c r="CW70" s="36">
        <v>1</v>
      </c>
      <c r="CX70" s="36">
        <v>1</v>
      </c>
      <c r="CY70" s="36">
        <v>1</v>
      </c>
      <c r="CZ70" s="36">
        <v>1</v>
      </c>
      <c r="DA70" s="36">
        <v>1</v>
      </c>
      <c r="DB70" s="36">
        <v>1</v>
      </c>
      <c r="DC70" s="36">
        <v>1</v>
      </c>
      <c r="DD70" s="36">
        <v>1</v>
      </c>
      <c r="DE70" s="36">
        <v>1</v>
      </c>
      <c r="DF70" s="36">
        <v>1</v>
      </c>
      <c r="DG70" s="36">
        <v>1</v>
      </c>
      <c r="DH70" s="36">
        <v>1</v>
      </c>
      <c r="DI70" s="36">
        <v>1</v>
      </c>
      <c r="DJ70" s="36">
        <v>1</v>
      </c>
      <c r="DK70" s="36">
        <v>1</v>
      </c>
      <c r="DL70" s="36">
        <v>1</v>
      </c>
      <c r="DM70" s="36">
        <v>1</v>
      </c>
      <c r="DN70" s="37">
        <v>1</v>
      </c>
      <c r="DO70" s="203">
        <f t="shared" si="3"/>
        <v>39</v>
      </c>
      <c r="DP70" s="39">
        <v>32</v>
      </c>
    </row>
    <row r="71" spans="10:120" s="3" customFormat="1" ht="18" customHeight="1" x14ac:dyDescent="0.2">
      <c r="J71" s="35">
        <v>6</v>
      </c>
      <c r="K71" s="36">
        <v>4</v>
      </c>
      <c r="L71" s="37">
        <v>4</v>
      </c>
      <c r="Q71" s="35">
        <v>6</v>
      </c>
      <c r="R71" s="36">
        <v>1</v>
      </c>
      <c r="S71" s="36">
        <v>1</v>
      </c>
      <c r="T71" s="37">
        <v>3</v>
      </c>
      <c r="W71" s="21"/>
      <c r="X71" s="21"/>
      <c r="Y71" s="21"/>
      <c r="AA71" s="21"/>
      <c r="AB71" s="21"/>
      <c r="AC71" s="21"/>
      <c r="AE71" s="21"/>
      <c r="AQ71" s="39">
        <v>68</v>
      </c>
      <c r="AR71" s="35">
        <v>6</v>
      </c>
      <c r="AS71" s="36">
        <v>1</v>
      </c>
      <c r="AT71" s="36">
        <v>1</v>
      </c>
      <c r="AU71" s="36">
        <v>3</v>
      </c>
      <c r="AV71" s="37">
        <v>37</v>
      </c>
      <c r="AX71" s="195">
        <v>15</v>
      </c>
      <c r="AY71" s="35">
        <v>0</v>
      </c>
      <c r="AZ71" s="36">
        <v>1</v>
      </c>
      <c r="BA71" s="36">
        <v>1</v>
      </c>
      <c r="BB71" s="37">
        <v>1</v>
      </c>
      <c r="BR71" s="39">
        <v>8</v>
      </c>
      <c r="BS71" s="35">
        <v>1</v>
      </c>
      <c r="BT71" s="36">
        <v>1</v>
      </c>
      <c r="BU71" s="36">
        <v>1</v>
      </c>
      <c r="BV71" s="36">
        <v>1</v>
      </c>
      <c r="BW71" s="36">
        <v>1</v>
      </c>
      <c r="BX71" s="36">
        <v>1</v>
      </c>
      <c r="BY71" s="36">
        <v>0</v>
      </c>
      <c r="BZ71" s="36">
        <v>0</v>
      </c>
      <c r="CA71" s="36">
        <v>0</v>
      </c>
      <c r="CB71" s="36">
        <v>0</v>
      </c>
      <c r="CC71" s="36">
        <v>0</v>
      </c>
      <c r="CD71" s="36">
        <v>0</v>
      </c>
      <c r="CE71" s="36">
        <v>0</v>
      </c>
      <c r="CF71" s="36">
        <v>0</v>
      </c>
      <c r="CG71" s="36">
        <v>0</v>
      </c>
      <c r="CH71" s="36">
        <v>1</v>
      </c>
      <c r="CI71" s="36">
        <v>1</v>
      </c>
      <c r="CJ71" s="36">
        <v>1</v>
      </c>
      <c r="CK71" s="36">
        <v>1</v>
      </c>
      <c r="CL71" s="36">
        <v>1</v>
      </c>
      <c r="CM71" s="36">
        <v>1</v>
      </c>
      <c r="CN71" s="36">
        <v>1</v>
      </c>
      <c r="CO71" s="36">
        <v>1</v>
      </c>
      <c r="CP71" s="36">
        <v>1</v>
      </c>
      <c r="CQ71" s="36">
        <v>1</v>
      </c>
      <c r="CR71" s="36">
        <v>1</v>
      </c>
      <c r="CS71" s="36">
        <v>1</v>
      </c>
      <c r="CT71" s="36">
        <v>1</v>
      </c>
      <c r="CU71" s="36">
        <v>1</v>
      </c>
      <c r="CV71" s="36">
        <v>1</v>
      </c>
      <c r="CW71" s="36">
        <v>1</v>
      </c>
      <c r="CX71" s="36">
        <v>1</v>
      </c>
      <c r="CY71" s="36">
        <v>1</v>
      </c>
      <c r="CZ71" s="36">
        <v>1</v>
      </c>
      <c r="DA71" s="36">
        <v>1</v>
      </c>
      <c r="DB71" s="36">
        <v>1</v>
      </c>
      <c r="DC71" s="36">
        <v>1</v>
      </c>
      <c r="DD71" s="36">
        <v>1</v>
      </c>
      <c r="DE71" s="36">
        <v>1</v>
      </c>
      <c r="DF71" s="36">
        <v>1</v>
      </c>
      <c r="DG71" s="36">
        <v>1</v>
      </c>
      <c r="DH71" s="36">
        <v>1</v>
      </c>
      <c r="DI71" s="36">
        <v>1</v>
      </c>
      <c r="DJ71" s="36">
        <v>1</v>
      </c>
      <c r="DK71" s="36">
        <v>1</v>
      </c>
      <c r="DL71" s="36">
        <v>1</v>
      </c>
      <c r="DM71" s="36">
        <v>1</v>
      </c>
      <c r="DN71" s="37">
        <v>1</v>
      </c>
      <c r="DO71" s="203">
        <f t="shared" si="3"/>
        <v>39</v>
      </c>
      <c r="DP71" s="39">
        <v>32</v>
      </c>
    </row>
    <row r="72" spans="10:120" s="3" customFormat="1" ht="18.5" customHeight="1" x14ac:dyDescent="0.2">
      <c r="J72" s="35">
        <v>6</v>
      </c>
      <c r="K72" s="36">
        <v>6</v>
      </c>
      <c r="L72" s="37">
        <v>1</v>
      </c>
      <c r="Q72" s="35">
        <v>6</v>
      </c>
      <c r="R72" s="36">
        <v>1</v>
      </c>
      <c r="S72" s="36">
        <v>2</v>
      </c>
      <c r="T72" s="37">
        <v>3</v>
      </c>
      <c r="W72" s="21"/>
      <c r="X72" s="21"/>
      <c r="Y72" s="21"/>
      <c r="AA72" s="21"/>
      <c r="AB72" s="21"/>
      <c r="AC72" s="21"/>
      <c r="AE72" s="21"/>
      <c r="AQ72" s="39">
        <v>69</v>
      </c>
      <c r="AR72" s="35">
        <v>6</v>
      </c>
      <c r="AS72" s="36">
        <v>1</v>
      </c>
      <c r="AT72" s="36">
        <v>2</v>
      </c>
      <c r="AU72" s="36">
        <v>3</v>
      </c>
      <c r="AV72" s="37">
        <v>37</v>
      </c>
      <c r="AX72" s="195">
        <v>16</v>
      </c>
      <c r="AY72" s="35">
        <v>1</v>
      </c>
      <c r="AZ72" s="36">
        <v>1</v>
      </c>
      <c r="BA72" s="36">
        <v>1</v>
      </c>
      <c r="BB72" s="37">
        <v>1</v>
      </c>
      <c r="BR72" s="56">
        <v>9</v>
      </c>
      <c r="BS72" s="32">
        <v>1</v>
      </c>
      <c r="BT72" s="33">
        <v>1</v>
      </c>
      <c r="BU72" s="33">
        <v>1</v>
      </c>
      <c r="BV72" s="33">
        <v>1</v>
      </c>
      <c r="BW72" s="33">
        <v>1</v>
      </c>
      <c r="BX72" s="33">
        <v>1</v>
      </c>
      <c r="BY72" s="33">
        <v>0</v>
      </c>
      <c r="BZ72" s="33">
        <v>0</v>
      </c>
      <c r="CA72" s="33">
        <v>0</v>
      </c>
      <c r="CB72" s="33">
        <v>0</v>
      </c>
      <c r="CC72" s="33">
        <v>0</v>
      </c>
      <c r="CD72" s="33">
        <v>0</v>
      </c>
      <c r="CE72" s="33">
        <v>0</v>
      </c>
      <c r="CF72" s="33">
        <v>0</v>
      </c>
      <c r="CG72" s="33">
        <v>0</v>
      </c>
      <c r="CH72" s="33">
        <v>1</v>
      </c>
      <c r="CI72" s="33">
        <v>1</v>
      </c>
      <c r="CJ72" s="33">
        <v>1</v>
      </c>
      <c r="CK72" s="33">
        <v>1</v>
      </c>
      <c r="CL72" s="33">
        <v>1</v>
      </c>
      <c r="CM72" s="33">
        <v>1</v>
      </c>
      <c r="CN72" s="33">
        <v>1</v>
      </c>
      <c r="CO72" s="33">
        <v>1</v>
      </c>
      <c r="CP72" s="33">
        <v>1</v>
      </c>
      <c r="CQ72" s="33">
        <v>1</v>
      </c>
      <c r="CR72" s="33">
        <v>1</v>
      </c>
      <c r="CS72" s="33">
        <v>1</v>
      </c>
      <c r="CT72" s="33">
        <v>1</v>
      </c>
      <c r="CU72" s="33">
        <v>1</v>
      </c>
      <c r="CV72" s="33">
        <v>1</v>
      </c>
      <c r="CW72" s="33">
        <v>1</v>
      </c>
      <c r="CX72" s="33">
        <v>1</v>
      </c>
      <c r="CY72" s="33">
        <v>1</v>
      </c>
      <c r="CZ72" s="33">
        <v>1</v>
      </c>
      <c r="DA72" s="33">
        <v>1</v>
      </c>
      <c r="DB72" s="33">
        <v>1</v>
      </c>
      <c r="DC72" s="33">
        <v>1</v>
      </c>
      <c r="DD72" s="33">
        <v>1</v>
      </c>
      <c r="DE72" s="33">
        <v>1</v>
      </c>
      <c r="DF72" s="33">
        <v>1</v>
      </c>
      <c r="DG72" s="33">
        <v>1</v>
      </c>
      <c r="DH72" s="33">
        <v>1</v>
      </c>
      <c r="DI72" s="33">
        <v>1</v>
      </c>
      <c r="DJ72" s="33">
        <v>1</v>
      </c>
      <c r="DK72" s="33">
        <v>1</v>
      </c>
      <c r="DL72" s="33">
        <v>1</v>
      </c>
      <c r="DM72" s="33">
        <v>1</v>
      </c>
      <c r="DN72" s="34">
        <v>1</v>
      </c>
      <c r="DO72" s="204">
        <f t="shared" si="3"/>
        <v>39</v>
      </c>
      <c r="DP72" s="56">
        <v>32</v>
      </c>
    </row>
    <row r="73" spans="10:120" s="3" customFormat="1" ht="19" customHeight="1" x14ac:dyDescent="0.2">
      <c r="J73" s="35">
        <v>6</v>
      </c>
      <c r="K73" s="36">
        <v>6</v>
      </c>
      <c r="L73" s="37">
        <v>2</v>
      </c>
      <c r="Q73" s="35">
        <v>6</v>
      </c>
      <c r="R73" s="36">
        <v>1</v>
      </c>
      <c r="S73" s="36">
        <v>3</v>
      </c>
      <c r="T73" s="37">
        <v>3</v>
      </c>
      <c r="W73" s="21"/>
      <c r="X73" s="21"/>
      <c r="Y73" s="21"/>
      <c r="AA73" s="21"/>
      <c r="AB73" s="21"/>
      <c r="AC73" s="21"/>
      <c r="AE73" s="21"/>
      <c r="AQ73" s="39">
        <v>70</v>
      </c>
      <c r="AR73" s="35">
        <v>6</v>
      </c>
      <c r="AS73" s="36">
        <v>1</v>
      </c>
      <c r="AT73" s="36">
        <v>3</v>
      </c>
      <c r="AU73" s="36">
        <v>3</v>
      </c>
      <c r="AV73" s="37">
        <v>37</v>
      </c>
      <c r="AX73" s="195">
        <v>17</v>
      </c>
      <c r="AY73" s="35">
        <v>1</v>
      </c>
      <c r="AZ73" s="36">
        <v>1</v>
      </c>
      <c r="BA73" s="36">
        <v>1</v>
      </c>
      <c r="BB73" s="37">
        <v>1</v>
      </c>
      <c r="DN73" s="8" t="s">
        <v>74</v>
      </c>
      <c r="DO73" s="94">
        <f>SUM(DO64:DO72)</f>
        <v>288</v>
      </c>
      <c r="DP73" s="94">
        <f>SUM(DP64:DP72)</f>
        <v>271</v>
      </c>
    </row>
    <row r="74" spans="10:120" s="3" customFormat="1" ht="18.5" customHeight="1" x14ac:dyDescent="0.2">
      <c r="J74" s="35">
        <v>6</v>
      </c>
      <c r="K74" s="36">
        <v>6</v>
      </c>
      <c r="L74" s="37">
        <v>3</v>
      </c>
      <c r="Q74" s="35">
        <v>6</v>
      </c>
      <c r="R74" s="36">
        <v>1</v>
      </c>
      <c r="S74" s="36">
        <v>4</v>
      </c>
      <c r="T74" s="37">
        <v>3</v>
      </c>
      <c r="W74" s="21"/>
      <c r="X74" s="21"/>
      <c r="Y74" s="21"/>
      <c r="AA74" s="21"/>
      <c r="AB74" s="21"/>
      <c r="AC74" s="21"/>
      <c r="AE74" s="21"/>
      <c r="AQ74" s="39">
        <v>71</v>
      </c>
      <c r="AR74" s="35">
        <v>6</v>
      </c>
      <c r="AS74" s="36">
        <v>1</v>
      </c>
      <c r="AT74" s="36">
        <v>4</v>
      </c>
      <c r="AU74" s="36">
        <v>3</v>
      </c>
      <c r="AV74" s="37">
        <v>37</v>
      </c>
      <c r="AX74" s="195">
        <v>18</v>
      </c>
      <c r="AY74" s="35">
        <v>1</v>
      </c>
      <c r="AZ74" s="36">
        <v>1</v>
      </c>
      <c r="BA74" s="36">
        <v>1</v>
      </c>
      <c r="BB74" s="37">
        <v>1</v>
      </c>
    </row>
    <row r="75" spans="10:120" s="3" customFormat="1" ht="18" customHeight="1" x14ac:dyDescent="0.2">
      <c r="J75" s="35">
        <v>6</v>
      </c>
      <c r="K75" s="36">
        <v>6</v>
      </c>
      <c r="L75" s="37">
        <v>4</v>
      </c>
      <c r="Q75" s="35">
        <v>6</v>
      </c>
      <c r="R75" s="36">
        <v>2</v>
      </c>
      <c r="S75" s="36">
        <v>1</v>
      </c>
      <c r="T75" s="37">
        <v>3</v>
      </c>
      <c r="W75" s="21"/>
      <c r="X75" s="21"/>
      <c r="Y75" s="21"/>
      <c r="AA75" s="21"/>
      <c r="AB75" s="21"/>
      <c r="AC75" s="21"/>
      <c r="AE75" s="21"/>
      <c r="AQ75" s="39">
        <v>72</v>
      </c>
      <c r="AR75" s="35">
        <v>6</v>
      </c>
      <c r="AS75" s="36">
        <v>2</v>
      </c>
      <c r="AT75" s="36">
        <v>1</v>
      </c>
      <c r="AU75" s="36">
        <v>3</v>
      </c>
      <c r="AV75" s="37">
        <v>37</v>
      </c>
      <c r="AX75" s="195">
        <v>19</v>
      </c>
      <c r="AY75" s="35">
        <v>1</v>
      </c>
      <c r="AZ75" s="36">
        <v>1</v>
      </c>
      <c r="BA75" s="36">
        <v>1</v>
      </c>
      <c r="BB75" s="37">
        <v>1</v>
      </c>
    </row>
    <row r="76" spans="10:120" s="3" customFormat="1" ht="18" customHeight="1" x14ac:dyDescent="0.2">
      <c r="J76" s="35">
        <v>6</v>
      </c>
      <c r="K76" s="36">
        <v>7</v>
      </c>
      <c r="L76" s="37">
        <v>1</v>
      </c>
      <c r="Q76" s="35">
        <v>6</v>
      </c>
      <c r="R76" s="36">
        <v>2</v>
      </c>
      <c r="S76" s="36">
        <v>2</v>
      </c>
      <c r="T76" s="37">
        <v>3</v>
      </c>
      <c r="W76" s="21"/>
      <c r="X76" s="21"/>
      <c r="Y76" s="21"/>
      <c r="AA76" s="21"/>
      <c r="AB76" s="21"/>
      <c r="AC76" s="21"/>
      <c r="AE76" s="21"/>
      <c r="AQ76" s="39">
        <v>73</v>
      </c>
      <c r="AR76" s="35">
        <v>6</v>
      </c>
      <c r="AS76" s="36">
        <v>2</v>
      </c>
      <c r="AT76" s="36">
        <v>2</v>
      </c>
      <c r="AU76" s="36">
        <v>3</v>
      </c>
      <c r="AV76" s="37">
        <v>37</v>
      </c>
      <c r="AX76" s="195">
        <v>20</v>
      </c>
      <c r="AY76" s="35">
        <v>1</v>
      </c>
      <c r="AZ76" s="36">
        <v>1</v>
      </c>
      <c r="BA76" s="36">
        <v>1</v>
      </c>
      <c r="BB76" s="37">
        <v>1</v>
      </c>
    </row>
    <row r="77" spans="10:120" s="3" customFormat="1" ht="18" customHeight="1" x14ac:dyDescent="0.2">
      <c r="J77" s="35">
        <v>6</v>
      </c>
      <c r="K77" s="36">
        <v>7</v>
      </c>
      <c r="L77" s="37">
        <v>2</v>
      </c>
      <c r="Q77" s="35">
        <v>6</v>
      </c>
      <c r="R77" s="36">
        <v>2</v>
      </c>
      <c r="S77" s="36">
        <v>3</v>
      </c>
      <c r="T77" s="37">
        <v>3</v>
      </c>
      <c r="W77" s="21"/>
      <c r="X77" s="21"/>
      <c r="Y77" s="21"/>
      <c r="AA77" s="21"/>
      <c r="AB77" s="21"/>
      <c r="AC77" s="21"/>
      <c r="AE77" s="21"/>
      <c r="AQ77" s="39">
        <v>74</v>
      </c>
      <c r="AR77" s="35">
        <v>6</v>
      </c>
      <c r="AS77" s="36">
        <v>2</v>
      </c>
      <c r="AT77" s="36">
        <v>3</v>
      </c>
      <c r="AU77" s="36">
        <v>3</v>
      </c>
      <c r="AV77" s="37">
        <v>37</v>
      </c>
      <c r="AX77" s="195">
        <v>21</v>
      </c>
      <c r="AY77" s="35">
        <v>1</v>
      </c>
      <c r="AZ77" s="36">
        <v>1</v>
      </c>
      <c r="BA77" s="36">
        <v>1</v>
      </c>
      <c r="BB77" s="37">
        <v>1</v>
      </c>
    </row>
    <row r="78" spans="10:120" s="3" customFormat="1" ht="18" customHeight="1" x14ac:dyDescent="0.2">
      <c r="J78" s="35">
        <v>6</v>
      </c>
      <c r="K78" s="36">
        <v>7</v>
      </c>
      <c r="L78" s="37">
        <v>3</v>
      </c>
      <c r="Q78" s="35">
        <v>6</v>
      </c>
      <c r="R78" s="36">
        <v>2</v>
      </c>
      <c r="S78" s="36">
        <v>4</v>
      </c>
      <c r="T78" s="37">
        <v>3</v>
      </c>
      <c r="W78" s="21"/>
      <c r="X78" s="21"/>
      <c r="Y78" s="21"/>
      <c r="AA78" s="21"/>
      <c r="AB78" s="21"/>
      <c r="AC78" s="21"/>
      <c r="AE78" s="21"/>
      <c r="AQ78" s="39">
        <v>75</v>
      </c>
      <c r="AR78" s="35">
        <v>6</v>
      </c>
      <c r="AS78" s="36">
        <v>2</v>
      </c>
      <c r="AT78" s="36">
        <v>4</v>
      </c>
      <c r="AU78" s="36">
        <v>3</v>
      </c>
      <c r="AV78" s="37">
        <v>37</v>
      </c>
      <c r="AX78" s="195">
        <v>22</v>
      </c>
      <c r="AY78" s="35">
        <v>1</v>
      </c>
      <c r="AZ78" s="36">
        <v>1</v>
      </c>
      <c r="BA78" s="36">
        <v>1</v>
      </c>
      <c r="BB78" s="37">
        <v>1</v>
      </c>
    </row>
    <row r="79" spans="10:120" s="3" customFormat="1" ht="18" customHeight="1" x14ac:dyDescent="0.2">
      <c r="J79" s="35">
        <v>6</v>
      </c>
      <c r="K79" s="36">
        <v>7</v>
      </c>
      <c r="L79" s="37">
        <v>4</v>
      </c>
      <c r="Q79" s="35">
        <v>6</v>
      </c>
      <c r="R79" s="36">
        <v>4</v>
      </c>
      <c r="S79" s="36">
        <v>1</v>
      </c>
      <c r="T79" s="37">
        <v>3</v>
      </c>
      <c r="W79" s="21"/>
      <c r="X79" s="21"/>
      <c r="Y79" s="21"/>
      <c r="AA79" s="21"/>
      <c r="AB79" s="21"/>
      <c r="AC79" s="21"/>
      <c r="AE79" s="21"/>
      <c r="AQ79" s="39">
        <v>76</v>
      </c>
      <c r="AR79" s="35">
        <v>6</v>
      </c>
      <c r="AS79" s="36">
        <v>4</v>
      </c>
      <c r="AT79" s="36">
        <v>1</v>
      </c>
      <c r="AU79" s="36">
        <v>3</v>
      </c>
      <c r="AV79" s="37">
        <v>37</v>
      </c>
      <c r="AX79" s="195">
        <v>23</v>
      </c>
      <c r="AY79" s="35">
        <v>1</v>
      </c>
      <c r="AZ79" s="36">
        <v>1</v>
      </c>
      <c r="BA79" s="36">
        <v>1</v>
      </c>
      <c r="BB79" s="37">
        <v>1</v>
      </c>
    </row>
    <row r="80" spans="10:120" s="3" customFormat="1" ht="18" customHeight="1" x14ac:dyDescent="0.2">
      <c r="J80" s="35">
        <v>6</v>
      </c>
      <c r="K80" s="36">
        <v>9</v>
      </c>
      <c r="L80" s="37">
        <v>1</v>
      </c>
      <c r="Q80" s="35">
        <v>6</v>
      </c>
      <c r="R80" s="36">
        <v>4</v>
      </c>
      <c r="S80" s="36">
        <v>2</v>
      </c>
      <c r="T80" s="37">
        <v>3</v>
      </c>
      <c r="W80" s="21"/>
      <c r="X80" s="21"/>
      <c r="Y80" s="21"/>
      <c r="AA80" s="21"/>
      <c r="AB80" s="21"/>
      <c r="AC80" s="21"/>
      <c r="AE80" s="21"/>
      <c r="AQ80" s="39">
        <v>77</v>
      </c>
      <c r="AR80" s="35">
        <v>6</v>
      </c>
      <c r="AS80" s="36">
        <v>4</v>
      </c>
      <c r="AT80" s="36">
        <v>2</v>
      </c>
      <c r="AU80" s="36">
        <v>3</v>
      </c>
      <c r="AV80" s="37">
        <v>37</v>
      </c>
      <c r="AX80" s="195">
        <v>24</v>
      </c>
      <c r="AY80" s="35">
        <v>1</v>
      </c>
      <c r="AZ80" s="36">
        <v>1</v>
      </c>
      <c r="BA80" s="36">
        <v>1</v>
      </c>
      <c r="BB80" s="37">
        <v>1</v>
      </c>
    </row>
    <row r="81" spans="10:54" s="3" customFormat="1" ht="18" customHeight="1" x14ac:dyDescent="0.2">
      <c r="J81" s="35">
        <v>6</v>
      </c>
      <c r="K81" s="36">
        <v>9</v>
      </c>
      <c r="L81" s="37">
        <v>2</v>
      </c>
      <c r="Q81" s="35">
        <v>6</v>
      </c>
      <c r="R81" s="36">
        <v>4</v>
      </c>
      <c r="S81" s="36">
        <v>3</v>
      </c>
      <c r="T81" s="37">
        <v>3</v>
      </c>
      <c r="W81" s="21"/>
      <c r="X81" s="21"/>
      <c r="Y81" s="21"/>
      <c r="AA81" s="21"/>
      <c r="AB81" s="21"/>
      <c r="AC81" s="21"/>
      <c r="AE81" s="21"/>
      <c r="AQ81" s="39">
        <v>78</v>
      </c>
      <c r="AR81" s="35">
        <v>6</v>
      </c>
      <c r="AS81" s="36">
        <v>4</v>
      </c>
      <c r="AT81" s="36">
        <v>3</v>
      </c>
      <c r="AU81" s="36">
        <v>3</v>
      </c>
      <c r="AV81" s="37">
        <v>37</v>
      </c>
      <c r="AX81" s="195">
        <v>25</v>
      </c>
      <c r="AY81" s="35">
        <v>1</v>
      </c>
      <c r="AZ81" s="36">
        <v>1</v>
      </c>
      <c r="BA81" s="36">
        <v>1</v>
      </c>
      <c r="BB81" s="37">
        <v>1</v>
      </c>
    </row>
    <row r="82" spans="10:54" s="3" customFormat="1" ht="18" customHeight="1" x14ac:dyDescent="0.2">
      <c r="J82" s="35">
        <v>6</v>
      </c>
      <c r="K82" s="36">
        <v>9</v>
      </c>
      <c r="L82" s="37">
        <v>3</v>
      </c>
      <c r="Q82" s="35">
        <v>6</v>
      </c>
      <c r="R82" s="36">
        <v>4</v>
      </c>
      <c r="S82" s="36">
        <v>4</v>
      </c>
      <c r="T82" s="37">
        <v>3</v>
      </c>
      <c r="W82" s="21"/>
      <c r="X82" s="21"/>
      <c r="Y82" s="21"/>
      <c r="AA82" s="21"/>
      <c r="AB82" s="21"/>
      <c r="AC82" s="21"/>
      <c r="AE82" s="21"/>
      <c r="AQ82" s="39">
        <v>79</v>
      </c>
      <c r="AR82" s="35">
        <v>6</v>
      </c>
      <c r="AS82" s="36">
        <v>4</v>
      </c>
      <c r="AT82" s="36">
        <v>4</v>
      </c>
      <c r="AU82" s="36">
        <v>3</v>
      </c>
      <c r="AV82" s="37">
        <v>37</v>
      </c>
      <c r="AX82" s="195">
        <v>26</v>
      </c>
      <c r="AY82" s="35">
        <v>1</v>
      </c>
      <c r="AZ82" s="36">
        <v>1</v>
      </c>
      <c r="BA82" s="36">
        <v>1</v>
      </c>
      <c r="BB82" s="37">
        <v>1</v>
      </c>
    </row>
    <row r="83" spans="10:54" s="3" customFormat="1" ht="18" customHeight="1" x14ac:dyDescent="0.2">
      <c r="J83" s="35">
        <v>6</v>
      </c>
      <c r="K83" s="36">
        <v>9</v>
      </c>
      <c r="L83" s="37">
        <v>4</v>
      </c>
      <c r="Q83" s="35">
        <v>6</v>
      </c>
      <c r="R83" s="36">
        <v>6</v>
      </c>
      <c r="S83" s="36">
        <v>1</v>
      </c>
      <c r="T83" s="37">
        <v>3</v>
      </c>
      <c r="W83" s="21"/>
      <c r="X83" s="21"/>
      <c r="Y83" s="21"/>
      <c r="AA83" s="21"/>
      <c r="AB83" s="21"/>
      <c r="AC83" s="21"/>
      <c r="AE83" s="21"/>
      <c r="AQ83" s="39">
        <v>80</v>
      </c>
      <c r="AR83" s="35">
        <v>6</v>
      </c>
      <c r="AS83" s="36">
        <v>6</v>
      </c>
      <c r="AT83" s="36">
        <v>1</v>
      </c>
      <c r="AU83" s="36">
        <v>3</v>
      </c>
      <c r="AV83" s="37">
        <v>37</v>
      </c>
      <c r="AX83" s="195">
        <v>27</v>
      </c>
      <c r="AY83" s="35">
        <v>1</v>
      </c>
      <c r="AZ83" s="36">
        <v>1</v>
      </c>
      <c r="BA83" s="36">
        <v>1</v>
      </c>
      <c r="BB83" s="37">
        <v>1</v>
      </c>
    </row>
    <row r="84" spans="10:54" s="3" customFormat="1" ht="18" customHeight="1" x14ac:dyDescent="0.2">
      <c r="J84" s="35">
        <v>6</v>
      </c>
      <c r="K84" s="36">
        <v>1</v>
      </c>
      <c r="L84" s="37">
        <v>1</v>
      </c>
      <c r="Q84" s="35">
        <v>6</v>
      </c>
      <c r="R84" s="36">
        <v>6</v>
      </c>
      <c r="S84" s="36">
        <v>2</v>
      </c>
      <c r="T84" s="37">
        <v>3</v>
      </c>
      <c r="W84" s="21"/>
      <c r="X84" s="21"/>
      <c r="Y84" s="21"/>
      <c r="AA84" s="21"/>
      <c r="AB84" s="21"/>
      <c r="AC84" s="21"/>
      <c r="AE84" s="21"/>
      <c r="AQ84" s="39">
        <v>81</v>
      </c>
      <c r="AR84" s="35">
        <v>6</v>
      </c>
      <c r="AS84" s="36">
        <v>6</v>
      </c>
      <c r="AT84" s="36">
        <v>2</v>
      </c>
      <c r="AU84" s="36">
        <v>3</v>
      </c>
      <c r="AV84" s="37">
        <v>37</v>
      </c>
      <c r="AX84" s="195">
        <v>28</v>
      </c>
      <c r="AY84" s="35">
        <v>1</v>
      </c>
      <c r="AZ84" s="36">
        <v>1</v>
      </c>
      <c r="BA84" s="36">
        <v>1</v>
      </c>
      <c r="BB84" s="37">
        <v>1</v>
      </c>
    </row>
    <row r="85" spans="10:54" s="3" customFormat="1" ht="18" customHeight="1" x14ac:dyDescent="0.2">
      <c r="J85" s="35">
        <v>6</v>
      </c>
      <c r="K85" s="36">
        <v>1</v>
      </c>
      <c r="L85" s="37">
        <v>2</v>
      </c>
      <c r="Q85" s="35">
        <v>6</v>
      </c>
      <c r="R85" s="36">
        <v>6</v>
      </c>
      <c r="S85" s="36">
        <v>3</v>
      </c>
      <c r="T85" s="37">
        <v>3</v>
      </c>
      <c r="W85" s="21"/>
      <c r="X85" s="21"/>
      <c r="Y85" s="21"/>
      <c r="AA85" s="21"/>
      <c r="AB85" s="21"/>
      <c r="AC85" s="21"/>
      <c r="AE85" s="21"/>
      <c r="AQ85" s="39">
        <v>82</v>
      </c>
      <c r="AR85" s="35">
        <v>6</v>
      </c>
      <c r="AS85" s="36">
        <v>6</v>
      </c>
      <c r="AT85" s="36">
        <v>3</v>
      </c>
      <c r="AU85" s="36">
        <v>3</v>
      </c>
      <c r="AV85" s="37">
        <v>37</v>
      </c>
      <c r="AX85" s="195">
        <v>29</v>
      </c>
      <c r="AY85" s="35">
        <v>0</v>
      </c>
      <c r="AZ85" s="36">
        <v>0</v>
      </c>
      <c r="BA85" s="36">
        <v>1</v>
      </c>
      <c r="BB85" s="37">
        <v>1</v>
      </c>
    </row>
    <row r="86" spans="10:54" s="3" customFormat="1" ht="18" customHeight="1" x14ac:dyDescent="0.2">
      <c r="J86" s="35">
        <v>6</v>
      </c>
      <c r="K86" s="36">
        <v>1</v>
      </c>
      <c r="L86" s="37">
        <v>3</v>
      </c>
      <c r="Q86" s="35">
        <v>6</v>
      </c>
      <c r="R86" s="36">
        <v>6</v>
      </c>
      <c r="S86" s="36">
        <v>4</v>
      </c>
      <c r="T86" s="37">
        <v>3</v>
      </c>
      <c r="W86" s="21"/>
      <c r="X86" s="21"/>
      <c r="Y86" s="21"/>
      <c r="AA86" s="21"/>
      <c r="AB86" s="21"/>
      <c r="AC86" s="21"/>
      <c r="AE86" s="21"/>
      <c r="AQ86" s="39">
        <v>83</v>
      </c>
      <c r="AR86" s="35">
        <v>6</v>
      </c>
      <c r="AS86" s="36">
        <v>6</v>
      </c>
      <c r="AT86" s="36">
        <v>4</v>
      </c>
      <c r="AU86" s="36">
        <v>3</v>
      </c>
      <c r="AV86" s="37">
        <v>37</v>
      </c>
      <c r="AX86" s="195">
        <v>30</v>
      </c>
      <c r="AY86" s="35">
        <v>0</v>
      </c>
      <c r="AZ86" s="36">
        <v>0</v>
      </c>
      <c r="BA86" s="36">
        <v>1</v>
      </c>
      <c r="BB86" s="37">
        <v>1</v>
      </c>
    </row>
    <row r="87" spans="10:54" s="3" customFormat="1" ht="18" customHeight="1" x14ac:dyDescent="0.2">
      <c r="J87" s="35">
        <v>6</v>
      </c>
      <c r="K87" s="36">
        <v>1</v>
      </c>
      <c r="L87" s="37">
        <v>4</v>
      </c>
      <c r="Q87" s="35">
        <v>6</v>
      </c>
      <c r="R87" s="36">
        <v>7</v>
      </c>
      <c r="S87" s="36">
        <v>1</v>
      </c>
      <c r="T87" s="37">
        <v>3</v>
      </c>
      <c r="W87" s="21"/>
      <c r="X87" s="21"/>
      <c r="Y87" s="21"/>
      <c r="AA87" s="21"/>
      <c r="AB87" s="21"/>
      <c r="AC87" s="21"/>
      <c r="AE87" s="21"/>
      <c r="AQ87" s="39">
        <v>84</v>
      </c>
      <c r="AR87" s="35">
        <v>6</v>
      </c>
      <c r="AS87" s="36">
        <v>7</v>
      </c>
      <c r="AT87" s="36">
        <v>1</v>
      </c>
      <c r="AU87" s="36">
        <v>3</v>
      </c>
      <c r="AV87" s="37">
        <v>37</v>
      </c>
      <c r="AX87" s="195">
        <v>31</v>
      </c>
      <c r="AY87" s="35">
        <v>0</v>
      </c>
      <c r="AZ87" s="36">
        <v>0</v>
      </c>
      <c r="BA87" s="36">
        <v>1</v>
      </c>
      <c r="BB87" s="37">
        <v>1</v>
      </c>
    </row>
    <row r="88" spans="10:54" s="3" customFormat="1" ht="18" customHeight="1" x14ac:dyDescent="0.2">
      <c r="J88" s="35">
        <v>6</v>
      </c>
      <c r="K88" s="36">
        <v>2</v>
      </c>
      <c r="L88" s="37">
        <v>1</v>
      </c>
      <c r="Q88" s="35">
        <v>6</v>
      </c>
      <c r="R88" s="36">
        <v>7</v>
      </c>
      <c r="S88" s="36">
        <v>2</v>
      </c>
      <c r="T88" s="37">
        <v>3</v>
      </c>
      <c r="W88" s="21"/>
      <c r="X88" s="21"/>
      <c r="Y88" s="21"/>
      <c r="AA88" s="21"/>
      <c r="AB88" s="21"/>
      <c r="AC88" s="21"/>
      <c r="AE88" s="21"/>
      <c r="AQ88" s="39">
        <v>85</v>
      </c>
      <c r="AR88" s="35">
        <v>6</v>
      </c>
      <c r="AS88" s="36">
        <v>7</v>
      </c>
      <c r="AT88" s="36">
        <v>2</v>
      </c>
      <c r="AU88" s="36">
        <v>3</v>
      </c>
      <c r="AV88" s="37">
        <v>37</v>
      </c>
      <c r="AX88" s="195">
        <v>32</v>
      </c>
      <c r="AY88" s="35">
        <v>0</v>
      </c>
      <c r="AZ88" s="36">
        <v>0</v>
      </c>
      <c r="BA88" s="36">
        <v>1</v>
      </c>
      <c r="BB88" s="37">
        <v>1</v>
      </c>
    </row>
    <row r="89" spans="10:54" s="3" customFormat="1" ht="18" customHeight="1" x14ac:dyDescent="0.2">
      <c r="J89" s="35">
        <v>6</v>
      </c>
      <c r="K89" s="36">
        <v>2</v>
      </c>
      <c r="L89" s="37">
        <v>2</v>
      </c>
      <c r="Q89" s="35">
        <v>6</v>
      </c>
      <c r="R89" s="36">
        <v>7</v>
      </c>
      <c r="S89" s="36">
        <v>3</v>
      </c>
      <c r="T89" s="37">
        <v>3</v>
      </c>
      <c r="W89" s="21"/>
      <c r="X89" s="21"/>
      <c r="Y89" s="21"/>
      <c r="AA89" s="21"/>
      <c r="AB89" s="21"/>
      <c r="AC89" s="21"/>
      <c r="AE89" s="21"/>
      <c r="AQ89" s="39">
        <v>86</v>
      </c>
      <c r="AR89" s="35">
        <v>6</v>
      </c>
      <c r="AS89" s="36">
        <v>7</v>
      </c>
      <c r="AT89" s="36">
        <v>3</v>
      </c>
      <c r="AU89" s="36">
        <v>3</v>
      </c>
      <c r="AV89" s="37">
        <v>37</v>
      </c>
      <c r="AX89" s="195">
        <v>33</v>
      </c>
      <c r="AY89" s="35">
        <v>0</v>
      </c>
      <c r="AZ89" s="36">
        <v>0</v>
      </c>
      <c r="BA89" s="36">
        <v>1</v>
      </c>
      <c r="BB89" s="37">
        <v>1</v>
      </c>
    </row>
    <row r="90" spans="10:54" s="3" customFormat="1" ht="18" customHeight="1" x14ac:dyDescent="0.2">
      <c r="J90" s="35">
        <v>6</v>
      </c>
      <c r="K90" s="36">
        <v>2</v>
      </c>
      <c r="L90" s="37">
        <v>3</v>
      </c>
      <c r="Q90" s="35">
        <v>6</v>
      </c>
      <c r="R90" s="36">
        <v>7</v>
      </c>
      <c r="S90" s="36">
        <v>4</v>
      </c>
      <c r="T90" s="37">
        <v>3</v>
      </c>
      <c r="W90" s="21"/>
      <c r="X90" s="21"/>
      <c r="Y90" s="21"/>
      <c r="AA90" s="21"/>
      <c r="AB90" s="21"/>
      <c r="AC90" s="21"/>
      <c r="AE90" s="21"/>
      <c r="AQ90" s="39">
        <v>87</v>
      </c>
      <c r="AR90" s="35">
        <v>6</v>
      </c>
      <c r="AS90" s="36">
        <v>7</v>
      </c>
      <c r="AT90" s="36">
        <v>4</v>
      </c>
      <c r="AU90" s="36">
        <v>3</v>
      </c>
      <c r="AV90" s="37">
        <v>37</v>
      </c>
      <c r="AX90" s="195">
        <v>34</v>
      </c>
      <c r="AY90" s="35">
        <v>0</v>
      </c>
      <c r="AZ90" s="36">
        <v>0</v>
      </c>
      <c r="BA90" s="36">
        <v>1</v>
      </c>
      <c r="BB90" s="37">
        <v>1</v>
      </c>
    </row>
    <row r="91" spans="10:54" s="3" customFormat="1" ht="18" customHeight="1" x14ac:dyDescent="0.2">
      <c r="J91" s="35">
        <v>6</v>
      </c>
      <c r="K91" s="36">
        <v>2</v>
      </c>
      <c r="L91" s="37">
        <v>4</v>
      </c>
      <c r="Q91" s="35">
        <v>6</v>
      </c>
      <c r="R91" s="36">
        <v>9</v>
      </c>
      <c r="S91" s="36">
        <v>1</v>
      </c>
      <c r="T91" s="37">
        <v>3</v>
      </c>
      <c r="W91" s="21"/>
      <c r="X91" s="21"/>
      <c r="Y91" s="21"/>
      <c r="AA91" s="21"/>
      <c r="AB91" s="21"/>
      <c r="AC91" s="21"/>
      <c r="AE91" s="21"/>
      <c r="AQ91" s="39">
        <v>88</v>
      </c>
      <c r="AR91" s="35">
        <v>6</v>
      </c>
      <c r="AS91" s="36">
        <v>9</v>
      </c>
      <c r="AT91" s="36">
        <v>1</v>
      </c>
      <c r="AU91" s="36">
        <v>3</v>
      </c>
      <c r="AV91" s="37">
        <v>37</v>
      </c>
      <c r="AX91" s="195">
        <v>35</v>
      </c>
      <c r="AY91" s="35">
        <v>0</v>
      </c>
      <c r="AZ91" s="36">
        <v>0</v>
      </c>
      <c r="BA91" s="36">
        <v>1</v>
      </c>
      <c r="BB91" s="37">
        <v>1</v>
      </c>
    </row>
    <row r="92" spans="10:54" s="3" customFormat="1" ht="18" customHeight="1" x14ac:dyDescent="0.2">
      <c r="J92" s="35">
        <v>6</v>
      </c>
      <c r="K92" s="36">
        <v>4</v>
      </c>
      <c r="L92" s="37">
        <v>1</v>
      </c>
      <c r="Q92" s="35">
        <v>6</v>
      </c>
      <c r="R92" s="36">
        <v>9</v>
      </c>
      <c r="S92" s="36">
        <v>2</v>
      </c>
      <c r="T92" s="37">
        <v>3</v>
      </c>
      <c r="W92" s="21"/>
      <c r="X92" s="21"/>
      <c r="Y92" s="21"/>
      <c r="AA92" s="21"/>
      <c r="AB92" s="21"/>
      <c r="AC92" s="21"/>
      <c r="AE92" s="21"/>
      <c r="AQ92" s="39">
        <v>89</v>
      </c>
      <c r="AR92" s="35">
        <v>6</v>
      </c>
      <c r="AS92" s="36">
        <v>9</v>
      </c>
      <c r="AT92" s="36">
        <v>2</v>
      </c>
      <c r="AU92" s="36">
        <v>3</v>
      </c>
      <c r="AV92" s="37">
        <v>37</v>
      </c>
      <c r="AX92" s="195">
        <v>36</v>
      </c>
      <c r="AY92" s="35">
        <v>0</v>
      </c>
      <c r="AZ92" s="36">
        <v>0</v>
      </c>
      <c r="BA92" s="36">
        <v>1</v>
      </c>
      <c r="BB92" s="37">
        <v>1</v>
      </c>
    </row>
    <row r="93" spans="10:54" s="3" customFormat="1" ht="18" customHeight="1" x14ac:dyDescent="0.2">
      <c r="J93" s="35">
        <v>6</v>
      </c>
      <c r="K93" s="36">
        <v>4</v>
      </c>
      <c r="L93" s="37">
        <v>2</v>
      </c>
      <c r="Q93" s="35">
        <v>6</v>
      </c>
      <c r="R93" s="36">
        <v>9</v>
      </c>
      <c r="S93" s="36">
        <v>3</v>
      </c>
      <c r="T93" s="37">
        <v>3</v>
      </c>
      <c r="W93" s="21"/>
      <c r="X93" s="21"/>
      <c r="Y93" s="21"/>
      <c r="AA93" s="21"/>
      <c r="AB93" s="21"/>
      <c r="AC93" s="21"/>
      <c r="AE93" s="21"/>
      <c r="AQ93" s="39">
        <v>90</v>
      </c>
      <c r="AR93" s="35">
        <v>6</v>
      </c>
      <c r="AS93" s="36">
        <v>9</v>
      </c>
      <c r="AT93" s="36">
        <v>3</v>
      </c>
      <c r="AU93" s="36">
        <v>3</v>
      </c>
      <c r="AV93" s="37">
        <v>37</v>
      </c>
      <c r="AX93" s="195">
        <v>37</v>
      </c>
      <c r="AY93" s="35">
        <v>0</v>
      </c>
      <c r="AZ93" s="36">
        <v>0</v>
      </c>
      <c r="BA93" s="36">
        <v>1</v>
      </c>
      <c r="BB93" s="37">
        <v>1</v>
      </c>
    </row>
    <row r="94" spans="10:54" s="3" customFormat="1" ht="18" customHeight="1" x14ac:dyDescent="0.2">
      <c r="J94" s="35">
        <v>6</v>
      </c>
      <c r="K94" s="36">
        <v>4</v>
      </c>
      <c r="L94" s="37">
        <v>3</v>
      </c>
      <c r="Q94" s="35">
        <v>6</v>
      </c>
      <c r="R94" s="36">
        <v>9</v>
      </c>
      <c r="S94" s="36">
        <v>4</v>
      </c>
      <c r="T94" s="37">
        <v>3</v>
      </c>
      <c r="W94" s="21"/>
      <c r="X94" s="21"/>
      <c r="Y94" s="21"/>
      <c r="AA94" s="21"/>
      <c r="AB94" s="21"/>
      <c r="AC94" s="21"/>
      <c r="AE94" s="21"/>
      <c r="AQ94" s="39">
        <v>91</v>
      </c>
      <c r="AR94" s="35">
        <v>6</v>
      </c>
      <c r="AS94" s="36">
        <v>9</v>
      </c>
      <c r="AT94" s="36">
        <v>4</v>
      </c>
      <c r="AU94" s="36">
        <v>3</v>
      </c>
      <c r="AV94" s="37">
        <v>37</v>
      </c>
      <c r="AX94" s="195">
        <v>38</v>
      </c>
      <c r="AY94" s="35">
        <v>0</v>
      </c>
      <c r="AZ94" s="36">
        <v>0</v>
      </c>
      <c r="BA94" s="36">
        <v>1</v>
      </c>
      <c r="BB94" s="37">
        <v>1</v>
      </c>
    </row>
    <row r="95" spans="10:54" s="3" customFormat="1" ht="18" customHeight="1" x14ac:dyDescent="0.2">
      <c r="J95" s="35">
        <v>6</v>
      </c>
      <c r="K95" s="36">
        <v>4</v>
      </c>
      <c r="L95" s="37">
        <v>4</v>
      </c>
      <c r="Q95" s="35">
        <v>7</v>
      </c>
      <c r="R95" s="36">
        <v>1</v>
      </c>
      <c r="S95" s="36">
        <v>3</v>
      </c>
      <c r="T95" s="37">
        <v>13</v>
      </c>
      <c r="W95" s="21"/>
      <c r="X95" s="21"/>
      <c r="Y95" s="21"/>
      <c r="AA95" s="21"/>
      <c r="AB95" s="21"/>
      <c r="AC95" s="21"/>
      <c r="AE95" s="21"/>
      <c r="AQ95" s="39">
        <v>92</v>
      </c>
      <c r="AR95" s="35">
        <v>7</v>
      </c>
      <c r="AS95" s="36">
        <v>1</v>
      </c>
      <c r="AT95" s="36">
        <v>3</v>
      </c>
      <c r="AU95" s="36">
        <v>13</v>
      </c>
      <c r="AV95" s="37">
        <v>4</v>
      </c>
      <c r="AX95" s="195">
        <v>39</v>
      </c>
      <c r="AY95" s="35">
        <v>0</v>
      </c>
      <c r="AZ95" s="36">
        <v>0</v>
      </c>
      <c r="BA95" s="36">
        <v>1</v>
      </c>
      <c r="BB95" s="37">
        <v>1</v>
      </c>
    </row>
    <row r="96" spans="10:54" s="3" customFormat="1" ht="18" customHeight="1" x14ac:dyDescent="0.2">
      <c r="J96" s="35">
        <v>6</v>
      </c>
      <c r="K96" s="36">
        <v>6</v>
      </c>
      <c r="L96" s="37">
        <v>1</v>
      </c>
      <c r="Q96" s="35">
        <v>7</v>
      </c>
      <c r="R96" s="36">
        <v>1</v>
      </c>
      <c r="S96" s="36">
        <v>4</v>
      </c>
      <c r="T96" s="37">
        <v>13</v>
      </c>
      <c r="W96" s="21"/>
      <c r="X96" s="21"/>
      <c r="Y96" s="21"/>
      <c r="AA96" s="21"/>
      <c r="AB96" s="21"/>
      <c r="AC96" s="21"/>
      <c r="AE96" s="21"/>
      <c r="AQ96" s="39">
        <v>93</v>
      </c>
      <c r="AR96" s="35">
        <v>7</v>
      </c>
      <c r="AS96" s="36">
        <v>1</v>
      </c>
      <c r="AT96" s="36">
        <v>4</v>
      </c>
      <c r="AU96" s="36">
        <v>13</v>
      </c>
      <c r="AV96" s="37">
        <v>4</v>
      </c>
      <c r="AX96" s="195">
        <v>40</v>
      </c>
      <c r="AY96" s="35">
        <v>0</v>
      </c>
      <c r="AZ96" s="36">
        <v>0</v>
      </c>
      <c r="BA96" s="36">
        <v>1</v>
      </c>
      <c r="BB96" s="37">
        <v>1</v>
      </c>
    </row>
    <row r="97" spans="10:54" s="3" customFormat="1" ht="18" customHeight="1" x14ac:dyDescent="0.2">
      <c r="J97" s="35">
        <v>6</v>
      </c>
      <c r="K97" s="36">
        <v>6</v>
      </c>
      <c r="L97" s="37">
        <v>2</v>
      </c>
      <c r="Q97" s="35">
        <v>7</v>
      </c>
      <c r="R97" s="36">
        <v>2</v>
      </c>
      <c r="S97" s="36">
        <v>3</v>
      </c>
      <c r="T97" s="37">
        <v>13</v>
      </c>
      <c r="W97" s="21"/>
      <c r="X97" s="21"/>
      <c r="Y97" s="21"/>
      <c r="AA97" s="21"/>
      <c r="AB97" s="21"/>
      <c r="AC97" s="21"/>
      <c r="AE97" s="21"/>
      <c r="AQ97" s="39">
        <v>94</v>
      </c>
      <c r="AR97" s="35">
        <v>7</v>
      </c>
      <c r="AS97" s="36">
        <v>2</v>
      </c>
      <c r="AT97" s="36">
        <v>3</v>
      </c>
      <c r="AU97" s="36">
        <v>13</v>
      </c>
      <c r="AV97" s="37">
        <v>4</v>
      </c>
      <c r="AX97" s="195">
        <v>41</v>
      </c>
      <c r="AY97" s="35">
        <v>0</v>
      </c>
      <c r="AZ97" s="36">
        <v>0</v>
      </c>
      <c r="BA97" s="36">
        <v>1</v>
      </c>
      <c r="BB97" s="37">
        <v>1</v>
      </c>
    </row>
    <row r="98" spans="10:54" s="3" customFormat="1" ht="18" customHeight="1" x14ac:dyDescent="0.2">
      <c r="J98" s="35">
        <v>6</v>
      </c>
      <c r="K98" s="36">
        <v>6</v>
      </c>
      <c r="L98" s="37">
        <v>3</v>
      </c>
      <c r="Q98" s="35">
        <v>7</v>
      </c>
      <c r="R98" s="36">
        <v>2</v>
      </c>
      <c r="S98" s="36">
        <v>4</v>
      </c>
      <c r="T98" s="37">
        <v>13</v>
      </c>
      <c r="W98" s="21"/>
      <c r="X98" s="21"/>
      <c r="Y98" s="21"/>
      <c r="AA98" s="21"/>
      <c r="AB98" s="21"/>
      <c r="AC98" s="21"/>
      <c r="AE98" s="21"/>
      <c r="AQ98" s="39">
        <v>95</v>
      </c>
      <c r="AR98" s="35">
        <v>7</v>
      </c>
      <c r="AS98" s="36">
        <v>2</v>
      </c>
      <c r="AT98" s="36">
        <v>4</v>
      </c>
      <c r="AU98" s="36">
        <v>13</v>
      </c>
      <c r="AV98" s="37">
        <v>4</v>
      </c>
      <c r="AX98" s="195">
        <v>42</v>
      </c>
      <c r="AY98" s="35">
        <v>0</v>
      </c>
      <c r="AZ98" s="36">
        <v>0</v>
      </c>
      <c r="BA98" s="36">
        <v>1</v>
      </c>
      <c r="BB98" s="37">
        <v>1</v>
      </c>
    </row>
    <row r="99" spans="10:54" s="3" customFormat="1" ht="18" customHeight="1" x14ac:dyDescent="0.2">
      <c r="J99" s="35">
        <v>6</v>
      </c>
      <c r="K99" s="36">
        <v>6</v>
      </c>
      <c r="L99" s="37">
        <v>4</v>
      </c>
      <c r="Q99" s="35">
        <v>7</v>
      </c>
      <c r="R99" s="36">
        <v>3</v>
      </c>
      <c r="S99" s="36">
        <v>3</v>
      </c>
      <c r="T99" s="37">
        <v>13</v>
      </c>
      <c r="W99" s="21"/>
      <c r="X99" s="21"/>
      <c r="Y99" s="21"/>
      <c r="AA99" s="21"/>
      <c r="AB99" s="21"/>
      <c r="AC99" s="21"/>
      <c r="AE99" s="21"/>
      <c r="AQ99" s="39">
        <v>96</v>
      </c>
      <c r="AR99" s="35">
        <v>7</v>
      </c>
      <c r="AS99" s="36">
        <v>3</v>
      </c>
      <c r="AT99" s="36">
        <v>3</v>
      </c>
      <c r="AU99" s="36">
        <v>13</v>
      </c>
      <c r="AV99" s="37">
        <v>4</v>
      </c>
      <c r="AX99" s="195">
        <v>43</v>
      </c>
      <c r="AY99" s="35">
        <v>0</v>
      </c>
      <c r="AZ99" s="36">
        <v>0</v>
      </c>
      <c r="BA99" s="36">
        <v>1</v>
      </c>
      <c r="BB99" s="37">
        <v>1</v>
      </c>
    </row>
    <row r="100" spans="10:54" s="3" customFormat="1" ht="18" customHeight="1" x14ac:dyDescent="0.2">
      <c r="J100" s="35">
        <v>6</v>
      </c>
      <c r="K100" s="36">
        <v>7</v>
      </c>
      <c r="L100" s="37">
        <v>1</v>
      </c>
      <c r="Q100" s="35">
        <v>7</v>
      </c>
      <c r="R100" s="36">
        <v>3</v>
      </c>
      <c r="S100" s="36">
        <v>4</v>
      </c>
      <c r="T100" s="37">
        <v>13</v>
      </c>
      <c r="W100" s="21"/>
      <c r="X100" s="21"/>
      <c r="Y100" s="21"/>
      <c r="AA100" s="21"/>
      <c r="AB100" s="21"/>
      <c r="AC100" s="21"/>
      <c r="AE100" s="21"/>
      <c r="AQ100" s="39">
        <v>97</v>
      </c>
      <c r="AR100" s="35">
        <v>7</v>
      </c>
      <c r="AS100" s="36">
        <v>3</v>
      </c>
      <c r="AT100" s="36">
        <v>4</v>
      </c>
      <c r="AU100" s="36">
        <v>13</v>
      </c>
      <c r="AV100" s="37">
        <v>4</v>
      </c>
      <c r="AX100" s="195">
        <v>44</v>
      </c>
      <c r="AY100" s="35">
        <v>1</v>
      </c>
      <c r="AZ100" s="36">
        <v>1</v>
      </c>
      <c r="BA100" s="36">
        <v>1</v>
      </c>
      <c r="BB100" s="37">
        <v>1</v>
      </c>
    </row>
    <row r="101" spans="10:54" s="3" customFormat="1" ht="18" customHeight="1" x14ac:dyDescent="0.2">
      <c r="J101" s="35">
        <v>6</v>
      </c>
      <c r="K101" s="36">
        <v>7</v>
      </c>
      <c r="L101" s="37">
        <v>2</v>
      </c>
      <c r="Q101" s="35">
        <v>7</v>
      </c>
      <c r="R101" s="36">
        <v>4</v>
      </c>
      <c r="S101" s="36">
        <v>3</v>
      </c>
      <c r="T101" s="37">
        <v>13</v>
      </c>
      <c r="W101" s="21"/>
      <c r="X101" s="21"/>
      <c r="Y101" s="21"/>
      <c r="AA101" s="21"/>
      <c r="AB101" s="21"/>
      <c r="AC101" s="21"/>
      <c r="AE101" s="21"/>
      <c r="AQ101" s="39">
        <v>98</v>
      </c>
      <c r="AR101" s="35">
        <v>7</v>
      </c>
      <c r="AS101" s="36">
        <v>4</v>
      </c>
      <c r="AT101" s="36">
        <v>3</v>
      </c>
      <c r="AU101" s="36">
        <v>13</v>
      </c>
      <c r="AV101" s="37">
        <v>4</v>
      </c>
      <c r="AX101" s="195">
        <v>45</v>
      </c>
      <c r="AY101" s="35">
        <v>0</v>
      </c>
      <c r="AZ101" s="36">
        <v>0</v>
      </c>
      <c r="BA101" s="36">
        <v>1</v>
      </c>
      <c r="BB101" s="37">
        <v>1</v>
      </c>
    </row>
    <row r="102" spans="10:54" s="3" customFormat="1" ht="18" customHeight="1" x14ac:dyDescent="0.2">
      <c r="J102" s="35">
        <v>6</v>
      </c>
      <c r="K102" s="36">
        <v>7</v>
      </c>
      <c r="L102" s="37">
        <v>3</v>
      </c>
      <c r="Q102" s="35">
        <v>7</v>
      </c>
      <c r="R102" s="36">
        <v>4</v>
      </c>
      <c r="S102" s="36">
        <v>4</v>
      </c>
      <c r="T102" s="37">
        <v>13</v>
      </c>
      <c r="W102" s="21"/>
      <c r="X102" s="21"/>
      <c r="Y102" s="21"/>
      <c r="AA102" s="21"/>
      <c r="AB102" s="21"/>
      <c r="AC102" s="21"/>
      <c r="AE102" s="21"/>
      <c r="AQ102" s="39">
        <v>99</v>
      </c>
      <c r="AR102" s="35">
        <v>7</v>
      </c>
      <c r="AS102" s="36">
        <v>4</v>
      </c>
      <c r="AT102" s="36">
        <v>4</v>
      </c>
      <c r="AU102" s="36">
        <v>13</v>
      </c>
      <c r="AV102" s="37">
        <v>4</v>
      </c>
      <c r="AX102" s="195">
        <v>46</v>
      </c>
      <c r="AY102" s="35">
        <v>0</v>
      </c>
      <c r="AZ102" s="36">
        <v>0</v>
      </c>
      <c r="BA102" s="36">
        <v>1</v>
      </c>
      <c r="BB102" s="37">
        <v>1</v>
      </c>
    </row>
    <row r="103" spans="10:54" s="3" customFormat="1" ht="18" customHeight="1" x14ac:dyDescent="0.2">
      <c r="J103" s="35">
        <v>6</v>
      </c>
      <c r="K103" s="36">
        <v>7</v>
      </c>
      <c r="L103" s="37">
        <v>4</v>
      </c>
      <c r="Q103" s="35">
        <v>7</v>
      </c>
      <c r="R103" s="36">
        <v>5</v>
      </c>
      <c r="S103" s="36">
        <v>3</v>
      </c>
      <c r="T103" s="37">
        <v>13</v>
      </c>
      <c r="W103" s="21"/>
      <c r="X103" s="21"/>
      <c r="Y103" s="21"/>
      <c r="AA103" s="21"/>
      <c r="AB103" s="21"/>
      <c r="AC103" s="21"/>
      <c r="AE103" s="21"/>
      <c r="AQ103" s="39">
        <v>100</v>
      </c>
      <c r="AR103" s="35">
        <v>7</v>
      </c>
      <c r="AS103" s="36">
        <v>5</v>
      </c>
      <c r="AT103" s="36">
        <v>3</v>
      </c>
      <c r="AU103" s="36">
        <v>13</v>
      </c>
      <c r="AV103" s="37">
        <v>4</v>
      </c>
      <c r="AX103" s="195">
        <v>47</v>
      </c>
      <c r="AY103" s="35">
        <v>0</v>
      </c>
      <c r="AZ103" s="36">
        <v>0</v>
      </c>
      <c r="BA103" s="36">
        <v>1</v>
      </c>
      <c r="BB103" s="37">
        <v>1</v>
      </c>
    </row>
    <row r="104" spans="10:54" s="3" customFormat="1" ht="18.5" customHeight="1" x14ac:dyDescent="0.2">
      <c r="J104" s="35">
        <v>6</v>
      </c>
      <c r="K104" s="36">
        <v>9</v>
      </c>
      <c r="L104" s="37">
        <v>1</v>
      </c>
      <c r="Q104" s="35">
        <v>7</v>
      </c>
      <c r="R104" s="36">
        <v>5</v>
      </c>
      <c r="S104" s="36">
        <v>4</v>
      </c>
      <c r="T104" s="37">
        <v>13</v>
      </c>
      <c r="W104" s="21"/>
      <c r="X104" s="21"/>
      <c r="Y104" s="21"/>
      <c r="AA104" s="21"/>
      <c r="AB104" s="21"/>
      <c r="AC104" s="21"/>
      <c r="AE104" s="21"/>
      <c r="AQ104" s="39">
        <v>101</v>
      </c>
      <c r="AR104" s="35">
        <v>7</v>
      </c>
      <c r="AS104" s="36">
        <v>5</v>
      </c>
      <c r="AT104" s="36">
        <v>4</v>
      </c>
      <c r="AU104" s="36">
        <v>13</v>
      </c>
      <c r="AV104" s="37">
        <v>4</v>
      </c>
      <c r="AX104" s="205">
        <v>48</v>
      </c>
      <c r="AY104" s="32">
        <v>0</v>
      </c>
      <c r="AZ104" s="33">
        <v>0</v>
      </c>
      <c r="BA104" s="33">
        <v>1</v>
      </c>
      <c r="BB104" s="34">
        <v>1</v>
      </c>
    </row>
    <row r="105" spans="10:54" s="3" customFormat="1" ht="18.5" customHeight="1" x14ac:dyDescent="0.2">
      <c r="J105" s="35">
        <v>6</v>
      </c>
      <c r="K105" s="36">
        <v>9</v>
      </c>
      <c r="L105" s="37">
        <v>2</v>
      </c>
      <c r="Q105" s="35">
        <v>7</v>
      </c>
      <c r="R105" s="36">
        <v>6</v>
      </c>
      <c r="S105" s="36">
        <v>3</v>
      </c>
      <c r="T105" s="37">
        <v>13</v>
      </c>
      <c r="W105" s="21"/>
      <c r="X105" s="21"/>
      <c r="Y105" s="21"/>
      <c r="AA105" s="21"/>
      <c r="AB105" s="21"/>
      <c r="AC105" s="21"/>
      <c r="AE105" s="21"/>
      <c r="AQ105" s="39">
        <v>102</v>
      </c>
      <c r="AR105" s="35">
        <v>7</v>
      </c>
      <c r="AS105" s="36">
        <v>6</v>
      </c>
      <c r="AT105" s="36">
        <v>3</v>
      </c>
      <c r="AU105" s="36">
        <v>13</v>
      </c>
      <c r="AV105" s="37">
        <v>4</v>
      </c>
    </row>
    <row r="106" spans="10:54" s="3" customFormat="1" ht="18" customHeight="1" x14ac:dyDescent="0.2">
      <c r="J106" s="35">
        <v>6</v>
      </c>
      <c r="K106" s="36">
        <v>9</v>
      </c>
      <c r="L106" s="37">
        <v>3</v>
      </c>
      <c r="Q106" s="35">
        <v>7</v>
      </c>
      <c r="R106" s="36">
        <v>6</v>
      </c>
      <c r="S106" s="36">
        <v>4</v>
      </c>
      <c r="T106" s="37">
        <v>13</v>
      </c>
      <c r="W106" s="21"/>
      <c r="X106" s="21"/>
      <c r="Y106" s="21"/>
      <c r="AA106" s="21"/>
      <c r="AB106" s="21"/>
      <c r="AC106" s="21"/>
      <c r="AE106" s="21"/>
      <c r="AQ106" s="39">
        <v>103</v>
      </c>
      <c r="AR106" s="35">
        <v>7</v>
      </c>
      <c r="AS106" s="36">
        <v>6</v>
      </c>
      <c r="AT106" s="36">
        <v>4</v>
      </c>
      <c r="AU106" s="36">
        <v>13</v>
      </c>
      <c r="AV106" s="37">
        <v>4</v>
      </c>
    </row>
    <row r="107" spans="10:54" s="3" customFormat="1" ht="18" customHeight="1" x14ac:dyDescent="0.2">
      <c r="J107" s="35">
        <v>6</v>
      </c>
      <c r="K107" s="36">
        <v>9</v>
      </c>
      <c r="L107" s="37">
        <v>4</v>
      </c>
      <c r="Q107" s="35">
        <v>7</v>
      </c>
      <c r="R107" s="36">
        <v>7</v>
      </c>
      <c r="S107" s="36">
        <v>3</v>
      </c>
      <c r="T107" s="37">
        <v>13</v>
      </c>
      <c r="W107" s="21"/>
      <c r="X107" s="21"/>
      <c r="Y107" s="21"/>
      <c r="AA107" s="21"/>
      <c r="AB107" s="21"/>
      <c r="AC107" s="21"/>
      <c r="AE107" s="21"/>
      <c r="AQ107" s="39">
        <v>104</v>
      </c>
      <c r="AR107" s="35">
        <v>7</v>
      </c>
      <c r="AS107" s="36">
        <v>7</v>
      </c>
      <c r="AT107" s="36">
        <v>3</v>
      </c>
      <c r="AU107" s="36">
        <v>13</v>
      </c>
      <c r="AV107" s="37">
        <v>4</v>
      </c>
    </row>
    <row r="108" spans="10:54" s="3" customFormat="1" ht="18" customHeight="1" x14ac:dyDescent="0.2">
      <c r="J108" s="35">
        <v>3</v>
      </c>
      <c r="K108" s="36">
        <v>1</v>
      </c>
      <c r="L108" s="37">
        <v>2</v>
      </c>
      <c r="Q108" s="35">
        <v>7</v>
      </c>
      <c r="R108" s="36">
        <v>7</v>
      </c>
      <c r="S108" s="36">
        <v>4</v>
      </c>
      <c r="T108" s="37">
        <v>13</v>
      </c>
      <c r="W108" s="21"/>
      <c r="X108" s="21"/>
      <c r="Y108" s="21"/>
      <c r="AA108" s="21"/>
      <c r="AB108" s="21"/>
      <c r="AC108" s="21"/>
      <c r="AE108" s="21"/>
      <c r="AQ108" s="39">
        <v>105</v>
      </c>
      <c r="AR108" s="35">
        <v>7</v>
      </c>
      <c r="AS108" s="36">
        <v>7</v>
      </c>
      <c r="AT108" s="36">
        <v>4</v>
      </c>
      <c r="AU108" s="36">
        <v>13</v>
      </c>
      <c r="AV108" s="37">
        <v>4</v>
      </c>
    </row>
    <row r="109" spans="10:54" s="3" customFormat="1" ht="18" customHeight="1" x14ac:dyDescent="0.2">
      <c r="J109" s="35">
        <v>3</v>
      </c>
      <c r="K109" s="36">
        <v>1</v>
      </c>
      <c r="L109" s="37">
        <v>3</v>
      </c>
      <c r="Q109" s="35">
        <v>7</v>
      </c>
      <c r="R109" s="36">
        <v>8</v>
      </c>
      <c r="S109" s="36">
        <v>3</v>
      </c>
      <c r="T109" s="37">
        <v>13</v>
      </c>
      <c r="W109" s="21"/>
      <c r="X109" s="21"/>
      <c r="Y109" s="21"/>
      <c r="AA109" s="21"/>
      <c r="AB109" s="21"/>
      <c r="AC109" s="21"/>
      <c r="AE109" s="21"/>
      <c r="AQ109" s="39">
        <v>106</v>
      </c>
      <c r="AR109" s="35">
        <v>7</v>
      </c>
      <c r="AS109" s="36">
        <v>8</v>
      </c>
      <c r="AT109" s="36">
        <v>3</v>
      </c>
      <c r="AU109" s="36">
        <v>13</v>
      </c>
      <c r="AV109" s="37">
        <v>4</v>
      </c>
    </row>
    <row r="110" spans="10:54" s="3" customFormat="1" ht="18" customHeight="1" x14ac:dyDescent="0.2">
      <c r="J110" s="35">
        <v>3</v>
      </c>
      <c r="K110" s="36">
        <v>1</v>
      </c>
      <c r="L110" s="37">
        <v>4</v>
      </c>
      <c r="Q110" s="35">
        <v>7</v>
      </c>
      <c r="R110" s="36">
        <v>8</v>
      </c>
      <c r="S110" s="36">
        <v>4</v>
      </c>
      <c r="T110" s="37">
        <v>13</v>
      </c>
      <c r="W110" s="21"/>
      <c r="X110" s="21"/>
      <c r="Y110" s="21"/>
      <c r="AA110" s="21"/>
      <c r="AB110" s="21"/>
      <c r="AC110" s="21"/>
      <c r="AE110" s="21"/>
      <c r="AQ110" s="39">
        <v>107</v>
      </c>
      <c r="AR110" s="35">
        <v>7</v>
      </c>
      <c r="AS110" s="36">
        <v>8</v>
      </c>
      <c r="AT110" s="36">
        <v>4</v>
      </c>
      <c r="AU110" s="36">
        <v>13</v>
      </c>
      <c r="AV110" s="37">
        <v>4</v>
      </c>
    </row>
    <row r="111" spans="10:54" s="3" customFormat="1" ht="18" customHeight="1" x14ac:dyDescent="0.2">
      <c r="J111" s="35">
        <v>3</v>
      </c>
      <c r="K111" s="36">
        <v>2</v>
      </c>
      <c r="L111" s="37">
        <v>2</v>
      </c>
      <c r="Q111" s="35">
        <v>7</v>
      </c>
      <c r="R111" s="36">
        <v>9</v>
      </c>
      <c r="S111" s="36">
        <v>3</v>
      </c>
      <c r="T111" s="37">
        <v>13</v>
      </c>
      <c r="W111" s="21"/>
      <c r="X111" s="21"/>
      <c r="Y111" s="21"/>
      <c r="AA111" s="21"/>
      <c r="AB111" s="21"/>
      <c r="AC111" s="21"/>
      <c r="AE111" s="21"/>
      <c r="AQ111" s="39">
        <v>108</v>
      </c>
      <c r="AR111" s="35">
        <v>7</v>
      </c>
      <c r="AS111" s="36">
        <v>9</v>
      </c>
      <c r="AT111" s="36">
        <v>3</v>
      </c>
      <c r="AU111" s="36">
        <v>13</v>
      </c>
      <c r="AV111" s="37">
        <v>4</v>
      </c>
    </row>
    <row r="112" spans="10:54" s="3" customFormat="1" ht="18" customHeight="1" x14ac:dyDescent="0.2">
      <c r="J112" s="35">
        <v>3</v>
      </c>
      <c r="K112" s="36">
        <v>2</v>
      </c>
      <c r="L112" s="37">
        <v>3</v>
      </c>
      <c r="Q112" s="35">
        <v>7</v>
      </c>
      <c r="R112" s="36">
        <v>9</v>
      </c>
      <c r="S112" s="36">
        <v>4</v>
      </c>
      <c r="T112" s="37">
        <v>13</v>
      </c>
      <c r="W112" s="21"/>
      <c r="X112" s="21"/>
      <c r="Y112" s="21"/>
      <c r="AA112" s="21"/>
      <c r="AB112" s="21"/>
      <c r="AC112" s="21"/>
      <c r="AE112" s="21"/>
      <c r="AQ112" s="39">
        <v>109</v>
      </c>
      <c r="AR112" s="35">
        <v>7</v>
      </c>
      <c r="AS112" s="36">
        <v>9</v>
      </c>
      <c r="AT112" s="36">
        <v>4</v>
      </c>
      <c r="AU112" s="36">
        <v>13</v>
      </c>
      <c r="AV112" s="37">
        <v>4</v>
      </c>
    </row>
    <row r="113" spans="10:48" s="3" customFormat="1" ht="18" customHeight="1" x14ac:dyDescent="0.2">
      <c r="J113" s="35">
        <v>3</v>
      </c>
      <c r="K113" s="36">
        <v>2</v>
      </c>
      <c r="L113" s="37">
        <v>4</v>
      </c>
      <c r="Q113" s="35">
        <v>7</v>
      </c>
      <c r="R113" s="36">
        <v>10</v>
      </c>
      <c r="S113" s="36">
        <v>3</v>
      </c>
      <c r="T113" s="37">
        <v>13</v>
      </c>
      <c r="W113" s="21"/>
      <c r="X113" s="21"/>
      <c r="Y113" s="21"/>
      <c r="AA113" s="21"/>
      <c r="AB113" s="21"/>
      <c r="AC113" s="21"/>
      <c r="AE113" s="21"/>
      <c r="AQ113" s="39">
        <v>110</v>
      </c>
      <c r="AR113" s="35">
        <v>7</v>
      </c>
      <c r="AS113" s="36">
        <v>10</v>
      </c>
      <c r="AT113" s="36">
        <v>3</v>
      </c>
      <c r="AU113" s="36">
        <v>13</v>
      </c>
      <c r="AV113" s="37">
        <v>4</v>
      </c>
    </row>
    <row r="114" spans="10:48" s="3" customFormat="1" ht="18" customHeight="1" x14ac:dyDescent="0.2">
      <c r="J114" s="35">
        <v>3</v>
      </c>
      <c r="K114" s="36">
        <v>4</v>
      </c>
      <c r="L114" s="37">
        <v>2</v>
      </c>
      <c r="Q114" s="35">
        <v>7</v>
      </c>
      <c r="R114" s="36">
        <v>10</v>
      </c>
      <c r="S114" s="36">
        <v>4</v>
      </c>
      <c r="T114" s="37">
        <v>13</v>
      </c>
      <c r="W114" s="21"/>
      <c r="X114" s="21"/>
      <c r="Y114" s="21"/>
      <c r="AA114" s="21"/>
      <c r="AB114" s="21"/>
      <c r="AC114" s="21"/>
      <c r="AE114" s="21"/>
      <c r="AQ114" s="39">
        <v>111</v>
      </c>
      <c r="AR114" s="35">
        <v>7</v>
      </c>
      <c r="AS114" s="36">
        <v>10</v>
      </c>
      <c r="AT114" s="36">
        <v>4</v>
      </c>
      <c r="AU114" s="36">
        <v>13</v>
      </c>
      <c r="AV114" s="37">
        <v>4</v>
      </c>
    </row>
    <row r="115" spans="10:48" s="3" customFormat="1" ht="18" customHeight="1" x14ac:dyDescent="0.2">
      <c r="J115" s="35">
        <v>3</v>
      </c>
      <c r="K115" s="36">
        <v>4</v>
      </c>
      <c r="L115" s="37">
        <v>3</v>
      </c>
      <c r="Q115" s="35">
        <v>16</v>
      </c>
      <c r="R115" s="36">
        <v>1</v>
      </c>
      <c r="S115" s="36">
        <v>3</v>
      </c>
      <c r="T115" s="37">
        <v>1</v>
      </c>
      <c r="W115" s="21"/>
      <c r="X115" s="21"/>
      <c r="Y115" s="21"/>
      <c r="AA115" s="21"/>
      <c r="AB115" s="21"/>
      <c r="AC115" s="21"/>
      <c r="AE115" s="21"/>
      <c r="AQ115" s="39">
        <v>112</v>
      </c>
      <c r="AR115" s="35">
        <v>16</v>
      </c>
      <c r="AS115" s="36">
        <v>1</v>
      </c>
      <c r="AT115" s="36">
        <v>3</v>
      </c>
      <c r="AU115" s="36">
        <v>1</v>
      </c>
      <c r="AV115" s="37">
        <v>4</v>
      </c>
    </row>
    <row r="116" spans="10:48" s="3" customFormat="1" ht="18" customHeight="1" x14ac:dyDescent="0.2">
      <c r="J116" s="35">
        <v>3</v>
      </c>
      <c r="K116" s="36">
        <v>4</v>
      </c>
      <c r="L116" s="37">
        <v>4</v>
      </c>
      <c r="Q116" s="35">
        <v>16</v>
      </c>
      <c r="R116" s="36">
        <v>1</v>
      </c>
      <c r="S116" s="36">
        <v>4</v>
      </c>
      <c r="T116" s="37">
        <v>1</v>
      </c>
      <c r="W116" s="21"/>
      <c r="X116" s="21"/>
      <c r="Y116" s="21"/>
      <c r="AA116" s="21"/>
      <c r="AB116" s="21"/>
      <c r="AC116" s="21"/>
      <c r="AE116" s="21"/>
      <c r="AQ116" s="39">
        <v>113</v>
      </c>
      <c r="AR116" s="35">
        <v>16</v>
      </c>
      <c r="AS116" s="36">
        <v>1</v>
      </c>
      <c r="AT116" s="36">
        <v>4</v>
      </c>
      <c r="AU116" s="36">
        <v>1</v>
      </c>
      <c r="AV116" s="37">
        <v>4</v>
      </c>
    </row>
    <row r="117" spans="10:48" s="3" customFormat="1" ht="18" customHeight="1" x14ac:dyDescent="0.2">
      <c r="J117" s="35">
        <v>3</v>
      </c>
      <c r="K117" s="36">
        <v>6</v>
      </c>
      <c r="L117" s="37">
        <v>2</v>
      </c>
      <c r="Q117" s="35">
        <v>16</v>
      </c>
      <c r="R117" s="36">
        <v>2</v>
      </c>
      <c r="S117" s="36">
        <v>3</v>
      </c>
      <c r="T117" s="37">
        <v>1</v>
      </c>
      <c r="W117" s="21"/>
      <c r="X117" s="21"/>
      <c r="Y117" s="21"/>
      <c r="AA117" s="21"/>
      <c r="AB117" s="21"/>
      <c r="AC117" s="21"/>
      <c r="AE117" s="21"/>
      <c r="AQ117" s="39">
        <v>114</v>
      </c>
      <c r="AR117" s="35">
        <v>16</v>
      </c>
      <c r="AS117" s="36">
        <v>2</v>
      </c>
      <c r="AT117" s="36">
        <v>3</v>
      </c>
      <c r="AU117" s="36">
        <v>1</v>
      </c>
      <c r="AV117" s="37">
        <v>4</v>
      </c>
    </row>
    <row r="118" spans="10:48" s="3" customFormat="1" ht="18" customHeight="1" x14ac:dyDescent="0.2">
      <c r="J118" s="35">
        <v>3</v>
      </c>
      <c r="K118" s="36">
        <v>6</v>
      </c>
      <c r="L118" s="37">
        <v>3</v>
      </c>
      <c r="Q118" s="35">
        <v>16</v>
      </c>
      <c r="R118" s="36">
        <v>2</v>
      </c>
      <c r="S118" s="36">
        <v>4</v>
      </c>
      <c r="T118" s="37">
        <v>1</v>
      </c>
      <c r="W118" s="21"/>
      <c r="X118" s="21"/>
      <c r="Y118" s="21"/>
      <c r="AA118" s="21"/>
      <c r="AB118" s="21"/>
      <c r="AC118" s="21"/>
      <c r="AE118" s="21"/>
      <c r="AQ118" s="39">
        <v>115</v>
      </c>
      <c r="AR118" s="35">
        <v>16</v>
      </c>
      <c r="AS118" s="36">
        <v>2</v>
      </c>
      <c r="AT118" s="36">
        <v>4</v>
      </c>
      <c r="AU118" s="36">
        <v>1</v>
      </c>
      <c r="AV118" s="37">
        <v>4</v>
      </c>
    </row>
    <row r="119" spans="10:48" s="3" customFormat="1" ht="18" customHeight="1" x14ac:dyDescent="0.2">
      <c r="J119" s="35">
        <v>3</v>
      </c>
      <c r="K119" s="36">
        <v>6</v>
      </c>
      <c r="L119" s="37">
        <v>4</v>
      </c>
      <c r="Q119" s="35">
        <v>16</v>
      </c>
      <c r="R119" s="36">
        <v>4</v>
      </c>
      <c r="S119" s="36">
        <v>3</v>
      </c>
      <c r="T119" s="37">
        <v>1</v>
      </c>
      <c r="W119" s="21"/>
      <c r="X119" s="21"/>
      <c r="Y119" s="21"/>
      <c r="AA119" s="21"/>
      <c r="AB119" s="21"/>
      <c r="AC119" s="21"/>
      <c r="AE119" s="21"/>
      <c r="AQ119" s="39">
        <v>116</v>
      </c>
      <c r="AR119" s="35">
        <v>16</v>
      </c>
      <c r="AS119" s="36">
        <v>4</v>
      </c>
      <c r="AT119" s="36">
        <v>3</v>
      </c>
      <c r="AU119" s="36">
        <v>1</v>
      </c>
      <c r="AV119" s="37">
        <v>4</v>
      </c>
    </row>
    <row r="120" spans="10:48" s="3" customFormat="1" ht="18" customHeight="1" x14ac:dyDescent="0.2">
      <c r="J120" s="35">
        <v>3</v>
      </c>
      <c r="K120" s="36">
        <v>7</v>
      </c>
      <c r="L120" s="37">
        <v>2</v>
      </c>
      <c r="Q120" s="35">
        <v>16</v>
      </c>
      <c r="R120" s="36">
        <v>4</v>
      </c>
      <c r="S120" s="36">
        <v>4</v>
      </c>
      <c r="T120" s="37">
        <v>1</v>
      </c>
      <c r="W120" s="21"/>
      <c r="X120" s="21"/>
      <c r="Y120" s="21"/>
      <c r="AA120" s="21"/>
      <c r="AB120" s="21"/>
      <c r="AC120" s="21"/>
      <c r="AE120" s="21"/>
      <c r="AQ120" s="39">
        <v>117</v>
      </c>
      <c r="AR120" s="35">
        <v>16</v>
      </c>
      <c r="AS120" s="36">
        <v>4</v>
      </c>
      <c r="AT120" s="36">
        <v>4</v>
      </c>
      <c r="AU120" s="36">
        <v>1</v>
      </c>
      <c r="AV120" s="37">
        <v>4</v>
      </c>
    </row>
    <row r="121" spans="10:48" s="3" customFormat="1" ht="18" customHeight="1" x14ac:dyDescent="0.2">
      <c r="J121" s="35">
        <v>3</v>
      </c>
      <c r="K121" s="36">
        <v>7</v>
      </c>
      <c r="L121" s="37">
        <v>3</v>
      </c>
      <c r="Q121" s="35">
        <v>16</v>
      </c>
      <c r="R121" s="36">
        <v>7</v>
      </c>
      <c r="S121" s="36">
        <v>3</v>
      </c>
      <c r="T121" s="37">
        <v>1</v>
      </c>
      <c r="W121" s="21"/>
      <c r="X121" s="21"/>
      <c r="Y121" s="21"/>
      <c r="AA121" s="21"/>
      <c r="AB121" s="21"/>
      <c r="AC121" s="21"/>
      <c r="AE121" s="21"/>
      <c r="AQ121" s="39">
        <v>118</v>
      </c>
      <c r="AR121" s="35">
        <v>16</v>
      </c>
      <c r="AS121" s="36">
        <v>7</v>
      </c>
      <c r="AT121" s="36">
        <v>3</v>
      </c>
      <c r="AU121" s="36">
        <v>1</v>
      </c>
      <c r="AV121" s="37">
        <v>4</v>
      </c>
    </row>
    <row r="122" spans="10:48" s="3" customFormat="1" ht="18" customHeight="1" x14ac:dyDescent="0.2">
      <c r="J122" s="35">
        <v>3</v>
      </c>
      <c r="K122" s="36">
        <v>7</v>
      </c>
      <c r="L122" s="37">
        <v>4</v>
      </c>
      <c r="Q122" s="35">
        <v>16</v>
      </c>
      <c r="R122" s="36">
        <v>7</v>
      </c>
      <c r="S122" s="36">
        <v>4</v>
      </c>
      <c r="T122" s="37">
        <v>1</v>
      </c>
      <c r="W122" s="21"/>
      <c r="X122" s="21"/>
      <c r="Y122" s="21"/>
      <c r="AA122" s="21"/>
      <c r="AB122" s="21"/>
      <c r="AC122" s="21"/>
      <c r="AE122" s="21"/>
      <c r="AQ122" s="39">
        <v>119</v>
      </c>
      <c r="AR122" s="35">
        <v>16</v>
      </c>
      <c r="AS122" s="36">
        <v>7</v>
      </c>
      <c r="AT122" s="36">
        <v>4</v>
      </c>
      <c r="AU122" s="36">
        <v>1</v>
      </c>
      <c r="AV122" s="37">
        <v>4</v>
      </c>
    </row>
    <row r="123" spans="10:48" s="3" customFormat="1" ht="18" customHeight="1" x14ac:dyDescent="0.2">
      <c r="J123" s="35">
        <v>3</v>
      </c>
      <c r="K123" s="36">
        <v>9</v>
      </c>
      <c r="L123" s="37">
        <v>2</v>
      </c>
      <c r="Q123" s="35">
        <v>16</v>
      </c>
      <c r="R123" s="36">
        <v>9</v>
      </c>
      <c r="S123" s="36">
        <v>3</v>
      </c>
      <c r="T123" s="37">
        <v>1</v>
      </c>
      <c r="W123" s="21"/>
      <c r="X123" s="21"/>
      <c r="Y123" s="21"/>
      <c r="AA123" s="21"/>
      <c r="AB123" s="21"/>
      <c r="AC123" s="21"/>
      <c r="AE123" s="21"/>
      <c r="AQ123" s="39">
        <v>120</v>
      </c>
      <c r="AR123" s="35">
        <v>16</v>
      </c>
      <c r="AS123" s="36">
        <v>9</v>
      </c>
      <c r="AT123" s="36">
        <v>3</v>
      </c>
      <c r="AU123" s="36">
        <v>1</v>
      </c>
      <c r="AV123" s="37">
        <v>4</v>
      </c>
    </row>
    <row r="124" spans="10:48" s="3" customFormat="1" ht="18" customHeight="1" x14ac:dyDescent="0.2">
      <c r="J124" s="35">
        <v>3</v>
      </c>
      <c r="K124" s="36">
        <v>9</v>
      </c>
      <c r="L124" s="37">
        <v>3</v>
      </c>
      <c r="Q124" s="35">
        <v>16</v>
      </c>
      <c r="R124" s="36">
        <v>9</v>
      </c>
      <c r="S124" s="36">
        <v>4</v>
      </c>
      <c r="T124" s="37">
        <v>1</v>
      </c>
      <c r="W124" s="21"/>
      <c r="X124" s="21"/>
      <c r="Y124" s="21"/>
      <c r="AA124" s="21"/>
      <c r="AB124" s="21"/>
      <c r="AC124" s="21"/>
      <c r="AE124" s="21"/>
      <c r="AQ124" s="39">
        <v>121</v>
      </c>
      <c r="AR124" s="35">
        <v>16</v>
      </c>
      <c r="AS124" s="36">
        <v>9</v>
      </c>
      <c r="AT124" s="36">
        <v>4</v>
      </c>
      <c r="AU124" s="36">
        <v>1</v>
      </c>
      <c r="AV124" s="37">
        <v>4</v>
      </c>
    </row>
    <row r="125" spans="10:48" s="3" customFormat="1" ht="18" customHeight="1" x14ac:dyDescent="0.2">
      <c r="J125" s="35">
        <v>3</v>
      </c>
      <c r="K125" s="36">
        <v>9</v>
      </c>
      <c r="L125" s="37">
        <v>4</v>
      </c>
      <c r="Q125" s="35">
        <v>25</v>
      </c>
      <c r="R125" s="36">
        <v>4</v>
      </c>
      <c r="S125" s="36">
        <v>1</v>
      </c>
      <c r="T125" s="37">
        <v>1</v>
      </c>
      <c r="W125" s="21"/>
      <c r="X125" s="21"/>
      <c r="Y125" s="21"/>
      <c r="AA125" s="21"/>
      <c r="AB125" s="21"/>
      <c r="AC125" s="21"/>
      <c r="AE125" s="21"/>
      <c r="AQ125" s="39">
        <v>122</v>
      </c>
      <c r="AR125" s="35">
        <v>25</v>
      </c>
      <c r="AS125" s="36">
        <v>4</v>
      </c>
      <c r="AT125" s="36">
        <v>1</v>
      </c>
      <c r="AU125" s="36">
        <v>1</v>
      </c>
      <c r="AV125" s="37">
        <v>37</v>
      </c>
    </row>
    <row r="126" spans="10:48" s="3" customFormat="1" ht="18" customHeight="1" x14ac:dyDescent="0.2">
      <c r="J126" s="35">
        <v>3</v>
      </c>
      <c r="K126" s="36">
        <v>1</v>
      </c>
      <c r="L126" s="37">
        <v>2</v>
      </c>
      <c r="Q126" s="35">
        <v>25</v>
      </c>
      <c r="R126" s="36">
        <v>4</v>
      </c>
      <c r="S126" s="36">
        <v>2</v>
      </c>
      <c r="T126" s="37">
        <v>1</v>
      </c>
      <c r="W126" s="21"/>
      <c r="X126" s="21"/>
      <c r="Y126" s="21"/>
      <c r="AA126" s="21"/>
      <c r="AB126" s="21"/>
      <c r="AC126" s="21"/>
      <c r="AE126" s="21"/>
      <c r="AQ126" s="39">
        <v>123</v>
      </c>
      <c r="AR126" s="35">
        <v>25</v>
      </c>
      <c r="AS126" s="36">
        <v>4</v>
      </c>
      <c r="AT126" s="36">
        <v>2</v>
      </c>
      <c r="AU126" s="36">
        <v>1</v>
      </c>
      <c r="AV126" s="37">
        <v>37</v>
      </c>
    </row>
    <row r="127" spans="10:48" s="3" customFormat="1" ht="18" customHeight="1" x14ac:dyDescent="0.2">
      <c r="J127" s="35">
        <v>3</v>
      </c>
      <c r="K127" s="36">
        <v>1</v>
      </c>
      <c r="L127" s="37">
        <v>3</v>
      </c>
      <c r="Q127" s="35">
        <v>25</v>
      </c>
      <c r="R127" s="36">
        <v>4</v>
      </c>
      <c r="S127" s="36">
        <v>3</v>
      </c>
      <c r="T127" s="37">
        <v>1</v>
      </c>
      <c r="W127" s="21"/>
      <c r="X127" s="21"/>
      <c r="Y127" s="21"/>
      <c r="AA127" s="21"/>
      <c r="AB127" s="21"/>
      <c r="AC127" s="21"/>
      <c r="AE127" s="21"/>
      <c r="AQ127" s="39">
        <v>124</v>
      </c>
      <c r="AR127" s="35">
        <v>25</v>
      </c>
      <c r="AS127" s="36">
        <v>4</v>
      </c>
      <c r="AT127" s="36">
        <v>3</v>
      </c>
      <c r="AU127" s="36">
        <v>1</v>
      </c>
      <c r="AV127" s="37">
        <v>37</v>
      </c>
    </row>
    <row r="128" spans="10:48" s="3" customFormat="1" ht="18" customHeight="1" x14ac:dyDescent="0.2">
      <c r="J128" s="35">
        <v>3</v>
      </c>
      <c r="K128" s="36">
        <v>1</v>
      </c>
      <c r="L128" s="37">
        <v>4</v>
      </c>
      <c r="Q128" s="35">
        <v>25</v>
      </c>
      <c r="R128" s="36">
        <v>4</v>
      </c>
      <c r="S128" s="36">
        <v>4</v>
      </c>
      <c r="T128" s="37">
        <v>1</v>
      </c>
      <c r="W128" s="21"/>
      <c r="X128" s="21"/>
      <c r="Y128" s="21"/>
      <c r="AA128" s="21"/>
      <c r="AB128" s="21"/>
      <c r="AC128" s="21"/>
      <c r="AE128" s="21"/>
      <c r="AQ128" s="39">
        <v>125</v>
      </c>
      <c r="AR128" s="35">
        <v>25</v>
      </c>
      <c r="AS128" s="36">
        <v>4</v>
      </c>
      <c r="AT128" s="36">
        <v>4</v>
      </c>
      <c r="AU128" s="36">
        <v>1</v>
      </c>
      <c r="AV128" s="37">
        <v>37</v>
      </c>
    </row>
    <row r="129" spans="10:48" s="3" customFormat="1" ht="18" customHeight="1" x14ac:dyDescent="0.2">
      <c r="J129" s="35">
        <v>3</v>
      </c>
      <c r="K129" s="36">
        <v>2</v>
      </c>
      <c r="L129" s="37">
        <v>2</v>
      </c>
      <c r="Q129" s="35">
        <v>34</v>
      </c>
      <c r="R129" s="36">
        <v>4</v>
      </c>
      <c r="S129" s="36">
        <v>3</v>
      </c>
      <c r="T129" s="37">
        <v>2</v>
      </c>
      <c r="W129" s="21"/>
      <c r="X129" s="21"/>
      <c r="Y129" s="21"/>
      <c r="AA129" s="21"/>
      <c r="AB129" s="21"/>
      <c r="AC129" s="21"/>
      <c r="AE129" s="21"/>
      <c r="AQ129" s="39">
        <v>126</v>
      </c>
      <c r="AR129" s="35">
        <v>34</v>
      </c>
      <c r="AS129" s="36">
        <v>4</v>
      </c>
      <c r="AT129" s="36">
        <v>3</v>
      </c>
      <c r="AU129" s="36">
        <v>2</v>
      </c>
      <c r="AV129" s="37">
        <v>4</v>
      </c>
    </row>
    <row r="130" spans="10:48" s="3" customFormat="1" ht="18" customHeight="1" x14ac:dyDescent="0.2">
      <c r="J130" s="35">
        <v>3</v>
      </c>
      <c r="K130" s="36">
        <v>2</v>
      </c>
      <c r="L130" s="37">
        <v>3</v>
      </c>
      <c r="Q130" s="35">
        <v>34</v>
      </c>
      <c r="R130" s="36">
        <v>4</v>
      </c>
      <c r="S130" s="36">
        <v>4</v>
      </c>
      <c r="T130" s="37">
        <v>2</v>
      </c>
      <c r="W130" s="21"/>
      <c r="X130" s="21"/>
      <c r="Y130" s="21"/>
      <c r="AA130" s="21"/>
      <c r="AB130" s="21"/>
      <c r="AC130" s="21"/>
      <c r="AE130" s="21"/>
      <c r="AQ130" s="39">
        <v>127</v>
      </c>
      <c r="AR130" s="35">
        <v>34</v>
      </c>
      <c r="AS130" s="36">
        <v>4</v>
      </c>
      <c r="AT130" s="36">
        <v>4</v>
      </c>
      <c r="AU130" s="36">
        <v>2</v>
      </c>
      <c r="AV130" s="37">
        <v>4</v>
      </c>
    </row>
    <row r="131" spans="10:48" s="3" customFormat="1" ht="18" customHeight="1" x14ac:dyDescent="0.2">
      <c r="J131" s="35">
        <v>3</v>
      </c>
      <c r="K131" s="36">
        <v>2</v>
      </c>
      <c r="L131" s="37">
        <v>4</v>
      </c>
      <c r="Q131" s="35">
        <v>34</v>
      </c>
      <c r="R131" s="36">
        <v>7</v>
      </c>
      <c r="S131" s="36">
        <v>3</v>
      </c>
      <c r="T131" s="37">
        <v>2</v>
      </c>
      <c r="AQ131" s="39">
        <v>128</v>
      </c>
      <c r="AR131" s="35">
        <v>34</v>
      </c>
      <c r="AS131" s="36">
        <v>7</v>
      </c>
      <c r="AT131" s="36">
        <v>3</v>
      </c>
      <c r="AU131" s="36">
        <v>2</v>
      </c>
      <c r="AV131" s="37">
        <v>4</v>
      </c>
    </row>
    <row r="132" spans="10:48" s="3" customFormat="1" ht="18" customHeight="1" x14ac:dyDescent="0.2">
      <c r="J132" s="35">
        <v>3</v>
      </c>
      <c r="K132" s="36">
        <v>4</v>
      </c>
      <c r="L132" s="37">
        <v>2</v>
      </c>
      <c r="Q132" s="35">
        <v>34</v>
      </c>
      <c r="R132" s="36">
        <v>7</v>
      </c>
      <c r="S132" s="36">
        <v>4</v>
      </c>
      <c r="T132" s="37">
        <v>2</v>
      </c>
      <c r="AQ132" s="39">
        <v>129</v>
      </c>
      <c r="AR132" s="35">
        <v>34</v>
      </c>
      <c r="AS132" s="36">
        <v>7</v>
      </c>
      <c r="AT132" s="36">
        <v>4</v>
      </c>
      <c r="AU132" s="36">
        <v>2</v>
      </c>
      <c r="AV132" s="37">
        <v>4</v>
      </c>
    </row>
    <row r="133" spans="10:48" s="3" customFormat="1" ht="18" customHeight="1" x14ac:dyDescent="0.2">
      <c r="J133" s="35">
        <v>3</v>
      </c>
      <c r="K133" s="36">
        <v>4</v>
      </c>
      <c r="L133" s="37">
        <v>3</v>
      </c>
      <c r="Q133" s="35">
        <v>34</v>
      </c>
      <c r="R133" s="36">
        <v>9</v>
      </c>
      <c r="S133" s="36">
        <v>3</v>
      </c>
      <c r="T133" s="37">
        <v>2</v>
      </c>
      <c r="AQ133" s="39">
        <v>130</v>
      </c>
      <c r="AR133" s="35">
        <v>34</v>
      </c>
      <c r="AS133" s="36">
        <v>9</v>
      </c>
      <c r="AT133" s="36">
        <v>3</v>
      </c>
      <c r="AU133" s="36">
        <v>2</v>
      </c>
      <c r="AV133" s="37">
        <v>4</v>
      </c>
    </row>
    <row r="134" spans="10:48" s="3" customFormat="1" ht="18" customHeight="1" x14ac:dyDescent="0.2">
      <c r="J134" s="35">
        <v>3</v>
      </c>
      <c r="K134" s="36">
        <v>4</v>
      </c>
      <c r="L134" s="37">
        <v>4</v>
      </c>
      <c r="Q134" s="35">
        <v>34</v>
      </c>
      <c r="R134" s="36">
        <v>9</v>
      </c>
      <c r="S134" s="36">
        <v>4</v>
      </c>
      <c r="T134" s="37">
        <v>2</v>
      </c>
      <c r="AQ134" s="39">
        <v>131</v>
      </c>
      <c r="AR134" s="35">
        <v>34</v>
      </c>
      <c r="AS134" s="36">
        <v>9</v>
      </c>
      <c r="AT134" s="36">
        <v>4</v>
      </c>
      <c r="AU134" s="36">
        <v>2</v>
      </c>
      <c r="AV134" s="37">
        <v>4</v>
      </c>
    </row>
    <row r="135" spans="10:48" s="3" customFormat="1" ht="18" customHeight="1" x14ac:dyDescent="0.2">
      <c r="J135" s="35">
        <v>3</v>
      </c>
      <c r="K135" s="36">
        <v>6</v>
      </c>
      <c r="L135" s="37">
        <v>2</v>
      </c>
      <c r="Q135" s="35">
        <v>82</v>
      </c>
      <c r="R135" s="36">
        <v>4</v>
      </c>
      <c r="S135" s="36">
        <v>3</v>
      </c>
      <c r="T135" s="37">
        <v>3</v>
      </c>
      <c r="AQ135" s="39">
        <v>132</v>
      </c>
      <c r="AR135" s="35">
        <v>82</v>
      </c>
      <c r="AS135" s="36">
        <v>4</v>
      </c>
      <c r="AT135" s="36">
        <v>3</v>
      </c>
      <c r="AU135" s="36">
        <v>3</v>
      </c>
      <c r="AV135" s="37">
        <v>4</v>
      </c>
    </row>
    <row r="136" spans="10:48" s="3" customFormat="1" ht="18.5" customHeight="1" x14ac:dyDescent="0.2">
      <c r="J136" s="35">
        <v>3</v>
      </c>
      <c r="K136" s="36">
        <v>6</v>
      </c>
      <c r="L136" s="37">
        <v>3</v>
      </c>
      <c r="Q136" s="32">
        <v>82</v>
      </c>
      <c r="R136" s="33">
        <v>4</v>
      </c>
      <c r="S136" s="33">
        <v>4</v>
      </c>
      <c r="T136" s="34">
        <v>3</v>
      </c>
      <c r="AQ136" s="56">
        <v>133</v>
      </c>
      <c r="AR136" s="32">
        <v>82</v>
      </c>
      <c r="AS136" s="33">
        <v>4</v>
      </c>
      <c r="AT136" s="33">
        <v>4</v>
      </c>
      <c r="AU136" s="33">
        <v>3</v>
      </c>
      <c r="AV136" s="34">
        <v>4</v>
      </c>
    </row>
    <row r="137" spans="10:48" s="3" customFormat="1" ht="18.5" customHeight="1" x14ac:dyDescent="0.2">
      <c r="J137" s="35">
        <v>3</v>
      </c>
      <c r="K137" s="36">
        <v>6</v>
      </c>
      <c r="L137" s="37">
        <v>4</v>
      </c>
    </row>
    <row r="138" spans="10:48" s="3" customFormat="1" ht="18" customHeight="1" x14ac:dyDescent="0.2">
      <c r="J138" s="35">
        <v>3</v>
      </c>
      <c r="K138" s="36">
        <v>7</v>
      </c>
      <c r="L138" s="37">
        <v>2</v>
      </c>
    </row>
    <row r="139" spans="10:48" s="3" customFormat="1" ht="18" customHeight="1" x14ac:dyDescent="0.2">
      <c r="J139" s="35">
        <v>3</v>
      </c>
      <c r="K139" s="36">
        <v>7</v>
      </c>
      <c r="L139" s="37">
        <v>3</v>
      </c>
    </row>
    <row r="140" spans="10:48" s="3" customFormat="1" ht="18" customHeight="1" x14ac:dyDescent="0.2">
      <c r="J140" s="35">
        <v>3</v>
      </c>
      <c r="K140" s="36">
        <v>7</v>
      </c>
      <c r="L140" s="37">
        <v>4</v>
      </c>
    </row>
    <row r="141" spans="10:48" s="3" customFormat="1" ht="18" customHeight="1" x14ac:dyDescent="0.2">
      <c r="J141" s="35">
        <v>3</v>
      </c>
      <c r="K141" s="36">
        <v>9</v>
      </c>
      <c r="L141" s="37">
        <v>2</v>
      </c>
    </row>
    <row r="142" spans="10:48" s="3" customFormat="1" ht="18" customHeight="1" x14ac:dyDescent="0.2">
      <c r="J142" s="35">
        <v>3</v>
      </c>
      <c r="K142" s="36">
        <v>9</v>
      </c>
      <c r="L142" s="37">
        <v>3</v>
      </c>
    </row>
    <row r="143" spans="10:48" s="3" customFormat="1" ht="18" customHeight="1" x14ac:dyDescent="0.2">
      <c r="J143" s="35">
        <v>3</v>
      </c>
      <c r="K143" s="36">
        <v>9</v>
      </c>
      <c r="L143" s="37">
        <v>4</v>
      </c>
    </row>
    <row r="144" spans="10:48" s="3" customFormat="1" ht="18" customHeight="1" x14ac:dyDescent="0.2">
      <c r="J144" s="35">
        <v>3</v>
      </c>
      <c r="K144" s="36">
        <v>1</v>
      </c>
      <c r="L144" s="37">
        <v>2</v>
      </c>
    </row>
    <row r="145" spans="10:12" s="3" customFormat="1" ht="18" customHeight="1" x14ac:dyDescent="0.2">
      <c r="J145" s="35">
        <v>3</v>
      </c>
      <c r="K145" s="36">
        <v>1</v>
      </c>
      <c r="L145" s="37">
        <v>3</v>
      </c>
    </row>
    <row r="146" spans="10:12" s="3" customFormat="1" ht="18" customHeight="1" x14ac:dyDescent="0.2">
      <c r="J146" s="35">
        <v>3</v>
      </c>
      <c r="K146" s="36">
        <v>1</v>
      </c>
      <c r="L146" s="37">
        <v>4</v>
      </c>
    </row>
    <row r="147" spans="10:12" s="3" customFormat="1" ht="18" customHeight="1" x14ac:dyDescent="0.2">
      <c r="J147" s="35">
        <v>3</v>
      </c>
      <c r="K147" s="36">
        <v>2</v>
      </c>
      <c r="L147" s="37">
        <v>2</v>
      </c>
    </row>
    <row r="148" spans="10:12" s="3" customFormat="1" ht="18" customHeight="1" x14ac:dyDescent="0.2">
      <c r="J148" s="35">
        <v>3</v>
      </c>
      <c r="K148" s="36">
        <v>2</v>
      </c>
      <c r="L148" s="37">
        <v>3</v>
      </c>
    </row>
    <row r="149" spans="10:12" s="3" customFormat="1" ht="18" customHeight="1" x14ac:dyDescent="0.2">
      <c r="J149" s="35">
        <v>3</v>
      </c>
      <c r="K149" s="36">
        <v>2</v>
      </c>
      <c r="L149" s="37">
        <v>4</v>
      </c>
    </row>
    <row r="150" spans="10:12" s="3" customFormat="1" ht="18" customHeight="1" x14ac:dyDescent="0.2">
      <c r="J150" s="35">
        <v>3</v>
      </c>
      <c r="K150" s="36">
        <v>4</v>
      </c>
      <c r="L150" s="37">
        <v>2</v>
      </c>
    </row>
    <row r="151" spans="10:12" s="3" customFormat="1" ht="18" customHeight="1" x14ac:dyDescent="0.2">
      <c r="J151" s="35">
        <v>3</v>
      </c>
      <c r="K151" s="36">
        <v>4</v>
      </c>
      <c r="L151" s="37">
        <v>3</v>
      </c>
    </row>
    <row r="152" spans="10:12" s="3" customFormat="1" ht="18" customHeight="1" x14ac:dyDescent="0.2">
      <c r="J152" s="35">
        <v>3</v>
      </c>
      <c r="K152" s="36">
        <v>4</v>
      </c>
      <c r="L152" s="37">
        <v>4</v>
      </c>
    </row>
    <row r="153" spans="10:12" s="3" customFormat="1" ht="18" customHeight="1" x14ac:dyDescent="0.2">
      <c r="J153" s="35">
        <v>3</v>
      </c>
      <c r="K153" s="36">
        <v>6</v>
      </c>
      <c r="L153" s="37">
        <v>2</v>
      </c>
    </row>
    <row r="154" spans="10:12" s="3" customFormat="1" ht="18" customHeight="1" x14ac:dyDescent="0.2">
      <c r="J154" s="35">
        <v>3</v>
      </c>
      <c r="K154" s="36">
        <v>6</v>
      </c>
      <c r="L154" s="37">
        <v>3</v>
      </c>
    </row>
    <row r="155" spans="10:12" s="3" customFormat="1" ht="18" customHeight="1" x14ac:dyDescent="0.2">
      <c r="J155" s="35">
        <v>3</v>
      </c>
      <c r="K155" s="36">
        <v>6</v>
      </c>
      <c r="L155" s="37">
        <v>4</v>
      </c>
    </row>
    <row r="156" spans="10:12" s="3" customFormat="1" ht="18" customHeight="1" x14ac:dyDescent="0.2">
      <c r="J156" s="35">
        <v>3</v>
      </c>
      <c r="K156" s="36">
        <v>7</v>
      </c>
      <c r="L156" s="37">
        <v>2</v>
      </c>
    </row>
    <row r="157" spans="10:12" s="3" customFormat="1" ht="18" customHeight="1" x14ac:dyDescent="0.2">
      <c r="J157" s="35">
        <v>3</v>
      </c>
      <c r="K157" s="36">
        <v>7</v>
      </c>
      <c r="L157" s="37">
        <v>3</v>
      </c>
    </row>
    <row r="158" spans="10:12" s="3" customFormat="1" ht="18" customHeight="1" x14ac:dyDescent="0.2">
      <c r="J158" s="35">
        <v>3</v>
      </c>
      <c r="K158" s="36">
        <v>7</v>
      </c>
      <c r="L158" s="37">
        <v>4</v>
      </c>
    </row>
    <row r="159" spans="10:12" s="3" customFormat="1" ht="18" customHeight="1" x14ac:dyDescent="0.2">
      <c r="J159" s="35">
        <v>3</v>
      </c>
      <c r="K159" s="36">
        <v>9</v>
      </c>
      <c r="L159" s="37">
        <v>2</v>
      </c>
    </row>
    <row r="160" spans="10:12" s="3" customFormat="1" ht="18" customHeight="1" x14ac:dyDescent="0.2">
      <c r="J160" s="35">
        <v>3</v>
      </c>
      <c r="K160" s="36">
        <v>9</v>
      </c>
      <c r="L160" s="37">
        <v>3</v>
      </c>
    </row>
    <row r="161" spans="10:12" s="3" customFormat="1" ht="18" customHeight="1" x14ac:dyDescent="0.2">
      <c r="J161" s="35">
        <v>3</v>
      </c>
      <c r="K161" s="36">
        <v>9</v>
      </c>
      <c r="L161" s="37">
        <v>4</v>
      </c>
    </row>
    <row r="162" spans="10:12" s="3" customFormat="1" ht="18" customHeight="1" x14ac:dyDescent="0.2">
      <c r="J162" s="35">
        <v>2</v>
      </c>
      <c r="K162" s="36">
        <v>4</v>
      </c>
      <c r="L162" s="37">
        <v>2</v>
      </c>
    </row>
    <row r="163" spans="10:12" s="3" customFormat="1" ht="18" customHeight="1" x14ac:dyDescent="0.2">
      <c r="J163" s="35">
        <v>2</v>
      </c>
      <c r="K163" s="36">
        <v>4</v>
      </c>
      <c r="L163" s="37">
        <v>3</v>
      </c>
    </row>
    <row r="164" spans="10:12" s="3" customFormat="1" ht="18" customHeight="1" x14ac:dyDescent="0.2">
      <c r="J164" s="35">
        <v>2</v>
      </c>
      <c r="K164" s="36">
        <v>4</v>
      </c>
      <c r="L164" s="37">
        <v>4</v>
      </c>
    </row>
    <row r="165" spans="10:12" s="3" customFormat="1" ht="18" customHeight="1" x14ac:dyDescent="0.2">
      <c r="J165" s="35">
        <v>2</v>
      </c>
      <c r="K165" s="36">
        <v>7</v>
      </c>
      <c r="L165" s="37">
        <v>2</v>
      </c>
    </row>
    <row r="166" spans="10:12" s="3" customFormat="1" ht="18" customHeight="1" x14ac:dyDescent="0.2">
      <c r="J166" s="35">
        <v>2</v>
      </c>
      <c r="K166" s="36">
        <v>7</v>
      </c>
      <c r="L166" s="37">
        <v>3</v>
      </c>
    </row>
    <row r="167" spans="10:12" s="3" customFormat="1" ht="18" customHeight="1" x14ac:dyDescent="0.2">
      <c r="J167" s="35">
        <v>2</v>
      </c>
      <c r="K167" s="36">
        <v>7</v>
      </c>
      <c r="L167" s="37">
        <v>4</v>
      </c>
    </row>
    <row r="168" spans="10:12" s="3" customFormat="1" ht="18" customHeight="1" x14ac:dyDescent="0.2">
      <c r="J168" s="35">
        <v>2</v>
      </c>
      <c r="K168" s="36">
        <v>9</v>
      </c>
      <c r="L168" s="37">
        <v>2</v>
      </c>
    </row>
    <row r="169" spans="10:12" s="3" customFormat="1" ht="18" customHeight="1" x14ac:dyDescent="0.2">
      <c r="J169" s="35">
        <v>2</v>
      </c>
      <c r="K169" s="36">
        <v>9</v>
      </c>
      <c r="L169" s="37">
        <v>3</v>
      </c>
    </row>
    <row r="170" spans="10:12" s="3" customFormat="1" ht="18" customHeight="1" x14ac:dyDescent="0.2">
      <c r="J170" s="35">
        <v>2</v>
      </c>
      <c r="K170" s="36">
        <v>9</v>
      </c>
      <c r="L170" s="37">
        <v>4</v>
      </c>
    </row>
    <row r="171" spans="10:12" s="3" customFormat="1" ht="18" customHeight="1" x14ac:dyDescent="0.2">
      <c r="J171" s="35">
        <v>82</v>
      </c>
      <c r="K171" s="36">
        <v>4</v>
      </c>
      <c r="L171" s="37">
        <v>3</v>
      </c>
    </row>
    <row r="172" spans="10:12" s="3" customFormat="1" ht="18" customHeight="1" x14ac:dyDescent="0.2">
      <c r="J172" s="35">
        <v>82</v>
      </c>
      <c r="K172" s="36">
        <v>4</v>
      </c>
      <c r="L172" s="37">
        <v>4</v>
      </c>
    </row>
    <row r="173" spans="10:12" s="3" customFormat="1" ht="18" customHeight="1" x14ac:dyDescent="0.2">
      <c r="J173" s="35">
        <v>7</v>
      </c>
      <c r="K173" s="36">
        <v>1</v>
      </c>
      <c r="L173" s="37">
        <v>3</v>
      </c>
    </row>
    <row r="174" spans="10:12" s="3" customFormat="1" ht="18" customHeight="1" x14ac:dyDescent="0.2">
      <c r="J174" s="35">
        <v>7</v>
      </c>
      <c r="K174" s="36">
        <v>1</v>
      </c>
      <c r="L174" s="37">
        <v>4</v>
      </c>
    </row>
    <row r="175" spans="10:12" s="3" customFormat="1" ht="18" customHeight="1" x14ac:dyDescent="0.2">
      <c r="J175" s="35">
        <v>7</v>
      </c>
      <c r="K175" s="36">
        <v>2</v>
      </c>
      <c r="L175" s="37">
        <v>3</v>
      </c>
    </row>
    <row r="176" spans="10:12" s="3" customFormat="1" ht="18" customHeight="1" x14ac:dyDescent="0.2">
      <c r="J176" s="35">
        <v>7</v>
      </c>
      <c r="K176" s="36">
        <v>2</v>
      </c>
      <c r="L176" s="37">
        <v>4</v>
      </c>
    </row>
    <row r="177" spans="10:12" s="3" customFormat="1" ht="18" customHeight="1" x14ac:dyDescent="0.2">
      <c r="J177" s="35">
        <v>7</v>
      </c>
      <c r="K177" s="36">
        <v>3</v>
      </c>
      <c r="L177" s="37">
        <v>3</v>
      </c>
    </row>
    <row r="178" spans="10:12" s="3" customFormat="1" ht="18" customHeight="1" x14ac:dyDescent="0.2">
      <c r="J178" s="35">
        <v>7</v>
      </c>
      <c r="K178" s="36">
        <v>3</v>
      </c>
      <c r="L178" s="37">
        <v>4</v>
      </c>
    </row>
    <row r="179" spans="10:12" s="3" customFormat="1" ht="18" customHeight="1" x14ac:dyDescent="0.2">
      <c r="J179" s="35">
        <v>7</v>
      </c>
      <c r="K179" s="36">
        <v>4</v>
      </c>
      <c r="L179" s="37">
        <v>3</v>
      </c>
    </row>
    <row r="180" spans="10:12" s="3" customFormat="1" ht="18" customHeight="1" x14ac:dyDescent="0.2">
      <c r="J180" s="35">
        <v>7</v>
      </c>
      <c r="K180" s="36">
        <v>4</v>
      </c>
      <c r="L180" s="37">
        <v>4</v>
      </c>
    </row>
    <row r="181" spans="10:12" s="3" customFormat="1" ht="18" customHeight="1" x14ac:dyDescent="0.2">
      <c r="J181" s="35">
        <v>7</v>
      </c>
      <c r="K181" s="36">
        <v>5</v>
      </c>
      <c r="L181" s="37">
        <v>3</v>
      </c>
    </row>
    <row r="182" spans="10:12" s="3" customFormat="1" ht="18" customHeight="1" x14ac:dyDescent="0.2">
      <c r="J182" s="35">
        <v>7</v>
      </c>
      <c r="K182" s="36">
        <v>5</v>
      </c>
      <c r="L182" s="37">
        <v>4</v>
      </c>
    </row>
    <row r="183" spans="10:12" s="3" customFormat="1" ht="18" customHeight="1" x14ac:dyDescent="0.2">
      <c r="J183" s="35">
        <v>7</v>
      </c>
      <c r="K183" s="36">
        <v>6</v>
      </c>
      <c r="L183" s="37">
        <v>3</v>
      </c>
    </row>
    <row r="184" spans="10:12" s="3" customFormat="1" ht="18" customHeight="1" x14ac:dyDescent="0.2">
      <c r="J184" s="35">
        <v>7</v>
      </c>
      <c r="K184" s="36">
        <v>6</v>
      </c>
      <c r="L184" s="37">
        <v>4</v>
      </c>
    </row>
    <row r="185" spans="10:12" s="3" customFormat="1" ht="18" customHeight="1" x14ac:dyDescent="0.2">
      <c r="J185" s="35">
        <v>7</v>
      </c>
      <c r="K185" s="36">
        <v>7</v>
      </c>
      <c r="L185" s="37">
        <v>3</v>
      </c>
    </row>
    <row r="186" spans="10:12" s="3" customFormat="1" ht="18" customHeight="1" x14ac:dyDescent="0.2">
      <c r="J186" s="35">
        <v>7</v>
      </c>
      <c r="K186" s="36">
        <v>7</v>
      </c>
      <c r="L186" s="37">
        <v>4</v>
      </c>
    </row>
    <row r="187" spans="10:12" s="3" customFormat="1" ht="18" customHeight="1" x14ac:dyDescent="0.2">
      <c r="J187" s="35">
        <v>7</v>
      </c>
      <c r="K187" s="36">
        <v>8</v>
      </c>
      <c r="L187" s="37">
        <v>3</v>
      </c>
    </row>
    <row r="188" spans="10:12" s="3" customFormat="1" ht="18" customHeight="1" x14ac:dyDescent="0.2">
      <c r="J188" s="35">
        <v>7</v>
      </c>
      <c r="K188" s="36">
        <v>8</v>
      </c>
      <c r="L188" s="37">
        <v>4</v>
      </c>
    </row>
    <row r="189" spans="10:12" s="3" customFormat="1" ht="18" customHeight="1" x14ac:dyDescent="0.2">
      <c r="J189" s="35">
        <v>7</v>
      </c>
      <c r="K189" s="36">
        <v>9</v>
      </c>
      <c r="L189" s="37">
        <v>3</v>
      </c>
    </row>
    <row r="190" spans="10:12" s="3" customFormat="1" ht="18" customHeight="1" x14ac:dyDescent="0.2">
      <c r="J190" s="35">
        <v>7</v>
      </c>
      <c r="K190" s="36">
        <v>9</v>
      </c>
      <c r="L190" s="37">
        <v>4</v>
      </c>
    </row>
    <row r="191" spans="10:12" s="3" customFormat="1" ht="18" customHeight="1" x14ac:dyDescent="0.2">
      <c r="J191" s="35">
        <v>7</v>
      </c>
      <c r="K191" s="36">
        <v>10</v>
      </c>
      <c r="L191" s="37">
        <v>3</v>
      </c>
    </row>
    <row r="192" spans="10:12" s="3" customFormat="1" ht="18" customHeight="1" x14ac:dyDescent="0.2">
      <c r="J192" s="35">
        <v>7</v>
      </c>
      <c r="K192" s="36">
        <v>10</v>
      </c>
      <c r="L192" s="37">
        <v>4</v>
      </c>
    </row>
    <row r="193" spans="10:12" s="3" customFormat="1" ht="18" customHeight="1" x14ac:dyDescent="0.2">
      <c r="J193" s="35">
        <v>82</v>
      </c>
      <c r="K193" s="36">
        <v>4</v>
      </c>
      <c r="L193" s="37">
        <v>3</v>
      </c>
    </row>
    <row r="194" spans="10:12" s="3" customFormat="1" ht="18" customHeight="1" x14ac:dyDescent="0.2">
      <c r="J194" s="35">
        <v>82</v>
      </c>
      <c r="K194" s="36">
        <v>4</v>
      </c>
      <c r="L194" s="37">
        <v>4</v>
      </c>
    </row>
    <row r="195" spans="10:12" s="3" customFormat="1" ht="18" customHeight="1" x14ac:dyDescent="0.2">
      <c r="J195" s="35">
        <v>7</v>
      </c>
      <c r="K195" s="36">
        <v>1</v>
      </c>
      <c r="L195" s="37">
        <v>3</v>
      </c>
    </row>
    <row r="196" spans="10:12" s="3" customFormat="1" ht="18" customHeight="1" x14ac:dyDescent="0.2">
      <c r="J196" s="35">
        <v>7</v>
      </c>
      <c r="K196" s="36">
        <v>1</v>
      </c>
      <c r="L196" s="37">
        <v>4</v>
      </c>
    </row>
    <row r="197" spans="10:12" s="3" customFormat="1" ht="18" customHeight="1" x14ac:dyDescent="0.2">
      <c r="J197" s="35">
        <v>7</v>
      </c>
      <c r="K197" s="36">
        <v>2</v>
      </c>
      <c r="L197" s="37">
        <v>3</v>
      </c>
    </row>
    <row r="198" spans="10:12" s="3" customFormat="1" ht="18" customHeight="1" x14ac:dyDescent="0.2">
      <c r="J198" s="35">
        <v>7</v>
      </c>
      <c r="K198" s="36">
        <v>2</v>
      </c>
      <c r="L198" s="37">
        <v>4</v>
      </c>
    </row>
    <row r="199" spans="10:12" s="3" customFormat="1" ht="18" customHeight="1" x14ac:dyDescent="0.2">
      <c r="J199" s="35">
        <v>7</v>
      </c>
      <c r="K199" s="36">
        <v>3</v>
      </c>
      <c r="L199" s="37">
        <v>3</v>
      </c>
    </row>
    <row r="200" spans="10:12" s="3" customFormat="1" ht="18" customHeight="1" x14ac:dyDescent="0.2">
      <c r="J200" s="35">
        <v>7</v>
      </c>
      <c r="K200" s="36">
        <v>3</v>
      </c>
      <c r="L200" s="37">
        <v>4</v>
      </c>
    </row>
    <row r="201" spans="10:12" s="3" customFormat="1" ht="18" customHeight="1" x14ac:dyDescent="0.2">
      <c r="J201" s="35">
        <v>7</v>
      </c>
      <c r="K201" s="36">
        <v>4</v>
      </c>
      <c r="L201" s="37">
        <v>3</v>
      </c>
    </row>
    <row r="202" spans="10:12" s="3" customFormat="1" ht="18" customHeight="1" x14ac:dyDescent="0.2">
      <c r="J202" s="35">
        <v>7</v>
      </c>
      <c r="K202" s="36">
        <v>4</v>
      </c>
      <c r="L202" s="37">
        <v>4</v>
      </c>
    </row>
    <row r="203" spans="10:12" s="3" customFormat="1" ht="18" customHeight="1" x14ac:dyDescent="0.2">
      <c r="J203" s="35">
        <v>7</v>
      </c>
      <c r="K203" s="36">
        <v>5</v>
      </c>
      <c r="L203" s="37">
        <v>3</v>
      </c>
    </row>
    <row r="204" spans="10:12" s="3" customFormat="1" ht="18" customHeight="1" x14ac:dyDescent="0.2">
      <c r="J204" s="35">
        <v>7</v>
      </c>
      <c r="K204" s="36">
        <v>5</v>
      </c>
      <c r="L204" s="37">
        <v>4</v>
      </c>
    </row>
    <row r="205" spans="10:12" s="3" customFormat="1" ht="18" customHeight="1" x14ac:dyDescent="0.2">
      <c r="J205" s="35">
        <v>7</v>
      </c>
      <c r="K205" s="36">
        <v>6</v>
      </c>
      <c r="L205" s="37">
        <v>3</v>
      </c>
    </row>
    <row r="206" spans="10:12" s="3" customFormat="1" ht="18" customHeight="1" x14ac:dyDescent="0.2">
      <c r="J206" s="35">
        <v>7</v>
      </c>
      <c r="K206" s="36">
        <v>6</v>
      </c>
      <c r="L206" s="37">
        <v>4</v>
      </c>
    </row>
    <row r="207" spans="10:12" s="3" customFormat="1" ht="18" customHeight="1" x14ac:dyDescent="0.2">
      <c r="J207" s="35">
        <v>7</v>
      </c>
      <c r="K207" s="36">
        <v>7</v>
      </c>
      <c r="L207" s="37">
        <v>3</v>
      </c>
    </row>
    <row r="208" spans="10:12" s="3" customFormat="1" ht="18" customHeight="1" x14ac:dyDescent="0.2">
      <c r="J208" s="35">
        <v>7</v>
      </c>
      <c r="K208" s="36">
        <v>7</v>
      </c>
      <c r="L208" s="37">
        <v>4</v>
      </c>
    </row>
    <row r="209" spans="10:12" s="3" customFormat="1" ht="18" customHeight="1" x14ac:dyDescent="0.2">
      <c r="J209" s="35">
        <v>7</v>
      </c>
      <c r="K209" s="36">
        <v>8</v>
      </c>
      <c r="L209" s="37">
        <v>3</v>
      </c>
    </row>
    <row r="210" spans="10:12" s="3" customFormat="1" ht="18" customHeight="1" x14ac:dyDescent="0.2">
      <c r="J210" s="35">
        <v>7</v>
      </c>
      <c r="K210" s="36">
        <v>8</v>
      </c>
      <c r="L210" s="37">
        <v>4</v>
      </c>
    </row>
    <row r="211" spans="10:12" s="3" customFormat="1" ht="18" customHeight="1" x14ac:dyDescent="0.2">
      <c r="J211" s="35">
        <v>7</v>
      </c>
      <c r="K211" s="36">
        <v>9</v>
      </c>
      <c r="L211" s="37">
        <v>3</v>
      </c>
    </row>
    <row r="212" spans="10:12" s="3" customFormat="1" ht="18" customHeight="1" x14ac:dyDescent="0.2">
      <c r="J212" s="35">
        <v>7</v>
      </c>
      <c r="K212" s="36">
        <v>9</v>
      </c>
      <c r="L212" s="37">
        <v>4</v>
      </c>
    </row>
    <row r="213" spans="10:12" s="3" customFormat="1" ht="18" customHeight="1" x14ac:dyDescent="0.2">
      <c r="J213" s="35">
        <v>7</v>
      </c>
      <c r="K213" s="36">
        <v>10</v>
      </c>
      <c r="L213" s="37">
        <v>3</v>
      </c>
    </row>
    <row r="214" spans="10:12" s="3" customFormat="1" ht="18" customHeight="1" x14ac:dyDescent="0.2">
      <c r="J214" s="35">
        <v>7</v>
      </c>
      <c r="K214" s="36">
        <v>10</v>
      </c>
      <c r="L214" s="37">
        <v>4</v>
      </c>
    </row>
    <row r="215" spans="10:12" s="3" customFormat="1" ht="18" customHeight="1" x14ac:dyDescent="0.2">
      <c r="J215" s="35">
        <v>34</v>
      </c>
      <c r="K215" s="36">
        <v>4</v>
      </c>
      <c r="L215" s="37">
        <v>3</v>
      </c>
    </row>
    <row r="216" spans="10:12" s="3" customFormat="1" ht="18" customHeight="1" x14ac:dyDescent="0.2">
      <c r="J216" s="35">
        <v>34</v>
      </c>
      <c r="K216" s="36">
        <v>4</v>
      </c>
      <c r="L216" s="37">
        <v>4</v>
      </c>
    </row>
    <row r="217" spans="10:12" s="3" customFormat="1" ht="18" customHeight="1" x14ac:dyDescent="0.2">
      <c r="J217" s="35">
        <v>34</v>
      </c>
      <c r="K217" s="36">
        <v>7</v>
      </c>
      <c r="L217" s="37">
        <v>3</v>
      </c>
    </row>
    <row r="218" spans="10:12" s="3" customFormat="1" ht="18" customHeight="1" x14ac:dyDescent="0.2">
      <c r="J218" s="35">
        <v>34</v>
      </c>
      <c r="K218" s="36">
        <v>7</v>
      </c>
      <c r="L218" s="37">
        <v>4</v>
      </c>
    </row>
    <row r="219" spans="10:12" s="3" customFormat="1" ht="18" customHeight="1" x14ac:dyDescent="0.2">
      <c r="J219" s="35">
        <v>34</v>
      </c>
      <c r="K219" s="36">
        <v>9</v>
      </c>
      <c r="L219" s="37">
        <v>3</v>
      </c>
    </row>
    <row r="220" spans="10:12" s="3" customFormat="1" ht="18" customHeight="1" x14ac:dyDescent="0.2">
      <c r="J220" s="35">
        <v>34</v>
      </c>
      <c r="K220" s="36">
        <v>9</v>
      </c>
      <c r="L220" s="37">
        <v>4</v>
      </c>
    </row>
    <row r="221" spans="10:12" s="3" customFormat="1" ht="18" customHeight="1" x14ac:dyDescent="0.2">
      <c r="J221" s="35">
        <v>1</v>
      </c>
      <c r="K221" s="36">
        <v>1</v>
      </c>
      <c r="L221" s="37">
        <v>3</v>
      </c>
    </row>
    <row r="222" spans="10:12" s="3" customFormat="1" ht="18" customHeight="1" x14ac:dyDescent="0.2">
      <c r="J222" s="35">
        <v>1</v>
      </c>
      <c r="K222" s="36">
        <v>1</v>
      </c>
      <c r="L222" s="37">
        <v>4</v>
      </c>
    </row>
    <row r="223" spans="10:12" s="3" customFormat="1" ht="18" customHeight="1" x14ac:dyDescent="0.2">
      <c r="J223" s="35">
        <v>1</v>
      </c>
      <c r="K223" s="36">
        <v>2</v>
      </c>
      <c r="L223" s="37">
        <v>3</v>
      </c>
    </row>
    <row r="224" spans="10:12" s="3" customFormat="1" ht="18" customHeight="1" x14ac:dyDescent="0.2">
      <c r="J224" s="35">
        <v>1</v>
      </c>
      <c r="K224" s="36">
        <v>2</v>
      </c>
      <c r="L224" s="37">
        <v>4</v>
      </c>
    </row>
    <row r="225" spans="10:12" s="3" customFormat="1" ht="18" customHeight="1" x14ac:dyDescent="0.2">
      <c r="J225" s="35">
        <v>1</v>
      </c>
      <c r="K225" s="36">
        <v>4</v>
      </c>
      <c r="L225" s="37">
        <v>3</v>
      </c>
    </row>
    <row r="226" spans="10:12" s="3" customFormat="1" ht="18" customHeight="1" x14ac:dyDescent="0.2">
      <c r="J226" s="35">
        <v>1</v>
      </c>
      <c r="K226" s="36">
        <v>4</v>
      </c>
      <c r="L226" s="37">
        <v>4</v>
      </c>
    </row>
    <row r="227" spans="10:12" s="3" customFormat="1" ht="18" customHeight="1" x14ac:dyDescent="0.2">
      <c r="J227" s="35">
        <v>1</v>
      </c>
      <c r="K227" s="36">
        <v>6</v>
      </c>
      <c r="L227" s="37">
        <v>3</v>
      </c>
    </row>
    <row r="228" spans="10:12" s="3" customFormat="1" ht="18" customHeight="1" x14ac:dyDescent="0.2">
      <c r="J228" s="35">
        <v>1</v>
      </c>
      <c r="K228" s="36">
        <v>6</v>
      </c>
      <c r="L228" s="37">
        <v>4</v>
      </c>
    </row>
    <row r="229" spans="10:12" s="3" customFormat="1" ht="18" customHeight="1" x14ac:dyDescent="0.2">
      <c r="J229" s="35">
        <v>1</v>
      </c>
      <c r="K229" s="36">
        <v>7</v>
      </c>
      <c r="L229" s="37">
        <v>3</v>
      </c>
    </row>
    <row r="230" spans="10:12" s="3" customFormat="1" ht="18" customHeight="1" x14ac:dyDescent="0.2">
      <c r="J230" s="35">
        <v>1</v>
      </c>
      <c r="K230" s="36">
        <v>7</v>
      </c>
      <c r="L230" s="37">
        <v>4</v>
      </c>
    </row>
    <row r="231" spans="10:12" s="3" customFormat="1" ht="18" customHeight="1" x14ac:dyDescent="0.2">
      <c r="J231" s="35">
        <v>1</v>
      </c>
      <c r="K231" s="36">
        <v>9</v>
      </c>
      <c r="L231" s="37">
        <v>3</v>
      </c>
    </row>
    <row r="232" spans="10:12" s="3" customFormat="1" ht="18" customHeight="1" x14ac:dyDescent="0.2">
      <c r="J232" s="35">
        <v>1</v>
      </c>
      <c r="K232" s="36">
        <v>9</v>
      </c>
      <c r="L232" s="37">
        <v>4</v>
      </c>
    </row>
    <row r="233" spans="10:12" s="3" customFormat="1" ht="18" customHeight="1" x14ac:dyDescent="0.2">
      <c r="J233" s="35">
        <v>7</v>
      </c>
      <c r="K233" s="36">
        <v>1</v>
      </c>
      <c r="L233" s="37">
        <v>3</v>
      </c>
    </row>
    <row r="234" spans="10:12" s="3" customFormat="1" ht="18" customHeight="1" x14ac:dyDescent="0.2">
      <c r="J234" s="35">
        <v>7</v>
      </c>
      <c r="K234" s="36">
        <v>1</v>
      </c>
      <c r="L234" s="37">
        <v>4</v>
      </c>
    </row>
    <row r="235" spans="10:12" s="3" customFormat="1" ht="18" customHeight="1" x14ac:dyDescent="0.2">
      <c r="J235" s="35">
        <v>7</v>
      </c>
      <c r="K235" s="36">
        <v>2</v>
      </c>
      <c r="L235" s="37">
        <v>3</v>
      </c>
    </row>
    <row r="236" spans="10:12" s="3" customFormat="1" ht="18" customHeight="1" x14ac:dyDescent="0.2">
      <c r="J236" s="35">
        <v>7</v>
      </c>
      <c r="K236" s="36">
        <v>2</v>
      </c>
      <c r="L236" s="37">
        <v>4</v>
      </c>
    </row>
    <row r="237" spans="10:12" s="3" customFormat="1" ht="18" customHeight="1" x14ac:dyDescent="0.2">
      <c r="J237" s="35">
        <v>7</v>
      </c>
      <c r="K237" s="36">
        <v>3</v>
      </c>
      <c r="L237" s="37">
        <v>3</v>
      </c>
    </row>
    <row r="238" spans="10:12" s="3" customFormat="1" ht="18" customHeight="1" x14ac:dyDescent="0.2">
      <c r="J238" s="35">
        <v>7</v>
      </c>
      <c r="K238" s="36">
        <v>3</v>
      </c>
      <c r="L238" s="37">
        <v>4</v>
      </c>
    </row>
    <row r="239" spans="10:12" s="3" customFormat="1" ht="18" customHeight="1" x14ac:dyDescent="0.2">
      <c r="J239" s="35">
        <v>7</v>
      </c>
      <c r="K239" s="36">
        <v>4</v>
      </c>
      <c r="L239" s="37">
        <v>3</v>
      </c>
    </row>
    <row r="240" spans="10:12" s="3" customFormat="1" ht="18" customHeight="1" x14ac:dyDescent="0.2">
      <c r="J240" s="35">
        <v>7</v>
      </c>
      <c r="K240" s="36">
        <v>4</v>
      </c>
      <c r="L240" s="37">
        <v>4</v>
      </c>
    </row>
    <row r="241" spans="10:12" s="3" customFormat="1" ht="18" customHeight="1" x14ac:dyDescent="0.2">
      <c r="J241" s="35">
        <v>7</v>
      </c>
      <c r="K241" s="36">
        <v>5</v>
      </c>
      <c r="L241" s="37">
        <v>3</v>
      </c>
    </row>
    <row r="242" spans="10:12" s="3" customFormat="1" ht="18" customHeight="1" x14ac:dyDescent="0.2">
      <c r="J242" s="35">
        <v>7</v>
      </c>
      <c r="K242" s="36">
        <v>5</v>
      </c>
      <c r="L242" s="37">
        <v>4</v>
      </c>
    </row>
    <row r="243" spans="10:12" s="3" customFormat="1" ht="18" customHeight="1" x14ac:dyDescent="0.2">
      <c r="J243" s="35">
        <v>7</v>
      </c>
      <c r="K243" s="36">
        <v>6</v>
      </c>
      <c r="L243" s="37">
        <v>3</v>
      </c>
    </row>
    <row r="244" spans="10:12" s="3" customFormat="1" ht="18" customHeight="1" x14ac:dyDescent="0.2">
      <c r="J244" s="35">
        <v>7</v>
      </c>
      <c r="K244" s="36">
        <v>6</v>
      </c>
      <c r="L244" s="37">
        <v>4</v>
      </c>
    </row>
    <row r="245" spans="10:12" s="3" customFormat="1" ht="18" customHeight="1" x14ac:dyDescent="0.2">
      <c r="J245" s="35">
        <v>7</v>
      </c>
      <c r="K245" s="36">
        <v>7</v>
      </c>
      <c r="L245" s="37">
        <v>3</v>
      </c>
    </row>
    <row r="246" spans="10:12" s="3" customFormat="1" ht="18" customHeight="1" x14ac:dyDescent="0.2">
      <c r="J246" s="35">
        <v>7</v>
      </c>
      <c r="K246" s="36">
        <v>7</v>
      </c>
      <c r="L246" s="37">
        <v>4</v>
      </c>
    </row>
    <row r="247" spans="10:12" s="3" customFormat="1" ht="18" customHeight="1" x14ac:dyDescent="0.2">
      <c r="J247" s="35">
        <v>7</v>
      </c>
      <c r="K247" s="36">
        <v>8</v>
      </c>
      <c r="L247" s="37">
        <v>3</v>
      </c>
    </row>
    <row r="248" spans="10:12" s="3" customFormat="1" ht="18" customHeight="1" x14ac:dyDescent="0.2">
      <c r="J248" s="35">
        <v>7</v>
      </c>
      <c r="K248" s="36">
        <v>8</v>
      </c>
      <c r="L248" s="37">
        <v>4</v>
      </c>
    </row>
    <row r="249" spans="10:12" s="3" customFormat="1" ht="18" customHeight="1" x14ac:dyDescent="0.2">
      <c r="J249" s="35">
        <v>7</v>
      </c>
      <c r="K249" s="36">
        <v>9</v>
      </c>
      <c r="L249" s="37">
        <v>3</v>
      </c>
    </row>
    <row r="250" spans="10:12" s="3" customFormat="1" ht="18" customHeight="1" x14ac:dyDescent="0.2">
      <c r="J250" s="35">
        <v>7</v>
      </c>
      <c r="K250" s="36">
        <v>9</v>
      </c>
      <c r="L250" s="37">
        <v>4</v>
      </c>
    </row>
    <row r="251" spans="10:12" s="3" customFormat="1" ht="18" customHeight="1" x14ac:dyDescent="0.2">
      <c r="J251" s="35">
        <v>7</v>
      </c>
      <c r="K251" s="36">
        <v>10</v>
      </c>
      <c r="L251" s="37">
        <v>3</v>
      </c>
    </row>
    <row r="252" spans="10:12" s="3" customFormat="1" ht="18" customHeight="1" x14ac:dyDescent="0.2">
      <c r="J252" s="35">
        <v>7</v>
      </c>
      <c r="K252" s="36">
        <v>10</v>
      </c>
      <c r="L252" s="37">
        <v>4</v>
      </c>
    </row>
    <row r="253" spans="10:12" s="3" customFormat="1" ht="18" customHeight="1" x14ac:dyDescent="0.2">
      <c r="J253" s="35">
        <v>7</v>
      </c>
      <c r="K253" s="36">
        <v>1</v>
      </c>
      <c r="L253" s="37">
        <v>3</v>
      </c>
    </row>
    <row r="254" spans="10:12" s="3" customFormat="1" ht="18" customHeight="1" x14ac:dyDescent="0.2">
      <c r="J254" s="35">
        <v>7</v>
      </c>
      <c r="K254" s="36">
        <v>1</v>
      </c>
      <c r="L254" s="37">
        <v>4</v>
      </c>
    </row>
    <row r="255" spans="10:12" s="3" customFormat="1" ht="18" customHeight="1" x14ac:dyDescent="0.2">
      <c r="J255" s="35">
        <v>7</v>
      </c>
      <c r="K255" s="36">
        <v>2</v>
      </c>
      <c r="L255" s="37">
        <v>3</v>
      </c>
    </row>
    <row r="256" spans="10:12" s="3" customFormat="1" ht="18" customHeight="1" x14ac:dyDescent="0.2">
      <c r="J256" s="35">
        <v>7</v>
      </c>
      <c r="K256" s="36">
        <v>2</v>
      </c>
      <c r="L256" s="37">
        <v>4</v>
      </c>
    </row>
    <row r="257" spans="10:12" s="3" customFormat="1" ht="18" customHeight="1" x14ac:dyDescent="0.2">
      <c r="J257" s="35">
        <v>7</v>
      </c>
      <c r="K257" s="36">
        <v>3</v>
      </c>
      <c r="L257" s="37">
        <v>3</v>
      </c>
    </row>
    <row r="258" spans="10:12" s="3" customFormat="1" ht="18" customHeight="1" x14ac:dyDescent="0.2">
      <c r="J258" s="35">
        <v>7</v>
      </c>
      <c r="K258" s="36">
        <v>3</v>
      </c>
      <c r="L258" s="37">
        <v>4</v>
      </c>
    </row>
    <row r="259" spans="10:12" s="3" customFormat="1" ht="18" customHeight="1" x14ac:dyDescent="0.2">
      <c r="J259" s="35">
        <v>7</v>
      </c>
      <c r="K259" s="36">
        <v>4</v>
      </c>
      <c r="L259" s="37">
        <v>3</v>
      </c>
    </row>
    <row r="260" spans="10:12" s="3" customFormat="1" ht="18" customHeight="1" x14ac:dyDescent="0.2">
      <c r="J260" s="35">
        <v>7</v>
      </c>
      <c r="K260" s="36">
        <v>4</v>
      </c>
      <c r="L260" s="37">
        <v>4</v>
      </c>
    </row>
    <row r="261" spans="10:12" s="3" customFormat="1" ht="18" customHeight="1" x14ac:dyDescent="0.2">
      <c r="J261" s="35">
        <v>7</v>
      </c>
      <c r="K261" s="36">
        <v>5</v>
      </c>
      <c r="L261" s="37">
        <v>3</v>
      </c>
    </row>
    <row r="262" spans="10:12" s="3" customFormat="1" ht="18" customHeight="1" x14ac:dyDescent="0.2">
      <c r="J262" s="35">
        <v>7</v>
      </c>
      <c r="K262" s="36">
        <v>5</v>
      </c>
      <c r="L262" s="37">
        <v>4</v>
      </c>
    </row>
    <row r="263" spans="10:12" s="3" customFormat="1" ht="18" customHeight="1" x14ac:dyDescent="0.2">
      <c r="J263" s="35">
        <v>7</v>
      </c>
      <c r="K263" s="36">
        <v>6</v>
      </c>
      <c r="L263" s="37">
        <v>3</v>
      </c>
    </row>
    <row r="264" spans="10:12" s="3" customFormat="1" ht="18" customHeight="1" x14ac:dyDescent="0.2">
      <c r="J264" s="35">
        <v>7</v>
      </c>
      <c r="K264" s="36">
        <v>6</v>
      </c>
      <c r="L264" s="37">
        <v>4</v>
      </c>
    </row>
    <row r="265" spans="10:12" s="3" customFormat="1" ht="18" customHeight="1" x14ac:dyDescent="0.2">
      <c r="J265" s="35">
        <v>7</v>
      </c>
      <c r="K265" s="36">
        <v>7</v>
      </c>
      <c r="L265" s="37">
        <v>3</v>
      </c>
    </row>
    <row r="266" spans="10:12" s="3" customFormat="1" ht="18" customHeight="1" x14ac:dyDescent="0.2">
      <c r="J266" s="35">
        <v>7</v>
      </c>
      <c r="K266" s="36">
        <v>7</v>
      </c>
      <c r="L266" s="37">
        <v>4</v>
      </c>
    </row>
    <row r="267" spans="10:12" s="3" customFormat="1" ht="18" customHeight="1" x14ac:dyDescent="0.2">
      <c r="J267" s="35">
        <v>7</v>
      </c>
      <c r="K267" s="36">
        <v>8</v>
      </c>
      <c r="L267" s="37">
        <v>3</v>
      </c>
    </row>
    <row r="268" spans="10:12" s="3" customFormat="1" ht="18" customHeight="1" x14ac:dyDescent="0.2">
      <c r="J268" s="35">
        <v>7</v>
      </c>
      <c r="K268" s="36">
        <v>8</v>
      </c>
      <c r="L268" s="37">
        <v>4</v>
      </c>
    </row>
    <row r="269" spans="10:12" s="3" customFormat="1" ht="18" customHeight="1" x14ac:dyDescent="0.2">
      <c r="J269" s="35">
        <v>7</v>
      </c>
      <c r="K269" s="36">
        <v>9</v>
      </c>
      <c r="L269" s="37">
        <v>3</v>
      </c>
    </row>
    <row r="270" spans="10:12" s="3" customFormat="1" ht="18" customHeight="1" x14ac:dyDescent="0.2">
      <c r="J270" s="35">
        <v>7</v>
      </c>
      <c r="K270" s="36">
        <v>9</v>
      </c>
      <c r="L270" s="37">
        <v>4</v>
      </c>
    </row>
    <row r="271" spans="10:12" s="3" customFormat="1" ht="18" customHeight="1" x14ac:dyDescent="0.2">
      <c r="J271" s="35">
        <v>7</v>
      </c>
      <c r="K271" s="36">
        <v>10</v>
      </c>
      <c r="L271" s="37">
        <v>3</v>
      </c>
    </row>
    <row r="272" spans="10:12" s="3" customFormat="1" ht="18" customHeight="1" x14ac:dyDescent="0.2">
      <c r="J272" s="35">
        <v>7</v>
      </c>
      <c r="K272" s="36">
        <v>10</v>
      </c>
      <c r="L272" s="37">
        <v>4</v>
      </c>
    </row>
    <row r="273" spans="10:12" s="3" customFormat="1" ht="18" customHeight="1" x14ac:dyDescent="0.2">
      <c r="J273" s="35">
        <v>7</v>
      </c>
      <c r="K273" s="36">
        <v>1</v>
      </c>
      <c r="L273" s="37">
        <v>3</v>
      </c>
    </row>
    <row r="274" spans="10:12" s="3" customFormat="1" ht="18" customHeight="1" x14ac:dyDescent="0.2">
      <c r="J274" s="35">
        <v>7</v>
      </c>
      <c r="K274" s="36">
        <v>1</v>
      </c>
      <c r="L274" s="37">
        <v>4</v>
      </c>
    </row>
    <row r="275" spans="10:12" s="3" customFormat="1" ht="18" customHeight="1" x14ac:dyDescent="0.2">
      <c r="J275" s="35">
        <v>7</v>
      </c>
      <c r="K275" s="36">
        <v>2</v>
      </c>
      <c r="L275" s="37">
        <v>3</v>
      </c>
    </row>
    <row r="276" spans="10:12" s="3" customFormat="1" ht="18" customHeight="1" x14ac:dyDescent="0.2">
      <c r="J276" s="35">
        <v>7</v>
      </c>
      <c r="K276" s="36">
        <v>2</v>
      </c>
      <c r="L276" s="37">
        <v>4</v>
      </c>
    </row>
    <row r="277" spans="10:12" s="3" customFormat="1" ht="18" customHeight="1" x14ac:dyDescent="0.2">
      <c r="J277" s="35">
        <v>7</v>
      </c>
      <c r="K277" s="36">
        <v>3</v>
      </c>
      <c r="L277" s="37">
        <v>3</v>
      </c>
    </row>
    <row r="278" spans="10:12" s="3" customFormat="1" ht="18" customHeight="1" x14ac:dyDescent="0.2">
      <c r="J278" s="35">
        <v>7</v>
      </c>
      <c r="K278" s="36">
        <v>3</v>
      </c>
      <c r="L278" s="37">
        <v>4</v>
      </c>
    </row>
    <row r="279" spans="10:12" s="3" customFormat="1" ht="18" customHeight="1" x14ac:dyDescent="0.2">
      <c r="J279" s="35">
        <v>7</v>
      </c>
      <c r="K279" s="36">
        <v>4</v>
      </c>
      <c r="L279" s="37">
        <v>3</v>
      </c>
    </row>
    <row r="280" spans="10:12" s="3" customFormat="1" ht="18" customHeight="1" x14ac:dyDescent="0.2">
      <c r="J280" s="35">
        <v>7</v>
      </c>
      <c r="K280" s="36">
        <v>4</v>
      </c>
      <c r="L280" s="37">
        <v>4</v>
      </c>
    </row>
    <row r="281" spans="10:12" s="3" customFormat="1" ht="18" customHeight="1" x14ac:dyDescent="0.2">
      <c r="J281" s="35">
        <v>7</v>
      </c>
      <c r="K281" s="36">
        <v>5</v>
      </c>
      <c r="L281" s="37">
        <v>3</v>
      </c>
    </row>
    <row r="282" spans="10:12" s="3" customFormat="1" ht="18" customHeight="1" x14ac:dyDescent="0.2">
      <c r="J282" s="35">
        <v>7</v>
      </c>
      <c r="K282" s="36">
        <v>5</v>
      </c>
      <c r="L282" s="37">
        <v>4</v>
      </c>
    </row>
    <row r="283" spans="10:12" s="3" customFormat="1" ht="18" customHeight="1" x14ac:dyDescent="0.2">
      <c r="J283" s="35">
        <v>7</v>
      </c>
      <c r="K283" s="36">
        <v>6</v>
      </c>
      <c r="L283" s="37">
        <v>3</v>
      </c>
    </row>
    <row r="284" spans="10:12" s="3" customFormat="1" ht="18" customHeight="1" x14ac:dyDescent="0.2">
      <c r="J284" s="35">
        <v>7</v>
      </c>
      <c r="K284" s="36">
        <v>6</v>
      </c>
      <c r="L284" s="37">
        <v>4</v>
      </c>
    </row>
    <row r="285" spans="10:12" s="3" customFormat="1" ht="18" customHeight="1" x14ac:dyDescent="0.2">
      <c r="J285" s="35">
        <v>7</v>
      </c>
      <c r="K285" s="36">
        <v>7</v>
      </c>
      <c r="L285" s="37">
        <v>3</v>
      </c>
    </row>
    <row r="286" spans="10:12" s="3" customFormat="1" ht="18" customHeight="1" x14ac:dyDescent="0.2">
      <c r="J286" s="35">
        <v>7</v>
      </c>
      <c r="K286" s="36">
        <v>7</v>
      </c>
      <c r="L286" s="37">
        <v>4</v>
      </c>
    </row>
    <row r="287" spans="10:12" s="3" customFormat="1" ht="18" customHeight="1" x14ac:dyDescent="0.2">
      <c r="J287" s="35">
        <v>7</v>
      </c>
      <c r="K287" s="36">
        <v>8</v>
      </c>
      <c r="L287" s="37">
        <v>3</v>
      </c>
    </row>
    <row r="288" spans="10:12" s="3" customFormat="1" ht="18" customHeight="1" x14ac:dyDescent="0.2">
      <c r="J288" s="35">
        <v>7</v>
      </c>
      <c r="K288" s="36">
        <v>8</v>
      </c>
      <c r="L288" s="37">
        <v>4</v>
      </c>
    </row>
    <row r="289" spans="10:12" s="3" customFormat="1" ht="18" customHeight="1" x14ac:dyDescent="0.2">
      <c r="J289" s="35">
        <v>7</v>
      </c>
      <c r="K289" s="36">
        <v>9</v>
      </c>
      <c r="L289" s="37">
        <v>3</v>
      </c>
    </row>
    <row r="290" spans="10:12" s="3" customFormat="1" ht="18" customHeight="1" x14ac:dyDescent="0.2">
      <c r="J290" s="35">
        <v>7</v>
      </c>
      <c r="K290" s="36">
        <v>9</v>
      </c>
      <c r="L290" s="37">
        <v>4</v>
      </c>
    </row>
    <row r="291" spans="10:12" s="3" customFormat="1" ht="18" customHeight="1" x14ac:dyDescent="0.2">
      <c r="J291" s="35">
        <v>7</v>
      </c>
      <c r="K291" s="36">
        <v>10</v>
      </c>
      <c r="L291" s="37">
        <v>3</v>
      </c>
    </row>
    <row r="292" spans="10:12" s="3" customFormat="1" ht="18" customHeight="1" x14ac:dyDescent="0.2">
      <c r="J292" s="35">
        <v>7</v>
      </c>
      <c r="K292" s="36">
        <v>10</v>
      </c>
      <c r="L292" s="37">
        <v>4</v>
      </c>
    </row>
    <row r="293" spans="10:12" s="3" customFormat="1" ht="18" customHeight="1" x14ac:dyDescent="0.2">
      <c r="J293" s="35">
        <v>7</v>
      </c>
      <c r="K293" s="36">
        <v>1</v>
      </c>
      <c r="L293" s="37">
        <v>3</v>
      </c>
    </row>
    <row r="294" spans="10:12" s="3" customFormat="1" ht="18" customHeight="1" x14ac:dyDescent="0.2">
      <c r="J294" s="35">
        <v>7</v>
      </c>
      <c r="K294" s="36">
        <v>1</v>
      </c>
      <c r="L294" s="37">
        <v>4</v>
      </c>
    </row>
    <row r="295" spans="10:12" s="3" customFormat="1" ht="18" customHeight="1" x14ac:dyDescent="0.2">
      <c r="J295" s="35">
        <v>7</v>
      </c>
      <c r="K295" s="36">
        <v>2</v>
      </c>
      <c r="L295" s="37">
        <v>3</v>
      </c>
    </row>
    <row r="296" spans="10:12" s="3" customFormat="1" ht="18" customHeight="1" x14ac:dyDescent="0.2">
      <c r="J296" s="35">
        <v>7</v>
      </c>
      <c r="K296" s="36">
        <v>2</v>
      </c>
      <c r="L296" s="37">
        <v>4</v>
      </c>
    </row>
    <row r="297" spans="10:12" s="3" customFormat="1" ht="18" customHeight="1" x14ac:dyDescent="0.2">
      <c r="J297" s="35">
        <v>7</v>
      </c>
      <c r="K297" s="36">
        <v>3</v>
      </c>
      <c r="L297" s="37">
        <v>3</v>
      </c>
    </row>
    <row r="298" spans="10:12" s="3" customFormat="1" ht="18" customHeight="1" x14ac:dyDescent="0.2">
      <c r="J298" s="35">
        <v>7</v>
      </c>
      <c r="K298" s="36">
        <v>3</v>
      </c>
      <c r="L298" s="37">
        <v>4</v>
      </c>
    </row>
    <row r="299" spans="10:12" s="3" customFormat="1" ht="18" customHeight="1" x14ac:dyDescent="0.2">
      <c r="J299" s="35">
        <v>7</v>
      </c>
      <c r="K299" s="36">
        <v>4</v>
      </c>
      <c r="L299" s="37">
        <v>3</v>
      </c>
    </row>
    <row r="300" spans="10:12" s="3" customFormat="1" ht="18" customHeight="1" x14ac:dyDescent="0.2">
      <c r="J300" s="35">
        <v>7</v>
      </c>
      <c r="K300" s="36">
        <v>4</v>
      </c>
      <c r="L300" s="37">
        <v>4</v>
      </c>
    </row>
    <row r="301" spans="10:12" s="3" customFormat="1" ht="18" customHeight="1" x14ac:dyDescent="0.2">
      <c r="J301" s="35">
        <v>7</v>
      </c>
      <c r="K301" s="36">
        <v>5</v>
      </c>
      <c r="L301" s="37">
        <v>3</v>
      </c>
    </row>
    <row r="302" spans="10:12" s="3" customFormat="1" ht="18" customHeight="1" x14ac:dyDescent="0.2">
      <c r="J302" s="35">
        <v>7</v>
      </c>
      <c r="K302" s="36">
        <v>5</v>
      </c>
      <c r="L302" s="37">
        <v>4</v>
      </c>
    </row>
    <row r="303" spans="10:12" s="3" customFormat="1" ht="18" customHeight="1" x14ac:dyDescent="0.2">
      <c r="J303" s="35">
        <v>7</v>
      </c>
      <c r="K303" s="36">
        <v>6</v>
      </c>
      <c r="L303" s="37">
        <v>3</v>
      </c>
    </row>
    <row r="304" spans="10:12" s="3" customFormat="1" ht="18" customHeight="1" x14ac:dyDescent="0.2">
      <c r="J304" s="35">
        <v>7</v>
      </c>
      <c r="K304" s="36">
        <v>6</v>
      </c>
      <c r="L304" s="37">
        <v>4</v>
      </c>
    </row>
    <row r="305" spans="10:12" s="3" customFormat="1" ht="18" customHeight="1" x14ac:dyDescent="0.2">
      <c r="J305" s="35">
        <v>7</v>
      </c>
      <c r="K305" s="36">
        <v>7</v>
      </c>
      <c r="L305" s="37">
        <v>3</v>
      </c>
    </row>
    <row r="306" spans="10:12" s="3" customFormat="1" ht="18" customHeight="1" x14ac:dyDescent="0.2">
      <c r="J306" s="35">
        <v>7</v>
      </c>
      <c r="K306" s="36">
        <v>7</v>
      </c>
      <c r="L306" s="37">
        <v>4</v>
      </c>
    </row>
    <row r="307" spans="10:12" s="3" customFormat="1" ht="18" customHeight="1" x14ac:dyDescent="0.2">
      <c r="J307" s="35">
        <v>7</v>
      </c>
      <c r="K307" s="36">
        <v>8</v>
      </c>
      <c r="L307" s="37">
        <v>3</v>
      </c>
    </row>
    <row r="308" spans="10:12" s="3" customFormat="1" ht="18" customHeight="1" x14ac:dyDescent="0.2">
      <c r="J308" s="35">
        <v>7</v>
      </c>
      <c r="K308" s="36">
        <v>8</v>
      </c>
      <c r="L308" s="37">
        <v>4</v>
      </c>
    </row>
    <row r="309" spans="10:12" s="3" customFormat="1" ht="18" customHeight="1" x14ac:dyDescent="0.2">
      <c r="J309" s="35">
        <v>7</v>
      </c>
      <c r="K309" s="36">
        <v>9</v>
      </c>
      <c r="L309" s="37">
        <v>3</v>
      </c>
    </row>
    <row r="310" spans="10:12" s="3" customFormat="1" ht="18" customHeight="1" x14ac:dyDescent="0.2">
      <c r="J310" s="35">
        <v>7</v>
      </c>
      <c r="K310" s="36">
        <v>9</v>
      </c>
      <c r="L310" s="37">
        <v>4</v>
      </c>
    </row>
    <row r="311" spans="10:12" s="3" customFormat="1" ht="18" customHeight="1" x14ac:dyDescent="0.2">
      <c r="J311" s="35">
        <v>7</v>
      </c>
      <c r="K311" s="36">
        <v>10</v>
      </c>
      <c r="L311" s="37">
        <v>3</v>
      </c>
    </row>
    <row r="312" spans="10:12" s="3" customFormat="1" ht="18" customHeight="1" x14ac:dyDescent="0.2">
      <c r="J312" s="35">
        <v>7</v>
      </c>
      <c r="K312" s="36">
        <v>10</v>
      </c>
      <c r="L312" s="37">
        <v>4</v>
      </c>
    </row>
    <row r="313" spans="10:12" s="3" customFormat="1" ht="18" customHeight="1" x14ac:dyDescent="0.2">
      <c r="J313" s="35">
        <v>1</v>
      </c>
      <c r="K313" s="36">
        <v>1</v>
      </c>
      <c r="L313" s="37">
        <v>3</v>
      </c>
    </row>
    <row r="314" spans="10:12" s="3" customFormat="1" ht="18" customHeight="1" x14ac:dyDescent="0.2">
      <c r="J314" s="35">
        <v>1</v>
      </c>
      <c r="K314" s="36">
        <v>1</v>
      </c>
      <c r="L314" s="37">
        <v>4</v>
      </c>
    </row>
    <row r="315" spans="10:12" s="3" customFormat="1" ht="18" customHeight="1" x14ac:dyDescent="0.2">
      <c r="J315" s="35">
        <v>1</v>
      </c>
      <c r="K315" s="36">
        <v>2</v>
      </c>
      <c r="L315" s="37">
        <v>3</v>
      </c>
    </row>
    <row r="316" spans="10:12" s="3" customFormat="1" ht="18" customHeight="1" x14ac:dyDescent="0.2">
      <c r="J316" s="35">
        <v>1</v>
      </c>
      <c r="K316" s="36">
        <v>2</v>
      </c>
      <c r="L316" s="37">
        <v>4</v>
      </c>
    </row>
    <row r="317" spans="10:12" s="3" customFormat="1" ht="18" customHeight="1" x14ac:dyDescent="0.2">
      <c r="J317" s="35">
        <v>1</v>
      </c>
      <c r="K317" s="36">
        <v>4</v>
      </c>
      <c r="L317" s="37">
        <v>3</v>
      </c>
    </row>
    <row r="318" spans="10:12" s="3" customFormat="1" ht="18" customHeight="1" x14ac:dyDescent="0.2">
      <c r="J318" s="35">
        <v>1</v>
      </c>
      <c r="K318" s="36">
        <v>4</v>
      </c>
      <c r="L318" s="37">
        <v>4</v>
      </c>
    </row>
    <row r="319" spans="10:12" s="3" customFormat="1" ht="18" customHeight="1" x14ac:dyDescent="0.2">
      <c r="J319" s="35">
        <v>1</v>
      </c>
      <c r="K319" s="36">
        <v>6</v>
      </c>
      <c r="L319" s="37">
        <v>3</v>
      </c>
    </row>
    <row r="320" spans="10:12" s="3" customFormat="1" ht="18" customHeight="1" x14ac:dyDescent="0.2">
      <c r="J320" s="35">
        <v>1</v>
      </c>
      <c r="K320" s="36">
        <v>6</v>
      </c>
      <c r="L320" s="37">
        <v>4</v>
      </c>
    </row>
    <row r="321" spans="10:12" s="3" customFormat="1" ht="18" customHeight="1" x14ac:dyDescent="0.2">
      <c r="J321" s="35">
        <v>1</v>
      </c>
      <c r="K321" s="36">
        <v>7</v>
      </c>
      <c r="L321" s="37">
        <v>3</v>
      </c>
    </row>
    <row r="322" spans="10:12" s="3" customFormat="1" ht="18" customHeight="1" x14ac:dyDescent="0.2">
      <c r="J322" s="35">
        <v>1</v>
      </c>
      <c r="K322" s="36">
        <v>7</v>
      </c>
      <c r="L322" s="37">
        <v>4</v>
      </c>
    </row>
    <row r="323" spans="10:12" s="3" customFormat="1" ht="18" customHeight="1" x14ac:dyDescent="0.2">
      <c r="J323" s="35">
        <v>1</v>
      </c>
      <c r="K323" s="36">
        <v>9</v>
      </c>
      <c r="L323" s="37">
        <v>3</v>
      </c>
    </row>
    <row r="324" spans="10:12" s="3" customFormat="1" ht="18" customHeight="1" x14ac:dyDescent="0.2">
      <c r="J324" s="35">
        <v>1</v>
      </c>
      <c r="K324" s="36">
        <v>9</v>
      </c>
      <c r="L324" s="37">
        <v>4</v>
      </c>
    </row>
    <row r="325" spans="10:12" s="3" customFormat="1" ht="18" customHeight="1" x14ac:dyDescent="0.2">
      <c r="J325" s="35">
        <v>7</v>
      </c>
      <c r="K325" s="36">
        <v>1</v>
      </c>
      <c r="L325" s="37">
        <v>3</v>
      </c>
    </row>
    <row r="326" spans="10:12" s="3" customFormat="1" ht="18" customHeight="1" x14ac:dyDescent="0.2">
      <c r="J326" s="35">
        <v>7</v>
      </c>
      <c r="K326" s="36">
        <v>1</v>
      </c>
      <c r="L326" s="37">
        <v>4</v>
      </c>
    </row>
    <row r="327" spans="10:12" s="3" customFormat="1" ht="18" customHeight="1" x14ac:dyDescent="0.2">
      <c r="J327" s="35">
        <v>7</v>
      </c>
      <c r="K327" s="36">
        <v>2</v>
      </c>
      <c r="L327" s="37">
        <v>3</v>
      </c>
    </row>
    <row r="328" spans="10:12" s="3" customFormat="1" ht="18" customHeight="1" x14ac:dyDescent="0.2">
      <c r="J328" s="35">
        <v>7</v>
      </c>
      <c r="K328" s="36">
        <v>2</v>
      </c>
      <c r="L328" s="37">
        <v>4</v>
      </c>
    </row>
    <row r="329" spans="10:12" s="3" customFormat="1" ht="18" customHeight="1" x14ac:dyDescent="0.2">
      <c r="J329" s="35">
        <v>7</v>
      </c>
      <c r="K329" s="36">
        <v>3</v>
      </c>
      <c r="L329" s="37">
        <v>3</v>
      </c>
    </row>
    <row r="330" spans="10:12" s="3" customFormat="1" ht="18" customHeight="1" x14ac:dyDescent="0.2">
      <c r="J330" s="35">
        <v>7</v>
      </c>
      <c r="K330" s="36">
        <v>3</v>
      </c>
      <c r="L330" s="37">
        <v>4</v>
      </c>
    </row>
    <row r="331" spans="10:12" s="3" customFormat="1" ht="18" customHeight="1" x14ac:dyDescent="0.2">
      <c r="J331" s="35">
        <v>7</v>
      </c>
      <c r="K331" s="36">
        <v>4</v>
      </c>
      <c r="L331" s="37">
        <v>3</v>
      </c>
    </row>
    <row r="332" spans="10:12" s="3" customFormat="1" ht="18" customHeight="1" x14ac:dyDescent="0.2">
      <c r="J332" s="35">
        <v>7</v>
      </c>
      <c r="K332" s="36">
        <v>4</v>
      </c>
      <c r="L332" s="37">
        <v>4</v>
      </c>
    </row>
    <row r="333" spans="10:12" s="3" customFormat="1" ht="18" customHeight="1" x14ac:dyDescent="0.2">
      <c r="J333" s="35">
        <v>7</v>
      </c>
      <c r="K333" s="36">
        <v>5</v>
      </c>
      <c r="L333" s="37">
        <v>3</v>
      </c>
    </row>
    <row r="334" spans="10:12" s="3" customFormat="1" ht="18" customHeight="1" x14ac:dyDescent="0.2">
      <c r="J334" s="35">
        <v>7</v>
      </c>
      <c r="K334" s="36">
        <v>5</v>
      </c>
      <c r="L334" s="37">
        <v>4</v>
      </c>
    </row>
    <row r="335" spans="10:12" s="3" customFormat="1" ht="18" customHeight="1" x14ac:dyDescent="0.2">
      <c r="J335" s="35">
        <v>7</v>
      </c>
      <c r="K335" s="36">
        <v>6</v>
      </c>
      <c r="L335" s="37">
        <v>3</v>
      </c>
    </row>
    <row r="336" spans="10:12" s="3" customFormat="1" ht="18" customHeight="1" x14ac:dyDescent="0.2">
      <c r="J336" s="35">
        <v>7</v>
      </c>
      <c r="K336" s="36">
        <v>6</v>
      </c>
      <c r="L336" s="37">
        <v>4</v>
      </c>
    </row>
    <row r="337" spans="10:12" s="3" customFormat="1" ht="18" customHeight="1" x14ac:dyDescent="0.2">
      <c r="J337" s="35">
        <v>7</v>
      </c>
      <c r="K337" s="36">
        <v>7</v>
      </c>
      <c r="L337" s="37">
        <v>3</v>
      </c>
    </row>
    <row r="338" spans="10:12" s="3" customFormat="1" ht="18" customHeight="1" x14ac:dyDescent="0.2">
      <c r="J338" s="35">
        <v>7</v>
      </c>
      <c r="K338" s="36">
        <v>7</v>
      </c>
      <c r="L338" s="37">
        <v>4</v>
      </c>
    </row>
    <row r="339" spans="10:12" s="3" customFormat="1" ht="18" customHeight="1" x14ac:dyDescent="0.2">
      <c r="J339" s="35">
        <v>7</v>
      </c>
      <c r="K339" s="36">
        <v>8</v>
      </c>
      <c r="L339" s="37">
        <v>3</v>
      </c>
    </row>
    <row r="340" spans="10:12" s="3" customFormat="1" ht="18" customHeight="1" x14ac:dyDescent="0.2">
      <c r="J340" s="35">
        <v>7</v>
      </c>
      <c r="K340" s="36">
        <v>8</v>
      </c>
      <c r="L340" s="37">
        <v>4</v>
      </c>
    </row>
    <row r="341" spans="10:12" s="3" customFormat="1" ht="18" customHeight="1" x14ac:dyDescent="0.2">
      <c r="J341" s="35">
        <v>7</v>
      </c>
      <c r="K341" s="36">
        <v>9</v>
      </c>
      <c r="L341" s="37">
        <v>3</v>
      </c>
    </row>
    <row r="342" spans="10:12" s="3" customFormat="1" ht="18" customHeight="1" x14ac:dyDescent="0.2">
      <c r="J342" s="35">
        <v>7</v>
      </c>
      <c r="K342" s="36">
        <v>9</v>
      </c>
      <c r="L342" s="37">
        <v>4</v>
      </c>
    </row>
    <row r="343" spans="10:12" s="3" customFormat="1" ht="18" customHeight="1" x14ac:dyDescent="0.2">
      <c r="J343" s="35">
        <v>7</v>
      </c>
      <c r="K343" s="36">
        <v>10</v>
      </c>
      <c r="L343" s="37">
        <v>3</v>
      </c>
    </row>
    <row r="344" spans="10:12" s="3" customFormat="1" ht="18" customHeight="1" x14ac:dyDescent="0.2">
      <c r="J344" s="35">
        <v>7</v>
      </c>
      <c r="K344" s="36">
        <v>10</v>
      </c>
      <c r="L344" s="37">
        <v>4</v>
      </c>
    </row>
    <row r="345" spans="10:12" s="3" customFormat="1" ht="18" customHeight="1" x14ac:dyDescent="0.2">
      <c r="J345" s="35">
        <v>7</v>
      </c>
      <c r="K345" s="36">
        <v>1</v>
      </c>
      <c r="L345" s="37">
        <v>3</v>
      </c>
    </row>
    <row r="346" spans="10:12" s="3" customFormat="1" ht="18" customHeight="1" x14ac:dyDescent="0.2">
      <c r="J346" s="35">
        <v>7</v>
      </c>
      <c r="K346" s="36">
        <v>1</v>
      </c>
      <c r="L346" s="37">
        <v>4</v>
      </c>
    </row>
    <row r="347" spans="10:12" s="3" customFormat="1" ht="18" customHeight="1" x14ac:dyDescent="0.2">
      <c r="J347" s="35">
        <v>7</v>
      </c>
      <c r="K347" s="36">
        <v>2</v>
      </c>
      <c r="L347" s="37">
        <v>3</v>
      </c>
    </row>
    <row r="348" spans="10:12" s="3" customFormat="1" ht="18" customHeight="1" x14ac:dyDescent="0.2">
      <c r="J348" s="35">
        <v>7</v>
      </c>
      <c r="K348" s="36">
        <v>2</v>
      </c>
      <c r="L348" s="37">
        <v>4</v>
      </c>
    </row>
    <row r="349" spans="10:12" s="3" customFormat="1" ht="18" customHeight="1" x14ac:dyDescent="0.2">
      <c r="J349" s="35">
        <v>7</v>
      </c>
      <c r="K349" s="36">
        <v>3</v>
      </c>
      <c r="L349" s="37">
        <v>3</v>
      </c>
    </row>
    <row r="350" spans="10:12" s="3" customFormat="1" ht="18" customHeight="1" x14ac:dyDescent="0.2">
      <c r="J350" s="35">
        <v>7</v>
      </c>
      <c r="K350" s="36">
        <v>3</v>
      </c>
      <c r="L350" s="37">
        <v>4</v>
      </c>
    </row>
    <row r="351" spans="10:12" s="3" customFormat="1" ht="18" customHeight="1" x14ac:dyDescent="0.2">
      <c r="J351" s="35">
        <v>7</v>
      </c>
      <c r="K351" s="36">
        <v>4</v>
      </c>
      <c r="L351" s="37">
        <v>3</v>
      </c>
    </row>
    <row r="352" spans="10:12" s="3" customFormat="1" ht="18" customHeight="1" x14ac:dyDescent="0.2">
      <c r="J352" s="35">
        <v>7</v>
      </c>
      <c r="K352" s="36">
        <v>4</v>
      </c>
      <c r="L352" s="37">
        <v>4</v>
      </c>
    </row>
    <row r="353" spans="10:12" s="3" customFormat="1" ht="18" customHeight="1" x14ac:dyDescent="0.2">
      <c r="J353" s="35">
        <v>7</v>
      </c>
      <c r="K353" s="36">
        <v>5</v>
      </c>
      <c r="L353" s="37">
        <v>3</v>
      </c>
    </row>
    <row r="354" spans="10:12" s="3" customFormat="1" ht="18" customHeight="1" x14ac:dyDescent="0.2">
      <c r="J354" s="35">
        <v>7</v>
      </c>
      <c r="K354" s="36">
        <v>5</v>
      </c>
      <c r="L354" s="37">
        <v>4</v>
      </c>
    </row>
    <row r="355" spans="10:12" s="3" customFormat="1" ht="18" customHeight="1" x14ac:dyDescent="0.2">
      <c r="J355" s="35">
        <v>7</v>
      </c>
      <c r="K355" s="36">
        <v>6</v>
      </c>
      <c r="L355" s="37">
        <v>3</v>
      </c>
    </row>
    <row r="356" spans="10:12" s="3" customFormat="1" ht="18" customHeight="1" x14ac:dyDescent="0.2">
      <c r="J356" s="35">
        <v>7</v>
      </c>
      <c r="K356" s="36">
        <v>6</v>
      </c>
      <c r="L356" s="37">
        <v>4</v>
      </c>
    </row>
    <row r="357" spans="10:12" s="3" customFormat="1" ht="18" customHeight="1" x14ac:dyDescent="0.2">
      <c r="J357" s="35">
        <v>7</v>
      </c>
      <c r="K357" s="36">
        <v>7</v>
      </c>
      <c r="L357" s="37">
        <v>3</v>
      </c>
    </row>
    <row r="358" spans="10:12" s="3" customFormat="1" ht="18" customHeight="1" x14ac:dyDescent="0.2">
      <c r="J358" s="35">
        <v>7</v>
      </c>
      <c r="K358" s="36">
        <v>7</v>
      </c>
      <c r="L358" s="37">
        <v>4</v>
      </c>
    </row>
    <row r="359" spans="10:12" s="3" customFormat="1" ht="18" customHeight="1" x14ac:dyDescent="0.2">
      <c r="J359" s="35">
        <v>7</v>
      </c>
      <c r="K359" s="36">
        <v>8</v>
      </c>
      <c r="L359" s="37">
        <v>3</v>
      </c>
    </row>
    <row r="360" spans="10:12" s="3" customFormat="1" ht="18" customHeight="1" x14ac:dyDescent="0.2">
      <c r="J360" s="35">
        <v>7</v>
      </c>
      <c r="K360" s="36">
        <v>8</v>
      </c>
      <c r="L360" s="37">
        <v>4</v>
      </c>
    </row>
    <row r="361" spans="10:12" s="3" customFormat="1" ht="18" customHeight="1" x14ac:dyDescent="0.2">
      <c r="J361" s="35">
        <v>7</v>
      </c>
      <c r="K361" s="36">
        <v>9</v>
      </c>
      <c r="L361" s="37">
        <v>3</v>
      </c>
    </row>
    <row r="362" spans="10:12" s="3" customFormat="1" ht="18" customHeight="1" x14ac:dyDescent="0.2">
      <c r="J362" s="35">
        <v>7</v>
      </c>
      <c r="K362" s="36">
        <v>9</v>
      </c>
      <c r="L362" s="37">
        <v>4</v>
      </c>
    </row>
    <row r="363" spans="10:12" s="3" customFormat="1" ht="18" customHeight="1" x14ac:dyDescent="0.2">
      <c r="J363" s="35">
        <v>7</v>
      </c>
      <c r="K363" s="36">
        <v>10</v>
      </c>
      <c r="L363" s="37">
        <v>3</v>
      </c>
    </row>
    <row r="364" spans="10:12" s="3" customFormat="1" ht="18" customHeight="1" x14ac:dyDescent="0.2">
      <c r="J364" s="35">
        <v>7</v>
      </c>
      <c r="K364" s="36">
        <v>10</v>
      </c>
      <c r="L364" s="37">
        <v>4</v>
      </c>
    </row>
    <row r="365" spans="10:12" s="3" customFormat="1" ht="18" customHeight="1" x14ac:dyDescent="0.2">
      <c r="J365" s="35">
        <v>1</v>
      </c>
      <c r="K365" s="36">
        <v>1</v>
      </c>
      <c r="L365" s="37">
        <v>3</v>
      </c>
    </row>
    <row r="366" spans="10:12" s="3" customFormat="1" ht="18" customHeight="1" x14ac:dyDescent="0.2">
      <c r="J366" s="35">
        <v>1</v>
      </c>
      <c r="K366" s="36">
        <v>1</v>
      </c>
      <c r="L366" s="37">
        <v>4</v>
      </c>
    </row>
    <row r="367" spans="10:12" s="3" customFormat="1" ht="18" customHeight="1" x14ac:dyDescent="0.2">
      <c r="J367" s="35">
        <v>1</v>
      </c>
      <c r="K367" s="36">
        <v>2</v>
      </c>
      <c r="L367" s="37">
        <v>3</v>
      </c>
    </row>
    <row r="368" spans="10:12" s="3" customFormat="1" ht="18" customHeight="1" x14ac:dyDescent="0.2">
      <c r="J368" s="35">
        <v>1</v>
      </c>
      <c r="K368" s="36">
        <v>2</v>
      </c>
      <c r="L368" s="37">
        <v>4</v>
      </c>
    </row>
    <row r="369" spans="10:12" s="3" customFormat="1" ht="18" customHeight="1" x14ac:dyDescent="0.2">
      <c r="J369" s="35">
        <v>1</v>
      </c>
      <c r="K369" s="36">
        <v>4</v>
      </c>
      <c r="L369" s="37">
        <v>3</v>
      </c>
    </row>
    <row r="370" spans="10:12" s="3" customFormat="1" ht="18" customHeight="1" x14ac:dyDescent="0.2">
      <c r="J370" s="35">
        <v>1</v>
      </c>
      <c r="K370" s="36">
        <v>4</v>
      </c>
      <c r="L370" s="37">
        <v>4</v>
      </c>
    </row>
    <row r="371" spans="10:12" s="3" customFormat="1" ht="18" customHeight="1" x14ac:dyDescent="0.2">
      <c r="J371" s="35">
        <v>1</v>
      </c>
      <c r="K371" s="36">
        <v>6</v>
      </c>
      <c r="L371" s="37">
        <v>3</v>
      </c>
    </row>
    <row r="372" spans="10:12" s="3" customFormat="1" ht="18" customHeight="1" x14ac:dyDescent="0.2">
      <c r="J372" s="35">
        <v>1</v>
      </c>
      <c r="K372" s="36">
        <v>6</v>
      </c>
      <c r="L372" s="37">
        <v>4</v>
      </c>
    </row>
    <row r="373" spans="10:12" s="3" customFormat="1" ht="18" customHeight="1" x14ac:dyDescent="0.2">
      <c r="J373" s="35">
        <v>1</v>
      </c>
      <c r="K373" s="36">
        <v>7</v>
      </c>
      <c r="L373" s="37">
        <v>3</v>
      </c>
    </row>
    <row r="374" spans="10:12" s="3" customFormat="1" ht="18" customHeight="1" x14ac:dyDescent="0.2">
      <c r="J374" s="35">
        <v>1</v>
      </c>
      <c r="K374" s="36">
        <v>7</v>
      </c>
      <c r="L374" s="37">
        <v>4</v>
      </c>
    </row>
    <row r="375" spans="10:12" s="3" customFormat="1" ht="18" customHeight="1" x14ac:dyDescent="0.2">
      <c r="J375" s="35">
        <v>1</v>
      </c>
      <c r="K375" s="36">
        <v>9</v>
      </c>
      <c r="L375" s="37">
        <v>3</v>
      </c>
    </row>
    <row r="376" spans="10:12" s="3" customFormat="1" ht="18" customHeight="1" x14ac:dyDescent="0.2">
      <c r="J376" s="35">
        <v>1</v>
      </c>
      <c r="K376" s="36">
        <v>9</v>
      </c>
      <c r="L376" s="37">
        <v>4</v>
      </c>
    </row>
    <row r="377" spans="10:12" s="3" customFormat="1" ht="18" customHeight="1" x14ac:dyDescent="0.2">
      <c r="J377" s="35">
        <v>7</v>
      </c>
      <c r="K377" s="36">
        <v>1</v>
      </c>
      <c r="L377" s="37">
        <v>3</v>
      </c>
    </row>
    <row r="378" spans="10:12" s="3" customFormat="1" ht="18" customHeight="1" x14ac:dyDescent="0.2">
      <c r="J378" s="35">
        <v>7</v>
      </c>
      <c r="K378" s="36">
        <v>1</v>
      </c>
      <c r="L378" s="37">
        <v>4</v>
      </c>
    </row>
    <row r="379" spans="10:12" s="3" customFormat="1" ht="18" customHeight="1" x14ac:dyDescent="0.2">
      <c r="J379" s="35">
        <v>7</v>
      </c>
      <c r="K379" s="36">
        <v>2</v>
      </c>
      <c r="L379" s="37">
        <v>3</v>
      </c>
    </row>
    <row r="380" spans="10:12" s="3" customFormat="1" ht="18" customHeight="1" x14ac:dyDescent="0.2">
      <c r="J380" s="35">
        <v>7</v>
      </c>
      <c r="K380" s="36">
        <v>2</v>
      </c>
      <c r="L380" s="37">
        <v>4</v>
      </c>
    </row>
    <row r="381" spans="10:12" s="3" customFormat="1" ht="18" customHeight="1" x14ac:dyDescent="0.2">
      <c r="J381" s="35">
        <v>7</v>
      </c>
      <c r="K381" s="36">
        <v>3</v>
      </c>
      <c r="L381" s="37">
        <v>3</v>
      </c>
    </row>
    <row r="382" spans="10:12" s="3" customFormat="1" ht="18" customHeight="1" x14ac:dyDescent="0.2">
      <c r="J382" s="35">
        <v>7</v>
      </c>
      <c r="K382" s="36">
        <v>3</v>
      </c>
      <c r="L382" s="37">
        <v>4</v>
      </c>
    </row>
    <row r="383" spans="10:12" s="3" customFormat="1" ht="18" customHeight="1" x14ac:dyDescent="0.2">
      <c r="J383" s="35">
        <v>7</v>
      </c>
      <c r="K383" s="36">
        <v>4</v>
      </c>
      <c r="L383" s="37">
        <v>3</v>
      </c>
    </row>
    <row r="384" spans="10:12" s="3" customFormat="1" ht="18" customHeight="1" x14ac:dyDescent="0.2">
      <c r="J384" s="35">
        <v>7</v>
      </c>
      <c r="K384" s="36">
        <v>4</v>
      </c>
      <c r="L384" s="37">
        <v>4</v>
      </c>
    </row>
    <row r="385" spans="10:12" s="3" customFormat="1" ht="18" customHeight="1" x14ac:dyDescent="0.2">
      <c r="J385" s="35">
        <v>7</v>
      </c>
      <c r="K385" s="36">
        <v>5</v>
      </c>
      <c r="L385" s="37">
        <v>3</v>
      </c>
    </row>
    <row r="386" spans="10:12" s="3" customFormat="1" ht="18" customHeight="1" x14ac:dyDescent="0.2">
      <c r="J386" s="35">
        <v>7</v>
      </c>
      <c r="K386" s="36">
        <v>5</v>
      </c>
      <c r="L386" s="37">
        <v>4</v>
      </c>
    </row>
    <row r="387" spans="10:12" s="3" customFormat="1" ht="18" customHeight="1" x14ac:dyDescent="0.2">
      <c r="J387" s="35">
        <v>7</v>
      </c>
      <c r="K387" s="36">
        <v>6</v>
      </c>
      <c r="L387" s="37">
        <v>3</v>
      </c>
    </row>
    <row r="388" spans="10:12" s="3" customFormat="1" ht="18" customHeight="1" x14ac:dyDescent="0.2">
      <c r="J388" s="35">
        <v>7</v>
      </c>
      <c r="K388" s="36">
        <v>6</v>
      </c>
      <c r="L388" s="37">
        <v>4</v>
      </c>
    </row>
    <row r="389" spans="10:12" s="3" customFormat="1" ht="18" customHeight="1" x14ac:dyDescent="0.2">
      <c r="J389" s="35">
        <v>7</v>
      </c>
      <c r="K389" s="36">
        <v>7</v>
      </c>
      <c r="L389" s="37">
        <v>3</v>
      </c>
    </row>
    <row r="390" spans="10:12" s="3" customFormat="1" ht="18" customHeight="1" x14ac:dyDescent="0.2">
      <c r="J390" s="35">
        <v>7</v>
      </c>
      <c r="K390" s="36">
        <v>7</v>
      </c>
      <c r="L390" s="37">
        <v>4</v>
      </c>
    </row>
    <row r="391" spans="10:12" s="3" customFormat="1" ht="18" customHeight="1" x14ac:dyDescent="0.2">
      <c r="J391" s="35">
        <v>7</v>
      </c>
      <c r="K391" s="36">
        <v>8</v>
      </c>
      <c r="L391" s="37">
        <v>3</v>
      </c>
    </row>
    <row r="392" spans="10:12" s="3" customFormat="1" ht="18" customHeight="1" x14ac:dyDescent="0.2">
      <c r="J392" s="35">
        <v>7</v>
      </c>
      <c r="K392" s="36">
        <v>8</v>
      </c>
      <c r="L392" s="37">
        <v>4</v>
      </c>
    </row>
    <row r="393" spans="10:12" s="3" customFormat="1" ht="18" customHeight="1" x14ac:dyDescent="0.2">
      <c r="J393" s="35">
        <v>7</v>
      </c>
      <c r="K393" s="36">
        <v>9</v>
      </c>
      <c r="L393" s="37">
        <v>3</v>
      </c>
    </row>
    <row r="394" spans="10:12" s="3" customFormat="1" ht="18" customHeight="1" x14ac:dyDescent="0.2">
      <c r="J394" s="35">
        <v>7</v>
      </c>
      <c r="K394" s="36">
        <v>9</v>
      </c>
      <c r="L394" s="37">
        <v>4</v>
      </c>
    </row>
    <row r="395" spans="10:12" s="3" customFormat="1" ht="18" customHeight="1" x14ac:dyDescent="0.2">
      <c r="J395" s="35">
        <v>7</v>
      </c>
      <c r="K395" s="36">
        <v>10</v>
      </c>
      <c r="L395" s="37">
        <v>3</v>
      </c>
    </row>
    <row r="396" spans="10:12" s="3" customFormat="1" ht="18" customHeight="1" x14ac:dyDescent="0.2">
      <c r="J396" s="35">
        <v>7</v>
      </c>
      <c r="K396" s="36">
        <v>10</v>
      </c>
      <c r="L396" s="37">
        <v>4</v>
      </c>
    </row>
    <row r="397" spans="10:12" s="3" customFormat="1" ht="18" customHeight="1" x14ac:dyDescent="0.2">
      <c r="J397" s="35">
        <v>7</v>
      </c>
      <c r="K397" s="36">
        <v>1</v>
      </c>
      <c r="L397" s="37">
        <v>3</v>
      </c>
    </row>
    <row r="398" spans="10:12" s="3" customFormat="1" ht="18" customHeight="1" x14ac:dyDescent="0.2">
      <c r="J398" s="35">
        <v>7</v>
      </c>
      <c r="K398" s="36">
        <v>1</v>
      </c>
      <c r="L398" s="37">
        <v>4</v>
      </c>
    </row>
    <row r="399" spans="10:12" s="3" customFormat="1" ht="18" customHeight="1" x14ac:dyDescent="0.2">
      <c r="J399" s="35">
        <v>7</v>
      </c>
      <c r="K399" s="36">
        <v>2</v>
      </c>
      <c r="L399" s="37">
        <v>3</v>
      </c>
    </row>
    <row r="400" spans="10:12" s="3" customFormat="1" ht="18" customHeight="1" x14ac:dyDescent="0.2">
      <c r="J400" s="35">
        <v>7</v>
      </c>
      <c r="K400" s="36">
        <v>2</v>
      </c>
      <c r="L400" s="37">
        <v>4</v>
      </c>
    </row>
    <row r="401" spans="10:12" s="3" customFormat="1" ht="18" customHeight="1" x14ac:dyDescent="0.2">
      <c r="J401" s="35">
        <v>7</v>
      </c>
      <c r="K401" s="36">
        <v>3</v>
      </c>
      <c r="L401" s="37">
        <v>3</v>
      </c>
    </row>
    <row r="402" spans="10:12" s="3" customFormat="1" ht="18" customHeight="1" x14ac:dyDescent="0.2">
      <c r="J402" s="35">
        <v>7</v>
      </c>
      <c r="K402" s="36">
        <v>3</v>
      </c>
      <c r="L402" s="37">
        <v>4</v>
      </c>
    </row>
    <row r="403" spans="10:12" s="3" customFormat="1" ht="18" customHeight="1" x14ac:dyDescent="0.2">
      <c r="J403" s="35">
        <v>7</v>
      </c>
      <c r="K403" s="36">
        <v>4</v>
      </c>
      <c r="L403" s="37">
        <v>3</v>
      </c>
    </row>
    <row r="404" spans="10:12" s="3" customFormat="1" ht="18" customHeight="1" x14ac:dyDescent="0.2">
      <c r="J404" s="35">
        <v>7</v>
      </c>
      <c r="K404" s="36">
        <v>4</v>
      </c>
      <c r="L404" s="37">
        <v>4</v>
      </c>
    </row>
    <row r="405" spans="10:12" s="3" customFormat="1" ht="18" customHeight="1" x14ac:dyDescent="0.2">
      <c r="J405" s="35">
        <v>7</v>
      </c>
      <c r="K405" s="36">
        <v>5</v>
      </c>
      <c r="L405" s="37">
        <v>3</v>
      </c>
    </row>
    <row r="406" spans="10:12" s="3" customFormat="1" ht="18" customHeight="1" x14ac:dyDescent="0.2">
      <c r="J406" s="35">
        <v>7</v>
      </c>
      <c r="K406" s="36">
        <v>5</v>
      </c>
      <c r="L406" s="37">
        <v>4</v>
      </c>
    </row>
    <row r="407" spans="10:12" s="3" customFormat="1" ht="18" customHeight="1" x14ac:dyDescent="0.2">
      <c r="J407" s="35">
        <v>7</v>
      </c>
      <c r="K407" s="36">
        <v>6</v>
      </c>
      <c r="L407" s="37">
        <v>3</v>
      </c>
    </row>
    <row r="408" spans="10:12" s="3" customFormat="1" ht="18" customHeight="1" x14ac:dyDescent="0.2">
      <c r="J408" s="35">
        <v>7</v>
      </c>
      <c r="K408" s="36">
        <v>6</v>
      </c>
      <c r="L408" s="37">
        <v>4</v>
      </c>
    </row>
    <row r="409" spans="10:12" s="3" customFormat="1" ht="18" customHeight="1" x14ac:dyDescent="0.2">
      <c r="J409" s="35">
        <v>7</v>
      </c>
      <c r="K409" s="36">
        <v>7</v>
      </c>
      <c r="L409" s="37">
        <v>3</v>
      </c>
    </row>
    <row r="410" spans="10:12" s="3" customFormat="1" ht="18" customHeight="1" x14ac:dyDescent="0.2">
      <c r="J410" s="35">
        <v>7</v>
      </c>
      <c r="K410" s="36">
        <v>7</v>
      </c>
      <c r="L410" s="37">
        <v>4</v>
      </c>
    </row>
    <row r="411" spans="10:12" s="3" customFormat="1" ht="18" customHeight="1" x14ac:dyDescent="0.2">
      <c r="J411" s="35">
        <v>7</v>
      </c>
      <c r="K411" s="36">
        <v>8</v>
      </c>
      <c r="L411" s="37">
        <v>3</v>
      </c>
    </row>
    <row r="412" spans="10:12" s="3" customFormat="1" ht="18" customHeight="1" x14ac:dyDescent="0.2">
      <c r="J412" s="35">
        <v>7</v>
      </c>
      <c r="K412" s="36">
        <v>8</v>
      </c>
      <c r="L412" s="37">
        <v>4</v>
      </c>
    </row>
    <row r="413" spans="10:12" s="3" customFormat="1" ht="18" customHeight="1" x14ac:dyDescent="0.2">
      <c r="J413" s="35">
        <v>7</v>
      </c>
      <c r="K413" s="36">
        <v>9</v>
      </c>
      <c r="L413" s="37">
        <v>3</v>
      </c>
    </row>
    <row r="414" spans="10:12" s="3" customFormat="1" ht="18" customHeight="1" x14ac:dyDescent="0.2">
      <c r="J414" s="35">
        <v>7</v>
      </c>
      <c r="K414" s="36">
        <v>9</v>
      </c>
      <c r="L414" s="37">
        <v>4</v>
      </c>
    </row>
    <row r="415" spans="10:12" s="3" customFormat="1" ht="18" customHeight="1" x14ac:dyDescent="0.2">
      <c r="J415" s="35">
        <v>7</v>
      </c>
      <c r="K415" s="36">
        <v>10</v>
      </c>
      <c r="L415" s="37">
        <v>3</v>
      </c>
    </row>
    <row r="416" spans="10:12" s="3" customFormat="1" ht="18" customHeight="1" x14ac:dyDescent="0.2">
      <c r="J416" s="35">
        <v>7</v>
      </c>
      <c r="K416" s="36">
        <v>10</v>
      </c>
      <c r="L416" s="37">
        <v>4</v>
      </c>
    </row>
    <row r="417" spans="10:12" s="3" customFormat="1" ht="18" customHeight="1" x14ac:dyDescent="0.2">
      <c r="J417" s="35">
        <v>82</v>
      </c>
      <c r="K417" s="36">
        <v>4</v>
      </c>
      <c r="L417" s="37">
        <v>3</v>
      </c>
    </row>
    <row r="418" spans="10:12" s="3" customFormat="1" ht="18" customHeight="1" x14ac:dyDescent="0.2">
      <c r="J418" s="35">
        <v>82</v>
      </c>
      <c r="K418" s="36">
        <v>4</v>
      </c>
      <c r="L418" s="37">
        <v>4</v>
      </c>
    </row>
    <row r="419" spans="10:12" s="3" customFormat="1" ht="18" customHeight="1" x14ac:dyDescent="0.2">
      <c r="J419" s="35">
        <v>1</v>
      </c>
      <c r="K419" s="36">
        <v>1</v>
      </c>
      <c r="L419" s="37">
        <v>3</v>
      </c>
    </row>
    <row r="420" spans="10:12" s="3" customFormat="1" ht="18" customHeight="1" x14ac:dyDescent="0.2">
      <c r="J420" s="35">
        <v>1</v>
      </c>
      <c r="K420" s="36">
        <v>1</v>
      </c>
      <c r="L420" s="37">
        <v>4</v>
      </c>
    </row>
    <row r="421" spans="10:12" s="3" customFormat="1" ht="18" customHeight="1" x14ac:dyDescent="0.2">
      <c r="J421" s="35">
        <v>1</v>
      </c>
      <c r="K421" s="36">
        <v>2</v>
      </c>
      <c r="L421" s="37">
        <v>3</v>
      </c>
    </row>
    <row r="422" spans="10:12" s="3" customFormat="1" ht="18" customHeight="1" x14ac:dyDescent="0.2">
      <c r="J422" s="35">
        <v>1</v>
      </c>
      <c r="K422" s="36">
        <v>2</v>
      </c>
      <c r="L422" s="37">
        <v>4</v>
      </c>
    </row>
    <row r="423" spans="10:12" s="3" customFormat="1" ht="18" customHeight="1" x14ac:dyDescent="0.2">
      <c r="J423" s="35">
        <v>1</v>
      </c>
      <c r="K423" s="36">
        <v>4</v>
      </c>
      <c r="L423" s="37">
        <v>3</v>
      </c>
    </row>
    <row r="424" spans="10:12" s="3" customFormat="1" ht="18" customHeight="1" x14ac:dyDescent="0.2">
      <c r="J424" s="35">
        <v>1</v>
      </c>
      <c r="K424" s="36">
        <v>4</v>
      </c>
      <c r="L424" s="37">
        <v>4</v>
      </c>
    </row>
    <row r="425" spans="10:12" s="3" customFormat="1" ht="18" customHeight="1" x14ac:dyDescent="0.2">
      <c r="J425" s="35">
        <v>1</v>
      </c>
      <c r="K425" s="36">
        <v>6</v>
      </c>
      <c r="L425" s="37">
        <v>3</v>
      </c>
    </row>
    <row r="426" spans="10:12" s="3" customFormat="1" ht="18" customHeight="1" x14ac:dyDescent="0.2">
      <c r="J426" s="35">
        <v>1</v>
      </c>
      <c r="K426" s="36">
        <v>6</v>
      </c>
      <c r="L426" s="37">
        <v>4</v>
      </c>
    </row>
    <row r="427" spans="10:12" s="3" customFormat="1" ht="18" customHeight="1" x14ac:dyDescent="0.2">
      <c r="J427" s="35">
        <v>1</v>
      </c>
      <c r="K427" s="36">
        <v>7</v>
      </c>
      <c r="L427" s="37">
        <v>3</v>
      </c>
    </row>
    <row r="428" spans="10:12" s="3" customFormat="1" ht="18" customHeight="1" x14ac:dyDescent="0.2">
      <c r="J428" s="35">
        <v>1</v>
      </c>
      <c r="K428" s="36">
        <v>7</v>
      </c>
      <c r="L428" s="37">
        <v>4</v>
      </c>
    </row>
    <row r="429" spans="10:12" s="3" customFormat="1" ht="18" customHeight="1" x14ac:dyDescent="0.2">
      <c r="J429" s="35">
        <v>1</v>
      </c>
      <c r="K429" s="36">
        <v>9</v>
      </c>
      <c r="L429" s="37">
        <v>3</v>
      </c>
    </row>
    <row r="430" spans="10:12" s="3" customFormat="1" ht="18" customHeight="1" x14ac:dyDescent="0.2">
      <c r="J430" s="35">
        <v>1</v>
      </c>
      <c r="K430" s="36">
        <v>9</v>
      </c>
      <c r="L430" s="37">
        <v>4</v>
      </c>
    </row>
    <row r="431" spans="10:12" s="3" customFormat="1" ht="18" customHeight="1" x14ac:dyDescent="0.2">
      <c r="J431" s="35">
        <v>34</v>
      </c>
      <c r="K431" s="36">
        <v>4</v>
      </c>
      <c r="L431" s="37">
        <v>3</v>
      </c>
    </row>
    <row r="432" spans="10:12" s="3" customFormat="1" ht="18" customHeight="1" x14ac:dyDescent="0.2">
      <c r="J432" s="35">
        <v>34</v>
      </c>
      <c r="K432" s="36">
        <v>4</v>
      </c>
      <c r="L432" s="37">
        <v>4</v>
      </c>
    </row>
    <row r="433" spans="10:12" s="3" customFormat="1" ht="18" customHeight="1" x14ac:dyDescent="0.2">
      <c r="J433" s="35">
        <v>34</v>
      </c>
      <c r="K433" s="36">
        <v>7</v>
      </c>
      <c r="L433" s="37">
        <v>3</v>
      </c>
    </row>
    <row r="434" spans="10:12" s="3" customFormat="1" ht="18" customHeight="1" x14ac:dyDescent="0.2">
      <c r="J434" s="35">
        <v>34</v>
      </c>
      <c r="K434" s="36">
        <v>7</v>
      </c>
      <c r="L434" s="37">
        <v>4</v>
      </c>
    </row>
    <row r="435" spans="10:12" s="3" customFormat="1" ht="18" customHeight="1" x14ac:dyDescent="0.2">
      <c r="J435" s="35">
        <v>34</v>
      </c>
      <c r="K435" s="36">
        <v>9</v>
      </c>
      <c r="L435" s="37">
        <v>3</v>
      </c>
    </row>
    <row r="436" spans="10:12" s="3" customFormat="1" ht="18" customHeight="1" x14ac:dyDescent="0.2">
      <c r="J436" s="35">
        <v>34</v>
      </c>
      <c r="K436" s="36">
        <v>9</v>
      </c>
      <c r="L436" s="37">
        <v>4</v>
      </c>
    </row>
    <row r="437" spans="10:12" s="3" customFormat="1" ht="18" customHeight="1" x14ac:dyDescent="0.2">
      <c r="J437" s="35">
        <v>1</v>
      </c>
      <c r="K437" s="36">
        <v>1</v>
      </c>
      <c r="L437" s="37">
        <v>3</v>
      </c>
    </row>
    <row r="438" spans="10:12" s="3" customFormat="1" ht="18" customHeight="1" x14ac:dyDescent="0.2">
      <c r="J438" s="35">
        <v>1</v>
      </c>
      <c r="K438" s="36">
        <v>1</v>
      </c>
      <c r="L438" s="37">
        <v>4</v>
      </c>
    </row>
    <row r="439" spans="10:12" s="3" customFormat="1" ht="18" customHeight="1" x14ac:dyDescent="0.2">
      <c r="J439" s="35">
        <v>1</v>
      </c>
      <c r="K439" s="36">
        <v>2</v>
      </c>
      <c r="L439" s="37">
        <v>3</v>
      </c>
    </row>
    <row r="440" spans="10:12" s="3" customFormat="1" ht="18" customHeight="1" x14ac:dyDescent="0.2">
      <c r="J440" s="35">
        <v>1</v>
      </c>
      <c r="K440" s="36">
        <v>2</v>
      </c>
      <c r="L440" s="37">
        <v>4</v>
      </c>
    </row>
    <row r="441" spans="10:12" s="3" customFormat="1" ht="18" customHeight="1" x14ac:dyDescent="0.2">
      <c r="J441" s="35">
        <v>1</v>
      </c>
      <c r="K441" s="36">
        <v>4</v>
      </c>
      <c r="L441" s="37">
        <v>3</v>
      </c>
    </row>
    <row r="442" spans="10:12" s="3" customFormat="1" ht="18" customHeight="1" x14ac:dyDescent="0.2">
      <c r="J442" s="35">
        <v>1</v>
      </c>
      <c r="K442" s="36">
        <v>4</v>
      </c>
      <c r="L442" s="37">
        <v>4</v>
      </c>
    </row>
    <row r="443" spans="10:12" s="3" customFormat="1" ht="18" customHeight="1" x14ac:dyDescent="0.2">
      <c r="J443" s="35">
        <v>1</v>
      </c>
      <c r="K443" s="36">
        <v>6</v>
      </c>
      <c r="L443" s="37">
        <v>3</v>
      </c>
    </row>
    <row r="444" spans="10:12" s="3" customFormat="1" ht="18" customHeight="1" x14ac:dyDescent="0.2">
      <c r="J444" s="35">
        <v>1</v>
      </c>
      <c r="K444" s="36">
        <v>6</v>
      </c>
      <c r="L444" s="37">
        <v>4</v>
      </c>
    </row>
    <row r="445" spans="10:12" s="3" customFormat="1" ht="18" customHeight="1" x14ac:dyDescent="0.2">
      <c r="J445" s="35">
        <v>1</v>
      </c>
      <c r="K445" s="36">
        <v>7</v>
      </c>
      <c r="L445" s="37">
        <v>3</v>
      </c>
    </row>
    <row r="446" spans="10:12" s="3" customFormat="1" ht="18" customHeight="1" x14ac:dyDescent="0.2">
      <c r="J446" s="35">
        <v>1</v>
      </c>
      <c r="K446" s="36">
        <v>7</v>
      </c>
      <c r="L446" s="37">
        <v>4</v>
      </c>
    </row>
    <row r="447" spans="10:12" s="3" customFormat="1" ht="18" customHeight="1" x14ac:dyDescent="0.2">
      <c r="J447" s="35">
        <v>1</v>
      </c>
      <c r="K447" s="36">
        <v>9</v>
      </c>
      <c r="L447" s="37">
        <v>3</v>
      </c>
    </row>
    <row r="448" spans="10:12" s="3" customFormat="1" ht="18" customHeight="1" x14ac:dyDescent="0.2">
      <c r="J448" s="35">
        <v>1</v>
      </c>
      <c r="K448" s="36">
        <v>9</v>
      </c>
      <c r="L448" s="37">
        <v>4</v>
      </c>
    </row>
    <row r="449" spans="10:12" s="3" customFormat="1" ht="18" customHeight="1" x14ac:dyDescent="0.2">
      <c r="J449" s="35">
        <v>16</v>
      </c>
      <c r="K449" s="36">
        <v>1</v>
      </c>
      <c r="L449" s="37">
        <v>3</v>
      </c>
    </row>
    <row r="450" spans="10:12" s="3" customFormat="1" ht="18" customHeight="1" x14ac:dyDescent="0.2">
      <c r="J450" s="35">
        <v>16</v>
      </c>
      <c r="K450" s="36">
        <v>1</v>
      </c>
      <c r="L450" s="37">
        <v>4</v>
      </c>
    </row>
    <row r="451" spans="10:12" s="3" customFormat="1" ht="18" customHeight="1" x14ac:dyDescent="0.2">
      <c r="J451" s="35">
        <v>16</v>
      </c>
      <c r="K451" s="36">
        <v>2</v>
      </c>
      <c r="L451" s="37">
        <v>3</v>
      </c>
    </row>
    <row r="452" spans="10:12" s="3" customFormat="1" ht="18" customHeight="1" x14ac:dyDescent="0.2">
      <c r="J452" s="35">
        <v>16</v>
      </c>
      <c r="K452" s="36">
        <v>2</v>
      </c>
      <c r="L452" s="37">
        <v>4</v>
      </c>
    </row>
    <row r="453" spans="10:12" s="3" customFormat="1" ht="18" customHeight="1" x14ac:dyDescent="0.2">
      <c r="J453" s="35">
        <v>16</v>
      </c>
      <c r="K453" s="36">
        <v>4</v>
      </c>
      <c r="L453" s="37">
        <v>3</v>
      </c>
    </row>
    <row r="454" spans="10:12" s="3" customFormat="1" ht="18" customHeight="1" x14ac:dyDescent="0.2">
      <c r="J454" s="35">
        <v>16</v>
      </c>
      <c r="K454" s="36">
        <v>4</v>
      </c>
      <c r="L454" s="37">
        <v>4</v>
      </c>
    </row>
    <row r="455" spans="10:12" s="3" customFormat="1" ht="18" customHeight="1" x14ac:dyDescent="0.2">
      <c r="J455" s="35">
        <v>16</v>
      </c>
      <c r="K455" s="36">
        <v>7</v>
      </c>
      <c r="L455" s="37">
        <v>3</v>
      </c>
    </row>
    <row r="456" spans="10:12" s="3" customFormat="1" ht="18" customHeight="1" x14ac:dyDescent="0.2">
      <c r="J456" s="35">
        <v>16</v>
      </c>
      <c r="K456" s="36">
        <v>7</v>
      </c>
      <c r="L456" s="37">
        <v>4</v>
      </c>
    </row>
    <row r="457" spans="10:12" s="3" customFormat="1" ht="18" customHeight="1" x14ac:dyDescent="0.2">
      <c r="J457" s="35">
        <v>16</v>
      </c>
      <c r="K457" s="36">
        <v>9</v>
      </c>
      <c r="L457" s="37">
        <v>3</v>
      </c>
    </row>
    <row r="458" spans="10:12" s="3" customFormat="1" ht="18" customHeight="1" x14ac:dyDescent="0.2">
      <c r="J458" s="35">
        <v>16</v>
      </c>
      <c r="K458" s="36">
        <v>9</v>
      </c>
      <c r="L458" s="37">
        <v>4</v>
      </c>
    </row>
    <row r="459" spans="10:12" s="3" customFormat="1" ht="18" customHeight="1" x14ac:dyDescent="0.2">
      <c r="J459" s="35">
        <v>7</v>
      </c>
      <c r="K459" s="36">
        <v>1</v>
      </c>
      <c r="L459" s="37">
        <v>3</v>
      </c>
    </row>
    <row r="460" spans="10:12" s="3" customFormat="1" ht="18" customHeight="1" x14ac:dyDescent="0.2">
      <c r="J460" s="35">
        <v>7</v>
      </c>
      <c r="K460" s="36">
        <v>1</v>
      </c>
      <c r="L460" s="37">
        <v>4</v>
      </c>
    </row>
    <row r="461" spans="10:12" s="3" customFormat="1" ht="18" customHeight="1" x14ac:dyDescent="0.2">
      <c r="J461" s="35">
        <v>7</v>
      </c>
      <c r="K461" s="36">
        <v>2</v>
      </c>
      <c r="L461" s="37">
        <v>3</v>
      </c>
    </row>
    <row r="462" spans="10:12" s="3" customFormat="1" ht="18" customHeight="1" x14ac:dyDescent="0.2">
      <c r="J462" s="35">
        <v>7</v>
      </c>
      <c r="K462" s="36">
        <v>2</v>
      </c>
      <c r="L462" s="37">
        <v>4</v>
      </c>
    </row>
    <row r="463" spans="10:12" s="3" customFormat="1" ht="18" customHeight="1" x14ac:dyDescent="0.2">
      <c r="J463" s="35">
        <v>7</v>
      </c>
      <c r="K463" s="36">
        <v>3</v>
      </c>
      <c r="L463" s="37">
        <v>3</v>
      </c>
    </row>
    <row r="464" spans="10:12" s="3" customFormat="1" ht="18" customHeight="1" x14ac:dyDescent="0.2">
      <c r="J464" s="35">
        <v>7</v>
      </c>
      <c r="K464" s="36">
        <v>3</v>
      </c>
      <c r="L464" s="37">
        <v>4</v>
      </c>
    </row>
    <row r="465" spans="10:12" s="3" customFormat="1" ht="18" customHeight="1" x14ac:dyDescent="0.2">
      <c r="J465" s="35">
        <v>7</v>
      </c>
      <c r="K465" s="36">
        <v>4</v>
      </c>
      <c r="L465" s="37">
        <v>3</v>
      </c>
    </row>
    <row r="466" spans="10:12" s="3" customFormat="1" ht="18" customHeight="1" x14ac:dyDescent="0.2">
      <c r="J466" s="35">
        <v>7</v>
      </c>
      <c r="K466" s="36">
        <v>4</v>
      </c>
      <c r="L466" s="37">
        <v>4</v>
      </c>
    </row>
    <row r="467" spans="10:12" s="3" customFormat="1" ht="18" customHeight="1" x14ac:dyDescent="0.2">
      <c r="J467" s="35">
        <v>7</v>
      </c>
      <c r="K467" s="36">
        <v>5</v>
      </c>
      <c r="L467" s="37">
        <v>3</v>
      </c>
    </row>
    <row r="468" spans="10:12" s="3" customFormat="1" ht="18" customHeight="1" x14ac:dyDescent="0.2">
      <c r="J468" s="35">
        <v>7</v>
      </c>
      <c r="K468" s="36">
        <v>5</v>
      </c>
      <c r="L468" s="37">
        <v>4</v>
      </c>
    </row>
    <row r="469" spans="10:12" s="3" customFormat="1" ht="18" customHeight="1" x14ac:dyDescent="0.2">
      <c r="J469" s="35">
        <v>7</v>
      </c>
      <c r="K469" s="36">
        <v>6</v>
      </c>
      <c r="L469" s="37">
        <v>3</v>
      </c>
    </row>
    <row r="470" spans="10:12" s="3" customFormat="1" ht="18" customHeight="1" x14ac:dyDescent="0.2">
      <c r="J470" s="35">
        <v>7</v>
      </c>
      <c r="K470" s="36">
        <v>6</v>
      </c>
      <c r="L470" s="37">
        <v>4</v>
      </c>
    </row>
    <row r="471" spans="10:12" s="3" customFormat="1" ht="18" customHeight="1" x14ac:dyDescent="0.2">
      <c r="J471" s="35">
        <v>7</v>
      </c>
      <c r="K471" s="36">
        <v>7</v>
      </c>
      <c r="L471" s="37">
        <v>3</v>
      </c>
    </row>
    <row r="472" spans="10:12" s="3" customFormat="1" ht="18" customHeight="1" x14ac:dyDescent="0.2">
      <c r="J472" s="35">
        <v>7</v>
      </c>
      <c r="K472" s="36">
        <v>7</v>
      </c>
      <c r="L472" s="37">
        <v>4</v>
      </c>
    </row>
    <row r="473" spans="10:12" s="3" customFormat="1" ht="18" customHeight="1" x14ac:dyDescent="0.2">
      <c r="J473" s="35">
        <v>7</v>
      </c>
      <c r="K473" s="36">
        <v>8</v>
      </c>
      <c r="L473" s="37">
        <v>3</v>
      </c>
    </row>
    <row r="474" spans="10:12" s="3" customFormat="1" ht="18" customHeight="1" x14ac:dyDescent="0.2">
      <c r="J474" s="35">
        <v>7</v>
      </c>
      <c r="K474" s="36">
        <v>8</v>
      </c>
      <c r="L474" s="37">
        <v>4</v>
      </c>
    </row>
    <row r="475" spans="10:12" s="3" customFormat="1" ht="18" customHeight="1" x14ac:dyDescent="0.2">
      <c r="J475" s="35">
        <v>7</v>
      </c>
      <c r="K475" s="36">
        <v>9</v>
      </c>
      <c r="L475" s="37">
        <v>3</v>
      </c>
    </row>
    <row r="476" spans="10:12" s="3" customFormat="1" ht="18" customHeight="1" x14ac:dyDescent="0.2">
      <c r="J476" s="35">
        <v>7</v>
      </c>
      <c r="K476" s="36">
        <v>9</v>
      </c>
      <c r="L476" s="37">
        <v>4</v>
      </c>
    </row>
    <row r="477" spans="10:12" s="3" customFormat="1" ht="18" customHeight="1" x14ac:dyDescent="0.2">
      <c r="J477" s="35">
        <v>7</v>
      </c>
      <c r="K477" s="36">
        <v>10</v>
      </c>
      <c r="L477" s="37">
        <v>3</v>
      </c>
    </row>
    <row r="478" spans="10:12" s="3" customFormat="1" ht="18" customHeight="1" x14ac:dyDescent="0.2">
      <c r="J478" s="35">
        <v>7</v>
      </c>
      <c r="K478" s="36">
        <v>10</v>
      </c>
      <c r="L478" s="37">
        <v>4</v>
      </c>
    </row>
    <row r="479" spans="10:12" s="3" customFormat="1" ht="18" customHeight="1" x14ac:dyDescent="0.2">
      <c r="J479" s="35">
        <v>7</v>
      </c>
      <c r="K479" s="36">
        <v>1</v>
      </c>
      <c r="L479" s="37">
        <v>3</v>
      </c>
    </row>
    <row r="480" spans="10:12" s="3" customFormat="1" ht="18" customHeight="1" x14ac:dyDescent="0.2">
      <c r="J480" s="35">
        <v>7</v>
      </c>
      <c r="K480" s="36">
        <v>1</v>
      </c>
      <c r="L480" s="37">
        <v>4</v>
      </c>
    </row>
    <row r="481" spans="10:12" s="3" customFormat="1" ht="18" customHeight="1" x14ac:dyDescent="0.2">
      <c r="J481" s="35">
        <v>7</v>
      </c>
      <c r="K481" s="36">
        <v>2</v>
      </c>
      <c r="L481" s="37">
        <v>3</v>
      </c>
    </row>
    <row r="482" spans="10:12" s="3" customFormat="1" ht="18" customHeight="1" x14ac:dyDescent="0.2">
      <c r="J482" s="35">
        <v>7</v>
      </c>
      <c r="K482" s="36">
        <v>2</v>
      </c>
      <c r="L482" s="37">
        <v>4</v>
      </c>
    </row>
    <row r="483" spans="10:12" s="3" customFormat="1" ht="18" customHeight="1" x14ac:dyDescent="0.2">
      <c r="J483" s="35">
        <v>7</v>
      </c>
      <c r="K483" s="36">
        <v>3</v>
      </c>
      <c r="L483" s="37">
        <v>3</v>
      </c>
    </row>
    <row r="484" spans="10:12" s="3" customFormat="1" ht="18" customHeight="1" x14ac:dyDescent="0.2">
      <c r="J484" s="35">
        <v>7</v>
      </c>
      <c r="K484" s="36">
        <v>3</v>
      </c>
      <c r="L484" s="37">
        <v>4</v>
      </c>
    </row>
    <row r="485" spans="10:12" s="3" customFormat="1" ht="18" customHeight="1" x14ac:dyDescent="0.2">
      <c r="J485" s="35">
        <v>7</v>
      </c>
      <c r="K485" s="36">
        <v>4</v>
      </c>
      <c r="L485" s="37">
        <v>3</v>
      </c>
    </row>
    <row r="486" spans="10:12" s="3" customFormat="1" ht="18" customHeight="1" x14ac:dyDescent="0.2">
      <c r="J486" s="35">
        <v>7</v>
      </c>
      <c r="K486" s="36">
        <v>4</v>
      </c>
      <c r="L486" s="37">
        <v>4</v>
      </c>
    </row>
    <row r="487" spans="10:12" s="3" customFormat="1" ht="18" customHeight="1" x14ac:dyDescent="0.2">
      <c r="J487" s="35">
        <v>7</v>
      </c>
      <c r="K487" s="36">
        <v>5</v>
      </c>
      <c r="L487" s="37">
        <v>3</v>
      </c>
    </row>
    <row r="488" spans="10:12" s="3" customFormat="1" ht="18" customHeight="1" x14ac:dyDescent="0.2">
      <c r="J488" s="35">
        <v>7</v>
      </c>
      <c r="K488" s="36">
        <v>5</v>
      </c>
      <c r="L488" s="37">
        <v>4</v>
      </c>
    </row>
    <row r="489" spans="10:12" s="3" customFormat="1" ht="18" customHeight="1" x14ac:dyDescent="0.2">
      <c r="J489" s="35">
        <v>7</v>
      </c>
      <c r="K489" s="36">
        <v>6</v>
      </c>
      <c r="L489" s="37">
        <v>3</v>
      </c>
    </row>
    <row r="490" spans="10:12" s="3" customFormat="1" ht="18" customHeight="1" x14ac:dyDescent="0.2">
      <c r="J490" s="35">
        <v>7</v>
      </c>
      <c r="K490" s="36">
        <v>6</v>
      </c>
      <c r="L490" s="37">
        <v>4</v>
      </c>
    </row>
    <row r="491" spans="10:12" s="3" customFormat="1" ht="18" customHeight="1" x14ac:dyDescent="0.2">
      <c r="J491" s="35">
        <v>7</v>
      </c>
      <c r="K491" s="36">
        <v>7</v>
      </c>
      <c r="L491" s="37">
        <v>3</v>
      </c>
    </row>
    <row r="492" spans="10:12" s="3" customFormat="1" ht="18" customHeight="1" x14ac:dyDescent="0.2">
      <c r="J492" s="35">
        <v>7</v>
      </c>
      <c r="K492" s="36">
        <v>7</v>
      </c>
      <c r="L492" s="37">
        <v>4</v>
      </c>
    </row>
    <row r="493" spans="10:12" s="3" customFormat="1" ht="18" customHeight="1" x14ac:dyDescent="0.2">
      <c r="J493" s="35">
        <v>7</v>
      </c>
      <c r="K493" s="36">
        <v>8</v>
      </c>
      <c r="L493" s="37">
        <v>3</v>
      </c>
    </row>
    <row r="494" spans="10:12" s="3" customFormat="1" ht="18" customHeight="1" x14ac:dyDescent="0.2">
      <c r="J494" s="35">
        <v>7</v>
      </c>
      <c r="K494" s="36">
        <v>8</v>
      </c>
      <c r="L494" s="37">
        <v>4</v>
      </c>
    </row>
    <row r="495" spans="10:12" s="3" customFormat="1" ht="18" customHeight="1" x14ac:dyDescent="0.2">
      <c r="J495" s="35">
        <v>7</v>
      </c>
      <c r="K495" s="36">
        <v>9</v>
      </c>
      <c r="L495" s="37">
        <v>3</v>
      </c>
    </row>
    <row r="496" spans="10:12" s="3" customFormat="1" ht="18" customHeight="1" x14ac:dyDescent="0.2">
      <c r="J496" s="35">
        <v>7</v>
      </c>
      <c r="K496" s="36">
        <v>9</v>
      </c>
      <c r="L496" s="37">
        <v>4</v>
      </c>
    </row>
    <row r="497" spans="10:12" s="3" customFormat="1" ht="18" customHeight="1" x14ac:dyDescent="0.2">
      <c r="J497" s="35">
        <v>7</v>
      </c>
      <c r="K497" s="36">
        <v>10</v>
      </c>
      <c r="L497" s="37">
        <v>3</v>
      </c>
    </row>
    <row r="498" spans="10:12" s="3" customFormat="1" ht="18" customHeight="1" x14ac:dyDescent="0.2">
      <c r="J498" s="35">
        <v>7</v>
      </c>
      <c r="K498" s="36">
        <v>10</v>
      </c>
      <c r="L498" s="37">
        <v>4</v>
      </c>
    </row>
    <row r="499" spans="10:12" s="3" customFormat="1" ht="18" customHeight="1" x14ac:dyDescent="0.2">
      <c r="J499" s="35">
        <v>7</v>
      </c>
      <c r="K499" s="36">
        <v>1</v>
      </c>
      <c r="L499" s="37">
        <v>3</v>
      </c>
    </row>
    <row r="500" spans="10:12" s="3" customFormat="1" ht="18" customHeight="1" x14ac:dyDescent="0.2">
      <c r="J500" s="35">
        <v>7</v>
      </c>
      <c r="K500" s="36">
        <v>1</v>
      </c>
      <c r="L500" s="37">
        <v>4</v>
      </c>
    </row>
    <row r="501" spans="10:12" s="3" customFormat="1" ht="18" customHeight="1" x14ac:dyDescent="0.2">
      <c r="J501" s="35">
        <v>7</v>
      </c>
      <c r="K501" s="36">
        <v>2</v>
      </c>
      <c r="L501" s="37">
        <v>3</v>
      </c>
    </row>
    <row r="502" spans="10:12" s="3" customFormat="1" ht="18" customHeight="1" x14ac:dyDescent="0.2">
      <c r="J502" s="35">
        <v>7</v>
      </c>
      <c r="K502" s="36">
        <v>2</v>
      </c>
      <c r="L502" s="37">
        <v>4</v>
      </c>
    </row>
    <row r="503" spans="10:12" s="3" customFormat="1" ht="18" customHeight="1" x14ac:dyDescent="0.2">
      <c r="J503" s="35">
        <v>7</v>
      </c>
      <c r="K503" s="36">
        <v>3</v>
      </c>
      <c r="L503" s="37">
        <v>3</v>
      </c>
    </row>
    <row r="504" spans="10:12" s="3" customFormat="1" ht="18" customHeight="1" x14ac:dyDescent="0.2">
      <c r="J504" s="35">
        <v>7</v>
      </c>
      <c r="K504" s="36">
        <v>3</v>
      </c>
      <c r="L504" s="37">
        <v>4</v>
      </c>
    </row>
    <row r="505" spans="10:12" s="3" customFormat="1" ht="18" customHeight="1" x14ac:dyDescent="0.2">
      <c r="J505" s="35">
        <v>7</v>
      </c>
      <c r="K505" s="36">
        <v>4</v>
      </c>
      <c r="L505" s="37">
        <v>3</v>
      </c>
    </row>
    <row r="506" spans="10:12" s="3" customFormat="1" ht="18" customHeight="1" x14ac:dyDescent="0.2">
      <c r="J506" s="35">
        <v>7</v>
      </c>
      <c r="K506" s="36">
        <v>4</v>
      </c>
      <c r="L506" s="37">
        <v>4</v>
      </c>
    </row>
    <row r="507" spans="10:12" s="3" customFormat="1" ht="18" customHeight="1" x14ac:dyDescent="0.2">
      <c r="J507" s="35">
        <v>7</v>
      </c>
      <c r="K507" s="36">
        <v>5</v>
      </c>
      <c r="L507" s="37">
        <v>3</v>
      </c>
    </row>
    <row r="508" spans="10:12" s="3" customFormat="1" ht="18" customHeight="1" x14ac:dyDescent="0.2">
      <c r="J508" s="35">
        <v>7</v>
      </c>
      <c r="K508" s="36">
        <v>5</v>
      </c>
      <c r="L508" s="37">
        <v>4</v>
      </c>
    </row>
    <row r="509" spans="10:12" s="3" customFormat="1" ht="18" customHeight="1" x14ac:dyDescent="0.2">
      <c r="J509" s="35">
        <v>7</v>
      </c>
      <c r="K509" s="36">
        <v>6</v>
      </c>
      <c r="L509" s="37">
        <v>3</v>
      </c>
    </row>
    <row r="510" spans="10:12" s="3" customFormat="1" ht="18" customHeight="1" x14ac:dyDescent="0.2">
      <c r="J510" s="35">
        <v>7</v>
      </c>
      <c r="K510" s="36">
        <v>6</v>
      </c>
      <c r="L510" s="37">
        <v>4</v>
      </c>
    </row>
    <row r="511" spans="10:12" s="3" customFormat="1" ht="18" customHeight="1" x14ac:dyDescent="0.2">
      <c r="J511" s="35">
        <v>7</v>
      </c>
      <c r="K511" s="36">
        <v>7</v>
      </c>
      <c r="L511" s="37">
        <v>3</v>
      </c>
    </row>
    <row r="512" spans="10:12" s="3" customFormat="1" ht="18" customHeight="1" x14ac:dyDescent="0.2">
      <c r="J512" s="35">
        <v>7</v>
      </c>
      <c r="K512" s="36">
        <v>7</v>
      </c>
      <c r="L512" s="37">
        <v>4</v>
      </c>
    </row>
    <row r="513" spans="10:12" s="3" customFormat="1" ht="18" customHeight="1" x14ac:dyDescent="0.2">
      <c r="J513" s="35">
        <v>7</v>
      </c>
      <c r="K513" s="36">
        <v>8</v>
      </c>
      <c r="L513" s="37">
        <v>3</v>
      </c>
    </row>
    <row r="514" spans="10:12" s="3" customFormat="1" ht="18" customHeight="1" x14ac:dyDescent="0.2">
      <c r="J514" s="35">
        <v>7</v>
      </c>
      <c r="K514" s="36">
        <v>8</v>
      </c>
      <c r="L514" s="37">
        <v>4</v>
      </c>
    </row>
    <row r="515" spans="10:12" s="3" customFormat="1" ht="18" customHeight="1" x14ac:dyDescent="0.2">
      <c r="J515" s="35">
        <v>7</v>
      </c>
      <c r="K515" s="36">
        <v>9</v>
      </c>
      <c r="L515" s="37">
        <v>3</v>
      </c>
    </row>
    <row r="516" spans="10:12" s="3" customFormat="1" ht="18" customHeight="1" x14ac:dyDescent="0.2">
      <c r="J516" s="35">
        <v>7</v>
      </c>
      <c r="K516" s="36">
        <v>9</v>
      </c>
      <c r="L516" s="37">
        <v>4</v>
      </c>
    </row>
    <row r="517" spans="10:12" s="3" customFormat="1" ht="18" customHeight="1" x14ac:dyDescent="0.2">
      <c r="J517" s="35">
        <v>7</v>
      </c>
      <c r="K517" s="36">
        <v>10</v>
      </c>
      <c r="L517" s="37">
        <v>3</v>
      </c>
    </row>
    <row r="518" spans="10:12" s="3" customFormat="1" ht="18.5" customHeight="1" x14ac:dyDescent="0.2">
      <c r="J518" s="32">
        <v>7</v>
      </c>
      <c r="K518" s="33">
        <v>10</v>
      </c>
      <c r="L518" s="34">
        <v>4</v>
      </c>
    </row>
  </sheetData>
  <pageMargins left="0.75" right="0.75" top="1" bottom="1" header="0.51180599999999998" footer="0.51180599999999998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866"/>
  <sheetViews>
    <sheetView defaultGridColor="0" colorId="9" workbookViewId="0"/>
  </sheetViews>
  <sheetFormatPr baseColWidth="10" defaultColWidth="13.6640625" defaultRowHeight="13" customHeight="1" x14ac:dyDescent="0.15"/>
  <cols>
    <col min="1" max="1" width="63.6640625" style="2" customWidth="1"/>
    <col min="2" max="2" width="23.6640625" style="2" customWidth="1"/>
    <col min="3" max="3" width="50.1640625" style="2" customWidth="1"/>
    <col min="4" max="4" width="26.1640625" style="2" customWidth="1"/>
    <col min="5" max="5" width="38.5" style="2" customWidth="1"/>
    <col min="6" max="6" width="13.6640625" style="2" customWidth="1"/>
    <col min="7" max="7" width="28.6640625" style="2" customWidth="1"/>
    <col min="8" max="8" width="25" style="2" customWidth="1"/>
    <col min="9" max="9" width="35" style="2" customWidth="1"/>
    <col min="10" max="10" width="27.83203125" style="2" customWidth="1"/>
    <col min="11" max="11" width="17.83203125" style="2" customWidth="1"/>
    <col min="12" max="12" width="23" style="2" customWidth="1"/>
    <col min="13" max="13" width="27.6640625" style="2" customWidth="1"/>
    <col min="14" max="14" width="19.1640625" style="2" customWidth="1"/>
    <col min="15" max="15" width="16.83203125" style="2" customWidth="1"/>
    <col min="16" max="16" width="55.33203125" style="2" customWidth="1"/>
    <col min="17" max="17" width="12.6640625" style="2" customWidth="1"/>
    <col min="18" max="18" width="42" style="2" customWidth="1"/>
    <col min="19" max="19" width="40.1640625" style="2" customWidth="1"/>
    <col min="20" max="20" width="17.1640625" style="2" customWidth="1"/>
    <col min="21" max="21" width="23.1640625" style="2" customWidth="1"/>
    <col min="22" max="22" width="18.83203125" style="2" customWidth="1"/>
    <col min="23" max="23" width="37.5" style="2" customWidth="1"/>
    <col min="24" max="25" width="14.33203125" style="2" customWidth="1"/>
    <col min="26" max="26" width="33.5" style="2" customWidth="1"/>
    <col min="27" max="49" width="14.33203125" style="2" customWidth="1"/>
    <col min="50" max="50" width="42.6640625" style="2" customWidth="1"/>
    <col min="51" max="51" width="25.33203125" style="2" customWidth="1"/>
    <col min="52" max="52" width="22.6640625" style="2" customWidth="1"/>
    <col min="53" max="55" width="14.5" style="2" customWidth="1"/>
    <col min="56" max="56" width="14.33203125" style="2" customWidth="1"/>
    <col min="57" max="159" width="13.6640625" style="2" customWidth="1"/>
    <col min="160" max="256" width="13.6640625" style="206" customWidth="1"/>
  </cols>
  <sheetData>
    <row r="1" spans="2:17" s="3" customFormat="1" ht="19" customHeight="1" x14ac:dyDescent="0.2">
      <c r="C1" s="14" t="s">
        <v>147</v>
      </c>
      <c r="I1" s="4" t="s">
        <v>170</v>
      </c>
      <c r="J1" s="5"/>
      <c r="L1" s="4" t="s">
        <v>86</v>
      </c>
      <c r="M1" s="123" t="s">
        <v>87</v>
      </c>
      <c r="N1" s="123" t="s">
        <v>88</v>
      </c>
      <c r="O1" s="118"/>
      <c r="P1" s="118"/>
      <c r="Q1" s="5"/>
    </row>
    <row r="2" spans="2:17" s="3" customFormat="1" ht="19" customHeight="1" x14ac:dyDescent="0.2">
      <c r="C2" s="9">
        <v>1</v>
      </c>
      <c r="D2" s="10">
        <v>2</v>
      </c>
      <c r="E2" s="10">
        <v>3</v>
      </c>
      <c r="F2" s="11">
        <v>4</v>
      </c>
      <c r="I2" s="101" t="s">
        <v>151</v>
      </c>
      <c r="M2" s="28">
        <v>1</v>
      </c>
      <c r="N2" s="29">
        <v>15</v>
      </c>
    </row>
    <row r="3" spans="2:17" s="3" customFormat="1" ht="18.5" customHeight="1" x14ac:dyDescent="0.2">
      <c r="B3" s="128">
        <v>1</v>
      </c>
      <c r="C3" s="207" t="b">
        <f t="shared" ref="C3:F11" si="0">TRUE</f>
        <v>1</v>
      </c>
      <c r="D3" s="208" t="b">
        <f t="shared" si="0"/>
        <v>1</v>
      </c>
      <c r="E3" s="208" t="b">
        <f t="shared" si="0"/>
        <v>1</v>
      </c>
      <c r="F3" s="209" t="b">
        <f t="shared" si="0"/>
        <v>1</v>
      </c>
      <c r="I3" s="29">
        <v>33</v>
      </c>
      <c r="M3" s="39">
        <v>2</v>
      </c>
      <c r="N3" s="40">
        <v>45</v>
      </c>
    </row>
    <row r="4" spans="2:17" s="3" customFormat="1" ht="18" customHeight="1" x14ac:dyDescent="0.2">
      <c r="B4" s="140">
        <v>2</v>
      </c>
      <c r="C4" s="210" t="b">
        <f t="shared" si="0"/>
        <v>1</v>
      </c>
      <c r="D4" s="211" t="b">
        <f t="shared" si="0"/>
        <v>1</v>
      </c>
      <c r="E4" s="211" t="b">
        <f t="shared" si="0"/>
        <v>1</v>
      </c>
      <c r="F4" s="212" t="b">
        <f t="shared" si="0"/>
        <v>1</v>
      </c>
      <c r="I4" s="40">
        <v>33</v>
      </c>
      <c r="M4" s="39">
        <v>4</v>
      </c>
      <c r="N4" s="40">
        <v>38</v>
      </c>
    </row>
    <row r="5" spans="2:17" s="3" customFormat="1" ht="18" customHeight="1" x14ac:dyDescent="0.2">
      <c r="B5" s="140">
        <v>3</v>
      </c>
      <c r="C5" s="210" t="b">
        <f t="shared" si="0"/>
        <v>1</v>
      </c>
      <c r="D5" s="211" t="b">
        <f t="shared" si="0"/>
        <v>1</v>
      </c>
      <c r="E5" s="211" t="b">
        <f t="shared" si="0"/>
        <v>1</v>
      </c>
      <c r="F5" s="212" t="b">
        <f t="shared" si="0"/>
        <v>1</v>
      </c>
      <c r="I5" s="40">
        <v>33</v>
      </c>
      <c r="M5" s="39">
        <v>6</v>
      </c>
      <c r="N5" s="40">
        <v>30</v>
      </c>
    </row>
    <row r="6" spans="2:17" s="3" customFormat="1" ht="18" customHeight="1" x14ac:dyDescent="0.2">
      <c r="B6" s="140">
        <v>4</v>
      </c>
      <c r="C6" s="210" t="b">
        <f t="shared" si="0"/>
        <v>1</v>
      </c>
      <c r="D6" s="211" t="b">
        <f t="shared" si="0"/>
        <v>1</v>
      </c>
      <c r="E6" s="211" t="b">
        <f t="shared" si="0"/>
        <v>1</v>
      </c>
      <c r="F6" s="212" t="b">
        <f t="shared" ref="F6:F8" si="1">FALSE</f>
        <v>0</v>
      </c>
      <c r="I6" s="40">
        <v>30</v>
      </c>
      <c r="M6" s="39">
        <v>7</v>
      </c>
      <c r="N6" s="40">
        <v>23</v>
      </c>
    </row>
    <row r="7" spans="2:17" s="3" customFormat="1" ht="18" customHeight="1" x14ac:dyDescent="0.2">
      <c r="B7" s="140">
        <v>5</v>
      </c>
      <c r="C7" s="210" t="b">
        <f t="shared" si="0"/>
        <v>1</v>
      </c>
      <c r="D7" s="211" t="b">
        <f t="shared" si="0"/>
        <v>1</v>
      </c>
      <c r="E7" s="211" t="b">
        <f>FALSE</f>
        <v>0</v>
      </c>
      <c r="F7" s="212" t="b">
        <f t="shared" si="1"/>
        <v>0</v>
      </c>
      <c r="I7" s="40">
        <v>25</v>
      </c>
      <c r="M7" s="39">
        <v>9</v>
      </c>
      <c r="N7" s="40">
        <v>47</v>
      </c>
    </row>
    <row r="8" spans="2:17" s="3" customFormat="1" ht="18" customHeight="1" x14ac:dyDescent="0.2">
      <c r="B8" s="140">
        <v>6</v>
      </c>
      <c r="C8" s="210" t="b">
        <f t="shared" si="0"/>
        <v>1</v>
      </c>
      <c r="D8" s="211" t="b">
        <f t="shared" si="0"/>
        <v>1</v>
      </c>
      <c r="E8" s="211" t="b">
        <f>FALSE</f>
        <v>0</v>
      </c>
      <c r="F8" s="212" t="b">
        <f t="shared" si="1"/>
        <v>0</v>
      </c>
      <c r="I8" s="40">
        <v>25</v>
      </c>
      <c r="M8" s="39">
        <v>5</v>
      </c>
      <c r="N8" s="40">
        <v>20</v>
      </c>
    </row>
    <row r="9" spans="2:17" s="3" customFormat="1" ht="18" customHeight="1" x14ac:dyDescent="0.2">
      <c r="B9" s="140">
        <v>7</v>
      </c>
      <c r="C9" s="210" t="b">
        <f t="shared" si="0"/>
        <v>1</v>
      </c>
      <c r="D9" s="211" t="b">
        <f t="shared" si="0"/>
        <v>1</v>
      </c>
      <c r="E9" s="211" t="b">
        <f t="shared" si="0"/>
        <v>1</v>
      </c>
      <c r="F9" s="212" t="b">
        <f t="shared" si="0"/>
        <v>1</v>
      </c>
      <c r="I9" s="40">
        <v>33</v>
      </c>
      <c r="M9" s="39">
        <v>3</v>
      </c>
      <c r="N9" s="40">
        <v>15</v>
      </c>
    </row>
    <row r="10" spans="2:17" s="3" customFormat="1" ht="18" customHeight="1" x14ac:dyDescent="0.2">
      <c r="B10" s="140">
        <v>8</v>
      </c>
      <c r="C10" s="210" t="b">
        <f t="shared" si="0"/>
        <v>1</v>
      </c>
      <c r="D10" s="211" t="b">
        <f t="shared" si="0"/>
        <v>1</v>
      </c>
      <c r="E10" s="211" t="b">
        <f t="shared" si="0"/>
        <v>1</v>
      </c>
      <c r="F10" s="212" t="b">
        <f t="shared" si="0"/>
        <v>1</v>
      </c>
      <c r="I10" s="40">
        <v>33</v>
      </c>
      <c r="M10" s="39">
        <v>8</v>
      </c>
      <c r="N10" s="40">
        <v>90</v>
      </c>
    </row>
    <row r="11" spans="2:17" s="3" customFormat="1" ht="18.5" customHeight="1" x14ac:dyDescent="0.2">
      <c r="B11" s="153">
        <v>9</v>
      </c>
      <c r="C11" s="213" t="b">
        <f t="shared" si="0"/>
        <v>1</v>
      </c>
      <c r="D11" s="214" t="b">
        <f t="shared" si="0"/>
        <v>1</v>
      </c>
      <c r="E11" s="214" t="b">
        <f t="shared" si="0"/>
        <v>1</v>
      </c>
      <c r="F11" s="215" t="b">
        <f t="shared" si="0"/>
        <v>1</v>
      </c>
      <c r="I11" s="57">
        <v>33</v>
      </c>
      <c r="M11" s="56">
        <v>10</v>
      </c>
      <c r="N11" s="57">
        <v>45</v>
      </c>
    </row>
    <row r="12" spans="2:17" s="3" customFormat="1" ht="19" customHeight="1" x14ac:dyDescent="0.2">
      <c r="M12" s="8" t="s">
        <v>74</v>
      </c>
      <c r="N12" s="94">
        <f>SUM(N2:N11)</f>
        <v>368</v>
      </c>
    </row>
    <row r="14" spans="2:17" s="3" customFormat="1" ht="18.5" customHeight="1" x14ac:dyDescent="0.2">
      <c r="K14" s="114" t="s">
        <v>136</v>
      </c>
    </row>
    <row r="15" spans="2:17" s="3" customFormat="1" ht="18.5" customHeight="1" x14ac:dyDescent="0.2">
      <c r="K15" s="122" t="s">
        <v>171</v>
      </c>
    </row>
    <row r="17" spans="1:50" s="3" customFormat="1" ht="18.5" customHeight="1" x14ac:dyDescent="0.2">
      <c r="K17" s="114" t="s">
        <v>172</v>
      </c>
    </row>
    <row r="18" spans="1:50" s="3" customFormat="1" ht="18" customHeight="1" x14ac:dyDescent="0.2">
      <c r="K18" s="216" t="s">
        <v>173</v>
      </c>
    </row>
    <row r="19" spans="1:50" s="3" customFormat="1" ht="18" customHeight="1" x14ac:dyDescent="0.2">
      <c r="K19" s="216" t="s">
        <v>174</v>
      </c>
    </row>
    <row r="20" spans="1:50" s="3" customFormat="1" ht="18.5" customHeight="1" x14ac:dyDescent="0.2">
      <c r="K20" s="122" t="s">
        <v>175</v>
      </c>
    </row>
    <row r="23" spans="1:50" s="3" customFormat="1" ht="19" customHeight="1" x14ac:dyDescent="0.2">
      <c r="A23" s="14" t="s">
        <v>176</v>
      </c>
      <c r="C23" s="6" t="s">
        <v>157</v>
      </c>
    </row>
    <row r="24" spans="1:50" s="3" customFormat="1" ht="19" customHeight="1" x14ac:dyDescent="0.2">
      <c r="A24" s="8" t="s">
        <v>87</v>
      </c>
      <c r="B24" s="184" t="s">
        <v>12</v>
      </c>
      <c r="C24" s="96">
        <v>1</v>
      </c>
      <c r="D24" s="97">
        <v>2</v>
      </c>
      <c r="E24" s="97">
        <v>3</v>
      </c>
      <c r="F24" s="97">
        <v>4</v>
      </c>
      <c r="G24" s="97">
        <v>5</v>
      </c>
      <c r="H24" s="97">
        <v>6</v>
      </c>
      <c r="I24" s="97">
        <v>7</v>
      </c>
      <c r="J24" s="97">
        <v>8</v>
      </c>
      <c r="K24" s="97">
        <v>9</v>
      </c>
      <c r="L24" s="97">
        <v>10</v>
      </c>
      <c r="M24" s="97">
        <v>11</v>
      </c>
      <c r="N24" s="97">
        <v>12</v>
      </c>
      <c r="O24" s="97">
        <v>13</v>
      </c>
      <c r="P24" s="97">
        <v>14</v>
      </c>
      <c r="Q24" s="97">
        <v>15</v>
      </c>
      <c r="R24" s="97">
        <v>16</v>
      </c>
      <c r="S24" s="97">
        <v>17</v>
      </c>
      <c r="T24" s="97">
        <v>18</v>
      </c>
      <c r="U24" s="97">
        <v>19</v>
      </c>
      <c r="V24" s="97">
        <v>20</v>
      </c>
      <c r="W24" s="97">
        <v>21</v>
      </c>
      <c r="X24" s="97">
        <v>22</v>
      </c>
      <c r="Y24" s="97">
        <v>23</v>
      </c>
      <c r="Z24" s="97">
        <v>24</v>
      </c>
      <c r="AA24" s="97">
        <v>25</v>
      </c>
      <c r="AB24" s="97">
        <v>26</v>
      </c>
      <c r="AC24" s="97">
        <v>27</v>
      </c>
      <c r="AD24" s="97">
        <v>28</v>
      </c>
      <c r="AE24" s="97">
        <v>29</v>
      </c>
      <c r="AF24" s="97">
        <v>30</v>
      </c>
      <c r="AG24" s="97">
        <v>31</v>
      </c>
      <c r="AH24" s="97">
        <v>32</v>
      </c>
      <c r="AI24" s="97">
        <v>33</v>
      </c>
      <c r="AJ24" s="97">
        <v>34</v>
      </c>
      <c r="AK24" s="97">
        <v>35</v>
      </c>
      <c r="AL24" s="97">
        <v>36</v>
      </c>
      <c r="AM24" s="97">
        <v>37</v>
      </c>
      <c r="AN24" s="97">
        <v>38</v>
      </c>
      <c r="AO24" s="97">
        <v>39</v>
      </c>
      <c r="AP24" s="97">
        <v>40</v>
      </c>
      <c r="AQ24" s="97">
        <v>41</v>
      </c>
      <c r="AR24" s="97">
        <v>42</v>
      </c>
      <c r="AS24" s="97">
        <v>43</v>
      </c>
      <c r="AT24" s="97">
        <v>44</v>
      </c>
      <c r="AU24" s="97">
        <v>45</v>
      </c>
      <c r="AV24" s="97">
        <v>46</v>
      </c>
      <c r="AW24" s="97">
        <v>47</v>
      </c>
      <c r="AX24" s="98">
        <v>48</v>
      </c>
    </row>
    <row r="25" spans="1:50" s="3" customFormat="1" ht="18.5" customHeight="1" x14ac:dyDescent="0.2">
      <c r="A25" s="185" t="s">
        <v>104</v>
      </c>
      <c r="B25" s="28">
        <v>1</v>
      </c>
      <c r="C25" s="23">
        <v>1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4">
        <v>1</v>
      </c>
      <c r="M25" s="24">
        <v>0</v>
      </c>
      <c r="N25" s="24">
        <v>0</v>
      </c>
      <c r="O25" s="24">
        <v>0</v>
      </c>
      <c r="P25" s="24">
        <v>0</v>
      </c>
      <c r="Q25" s="24">
        <v>0</v>
      </c>
      <c r="R25" s="24">
        <v>1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1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1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1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5">
        <v>0</v>
      </c>
    </row>
    <row r="26" spans="1:50" s="3" customFormat="1" ht="18" customHeight="1" x14ac:dyDescent="0.2">
      <c r="A26" s="187" t="s">
        <v>120</v>
      </c>
      <c r="B26" s="39">
        <v>2</v>
      </c>
      <c r="C26" s="35">
        <v>0</v>
      </c>
      <c r="D26" s="36">
        <v>1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1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1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1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1</v>
      </c>
      <c r="AG26" s="36">
        <v>0</v>
      </c>
      <c r="AH26" s="36">
        <v>0</v>
      </c>
      <c r="AI26" s="36">
        <v>0</v>
      </c>
      <c r="AJ26" s="36">
        <v>0</v>
      </c>
      <c r="AK26" s="36">
        <v>0</v>
      </c>
      <c r="AL26" s="36">
        <v>0</v>
      </c>
      <c r="AM26" s="36">
        <v>0</v>
      </c>
      <c r="AN26" s="36">
        <v>0</v>
      </c>
      <c r="AO26" s="36">
        <v>0</v>
      </c>
      <c r="AP26" s="36">
        <v>1</v>
      </c>
      <c r="AQ26" s="36">
        <v>0</v>
      </c>
      <c r="AR26" s="36">
        <v>0</v>
      </c>
      <c r="AS26" s="36">
        <v>0</v>
      </c>
      <c r="AT26" s="36">
        <v>0</v>
      </c>
      <c r="AU26" s="36">
        <v>0</v>
      </c>
      <c r="AV26" s="36">
        <v>0</v>
      </c>
      <c r="AW26" s="36">
        <v>0</v>
      </c>
      <c r="AX26" s="37">
        <v>0</v>
      </c>
    </row>
    <row r="27" spans="1:50" s="3" customFormat="1" ht="18" customHeight="1" x14ac:dyDescent="0.2">
      <c r="A27" s="187" t="s">
        <v>127</v>
      </c>
      <c r="B27" s="39">
        <v>3</v>
      </c>
      <c r="C27" s="35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1</v>
      </c>
      <c r="AH27" s="36">
        <v>0</v>
      </c>
      <c r="AI27" s="36">
        <v>0</v>
      </c>
      <c r="AJ27" s="36">
        <v>0</v>
      </c>
      <c r="AK27" s="36">
        <v>0</v>
      </c>
      <c r="AL27" s="36">
        <v>0</v>
      </c>
      <c r="AM27" s="36">
        <v>0</v>
      </c>
      <c r="AN27" s="36">
        <v>0</v>
      </c>
      <c r="AO27" s="36">
        <v>0</v>
      </c>
      <c r="AP27" s="36">
        <v>0</v>
      </c>
      <c r="AQ27" s="36">
        <v>0</v>
      </c>
      <c r="AR27" s="36">
        <v>0</v>
      </c>
      <c r="AS27" s="36">
        <v>0</v>
      </c>
      <c r="AT27" s="36">
        <v>0</v>
      </c>
      <c r="AU27" s="36">
        <v>0</v>
      </c>
      <c r="AV27" s="36">
        <v>0</v>
      </c>
      <c r="AW27" s="36">
        <v>0</v>
      </c>
      <c r="AX27" s="37">
        <v>0</v>
      </c>
    </row>
    <row r="28" spans="1:50" s="3" customFormat="1" ht="18" customHeight="1" x14ac:dyDescent="0.2">
      <c r="A28" s="187" t="s">
        <v>129</v>
      </c>
      <c r="B28" s="39">
        <v>4</v>
      </c>
      <c r="C28" s="35">
        <v>0</v>
      </c>
      <c r="D28" s="36">
        <v>0</v>
      </c>
      <c r="E28" s="36">
        <v>1</v>
      </c>
      <c r="F28" s="36">
        <v>0</v>
      </c>
      <c r="G28" s="36">
        <v>0</v>
      </c>
      <c r="H28" s="36">
        <v>0</v>
      </c>
      <c r="I28" s="36">
        <v>1</v>
      </c>
      <c r="J28" s="36">
        <v>0</v>
      </c>
      <c r="K28" s="36">
        <v>0</v>
      </c>
      <c r="L28" s="36">
        <v>0</v>
      </c>
      <c r="M28" s="36">
        <v>0</v>
      </c>
      <c r="N28" s="36">
        <v>1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1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1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1</v>
      </c>
      <c r="AI28" s="36">
        <v>0</v>
      </c>
      <c r="AJ28" s="36">
        <v>0</v>
      </c>
      <c r="AK28" s="36">
        <v>0</v>
      </c>
      <c r="AL28" s="36">
        <v>0</v>
      </c>
      <c r="AM28" s="36">
        <v>0</v>
      </c>
      <c r="AN28" s="36">
        <v>0</v>
      </c>
      <c r="AO28" s="36">
        <v>0</v>
      </c>
      <c r="AP28" s="36">
        <v>0</v>
      </c>
      <c r="AQ28" s="36">
        <v>1</v>
      </c>
      <c r="AR28" s="36">
        <v>0</v>
      </c>
      <c r="AS28" s="36">
        <v>0</v>
      </c>
      <c r="AT28" s="36">
        <v>1</v>
      </c>
      <c r="AU28" s="36">
        <v>1</v>
      </c>
      <c r="AV28" s="36">
        <v>0</v>
      </c>
      <c r="AW28" s="36">
        <v>0</v>
      </c>
      <c r="AX28" s="37">
        <v>1</v>
      </c>
    </row>
    <row r="29" spans="1:50" s="3" customFormat="1" ht="18" customHeight="1" x14ac:dyDescent="0.2">
      <c r="A29" s="187" t="s">
        <v>130</v>
      </c>
      <c r="B29" s="39">
        <v>5</v>
      </c>
      <c r="C29" s="35">
        <v>0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>
        <v>1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  <c r="AD29" s="36">
        <v>0</v>
      </c>
      <c r="AE29" s="36">
        <v>0</v>
      </c>
      <c r="AF29" s="36">
        <v>0</v>
      </c>
      <c r="AG29" s="36">
        <v>0</v>
      </c>
      <c r="AH29" s="36">
        <v>0</v>
      </c>
      <c r="AI29" s="36">
        <v>1</v>
      </c>
      <c r="AJ29" s="36">
        <v>0</v>
      </c>
      <c r="AK29" s="36">
        <v>0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36">
        <v>0</v>
      </c>
      <c r="AS29" s="36">
        <v>0</v>
      </c>
      <c r="AT29" s="36">
        <v>0</v>
      </c>
      <c r="AU29" s="36">
        <v>0</v>
      </c>
      <c r="AV29" s="36">
        <v>0</v>
      </c>
      <c r="AW29" s="36">
        <v>0</v>
      </c>
      <c r="AX29" s="37">
        <v>0</v>
      </c>
    </row>
    <row r="30" spans="1:50" s="3" customFormat="1" ht="18" customHeight="1" x14ac:dyDescent="0.2">
      <c r="A30" s="187" t="s">
        <v>131</v>
      </c>
      <c r="B30" s="39">
        <v>6</v>
      </c>
      <c r="C30" s="35">
        <v>0</v>
      </c>
      <c r="D30" s="36">
        <v>0</v>
      </c>
      <c r="E30" s="36">
        <v>0</v>
      </c>
      <c r="F30" s="36">
        <v>1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1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1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36">
        <v>1</v>
      </c>
      <c r="AC30" s="36">
        <v>0</v>
      </c>
      <c r="AD30" s="36">
        <v>0</v>
      </c>
      <c r="AE30" s="36">
        <v>0</v>
      </c>
      <c r="AF30" s="36">
        <v>0</v>
      </c>
      <c r="AG30" s="36">
        <v>0</v>
      </c>
      <c r="AH30" s="36">
        <v>0</v>
      </c>
      <c r="AI30" s="36">
        <v>0</v>
      </c>
      <c r="AJ30" s="36">
        <v>1</v>
      </c>
      <c r="AK30" s="36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36">
        <v>0</v>
      </c>
      <c r="AS30" s="36">
        <v>0</v>
      </c>
      <c r="AT30" s="36">
        <v>0</v>
      </c>
      <c r="AU30" s="36">
        <v>0</v>
      </c>
      <c r="AV30" s="36">
        <v>0</v>
      </c>
      <c r="AW30" s="36">
        <v>0</v>
      </c>
      <c r="AX30" s="37">
        <v>0</v>
      </c>
    </row>
    <row r="31" spans="1:50" s="3" customFormat="1" ht="18" customHeight="1" x14ac:dyDescent="0.2">
      <c r="A31" s="187" t="s">
        <v>132</v>
      </c>
      <c r="B31" s="39">
        <v>7</v>
      </c>
      <c r="C31" s="35">
        <v>0</v>
      </c>
      <c r="D31" s="36">
        <v>0</v>
      </c>
      <c r="E31" s="36">
        <v>0</v>
      </c>
      <c r="F31" s="36">
        <v>0</v>
      </c>
      <c r="G31" s="36">
        <v>1</v>
      </c>
      <c r="H31" s="36">
        <v>0</v>
      </c>
      <c r="I31" s="36">
        <v>0</v>
      </c>
      <c r="J31" s="36">
        <v>1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1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1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1</v>
      </c>
      <c r="AD31" s="36">
        <v>0</v>
      </c>
      <c r="AE31" s="36">
        <v>0</v>
      </c>
      <c r="AF31" s="36">
        <v>0</v>
      </c>
      <c r="AG31" s="36">
        <v>0</v>
      </c>
      <c r="AH31" s="36">
        <v>0</v>
      </c>
      <c r="AI31" s="36">
        <v>0</v>
      </c>
      <c r="AJ31" s="36">
        <v>0</v>
      </c>
      <c r="AK31" s="36">
        <v>1</v>
      </c>
      <c r="AL31" s="36">
        <v>0</v>
      </c>
      <c r="AM31" s="36">
        <v>0</v>
      </c>
      <c r="AN31" s="36">
        <v>0</v>
      </c>
      <c r="AO31" s="36">
        <v>0</v>
      </c>
      <c r="AP31" s="36">
        <v>0</v>
      </c>
      <c r="AQ31" s="36">
        <v>0</v>
      </c>
      <c r="AR31" s="36">
        <v>1</v>
      </c>
      <c r="AS31" s="36">
        <v>0</v>
      </c>
      <c r="AT31" s="36">
        <v>0</v>
      </c>
      <c r="AU31" s="36">
        <v>0</v>
      </c>
      <c r="AV31" s="36">
        <v>1</v>
      </c>
      <c r="AW31" s="36">
        <v>0</v>
      </c>
      <c r="AX31" s="37">
        <v>0</v>
      </c>
    </row>
    <row r="32" spans="1:50" s="3" customFormat="1" ht="18" customHeight="1" x14ac:dyDescent="0.2">
      <c r="A32" s="187" t="s">
        <v>133</v>
      </c>
      <c r="B32" s="39">
        <v>8</v>
      </c>
      <c r="C32" s="35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  <c r="AJ32" s="36">
        <v>0</v>
      </c>
      <c r="AK32" s="36">
        <v>0</v>
      </c>
      <c r="AL32" s="36">
        <v>1</v>
      </c>
      <c r="AM32" s="36">
        <v>0</v>
      </c>
      <c r="AN32" s="36">
        <v>0</v>
      </c>
      <c r="AO32" s="36">
        <v>0</v>
      </c>
      <c r="AP32" s="36">
        <v>0</v>
      </c>
      <c r="AQ32" s="36">
        <v>0</v>
      </c>
      <c r="AR32" s="36">
        <v>0</v>
      </c>
      <c r="AS32" s="36">
        <v>0</v>
      </c>
      <c r="AT32" s="36">
        <v>0</v>
      </c>
      <c r="AU32" s="36">
        <v>0</v>
      </c>
      <c r="AV32" s="36">
        <v>0</v>
      </c>
      <c r="AW32" s="36">
        <v>0</v>
      </c>
      <c r="AX32" s="37">
        <v>0</v>
      </c>
    </row>
    <row r="33" spans="1:59" s="3" customFormat="1" ht="18" customHeight="1" x14ac:dyDescent="0.2">
      <c r="A33" s="187" t="s">
        <v>134</v>
      </c>
      <c r="B33" s="39">
        <v>9</v>
      </c>
      <c r="C33" s="35">
        <v>0</v>
      </c>
      <c r="D33" s="36">
        <v>0</v>
      </c>
      <c r="E33" s="36">
        <v>0</v>
      </c>
      <c r="F33" s="36">
        <v>0</v>
      </c>
      <c r="G33" s="36">
        <v>0</v>
      </c>
      <c r="H33" s="36">
        <v>1</v>
      </c>
      <c r="I33" s="36">
        <v>0</v>
      </c>
      <c r="J33" s="36">
        <v>0</v>
      </c>
      <c r="K33" s="36">
        <v>1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1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1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1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  <c r="AJ33" s="36">
        <v>0</v>
      </c>
      <c r="AK33" s="36">
        <v>0</v>
      </c>
      <c r="AL33" s="36">
        <v>0</v>
      </c>
      <c r="AM33" s="36">
        <v>1</v>
      </c>
      <c r="AN33" s="36">
        <v>0</v>
      </c>
      <c r="AO33" s="36">
        <v>0</v>
      </c>
      <c r="AP33" s="36">
        <v>0</v>
      </c>
      <c r="AQ33" s="36">
        <v>0</v>
      </c>
      <c r="AR33" s="36">
        <v>0</v>
      </c>
      <c r="AS33" s="36">
        <v>1</v>
      </c>
      <c r="AT33" s="36">
        <v>0</v>
      </c>
      <c r="AU33" s="36">
        <v>0</v>
      </c>
      <c r="AV33" s="36">
        <v>0</v>
      </c>
      <c r="AW33" s="36">
        <v>1</v>
      </c>
      <c r="AX33" s="37">
        <v>0</v>
      </c>
    </row>
    <row r="34" spans="1:59" s="3" customFormat="1" ht="18.5" customHeight="1" x14ac:dyDescent="0.2">
      <c r="A34" s="192" t="s">
        <v>135</v>
      </c>
      <c r="B34" s="56">
        <v>10</v>
      </c>
      <c r="C34" s="32">
        <v>0</v>
      </c>
      <c r="D34" s="33">
        <v>0</v>
      </c>
      <c r="E34" s="33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3">
        <v>0</v>
      </c>
      <c r="T34" s="33">
        <v>0</v>
      </c>
      <c r="U34" s="33">
        <v>0</v>
      </c>
      <c r="V34" s="33">
        <v>0</v>
      </c>
      <c r="W34" s="33">
        <v>0</v>
      </c>
      <c r="X34" s="33">
        <v>0</v>
      </c>
      <c r="Y34" s="33">
        <v>0</v>
      </c>
      <c r="Z34" s="33">
        <v>0</v>
      </c>
      <c r="AA34" s="33">
        <v>0</v>
      </c>
      <c r="AB34" s="33">
        <v>0</v>
      </c>
      <c r="AC34" s="33">
        <v>0</v>
      </c>
      <c r="AD34" s="33">
        <v>0</v>
      </c>
      <c r="AE34" s="33">
        <v>0</v>
      </c>
      <c r="AF34" s="33">
        <v>0</v>
      </c>
      <c r="AG34" s="33">
        <v>0</v>
      </c>
      <c r="AH34" s="33">
        <v>0</v>
      </c>
      <c r="AI34" s="33">
        <v>0</v>
      </c>
      <c r="AJ34" s="33">
        <v>0</v>
      </c>
      <c r="AK34" s="33">
        <v>0</v>
      </c>
      <c r="AL34" s="33">
        <v>0</v>
      </c>
      <c r="AM34" s="33">
        <v>0</v>
      </c>
      <c r="AN34" s="33">
        <v>1</v>
      </c>
      <c r="AO34" s="33">
        <v>0</v>
      </c>
      <c r="AP34" s="33">
        <v>0</v>
      </c>
      <c r="AQ34" s="33">
        <v>0</v>
      </c>
      <c r="AR34" s="33">
        <v>0</v>
      </c>
      <c r="AS34" s="33">
        <v>0</v>
      </c>
      <c r="AT34" s="33">
        <v>0</v>
      </c>
      <c r="AU34" s="33">
        <v>0</v>
      </c>
      <c r="AV34" s="33">
        <v>0</v>
      </c>
      <c r="AW34" s="33">
        <v>0</v>
      </c>
      <c r="AX34" s="34">
        <v>0</v>
      </c>
    </row>
    <row r="37" spans="1:59" s="3" customFormat="1" ht="19" customHeight="1" x14ac:dyDescent="0.2">
      <c r="A37" s="101" t="s">
        <v>177</v>
      </c>
      <c r="C37" s="60" t="s">
        <v>178</v>
      </c>
    </row>
    <row r="38" spans="1:59" s="3" customFormat="1" ht="19" customHeight="1" x14ac:dyDescent="0.2">
      <c r="C38" s="14" t="s">
        <v>179</v>
      </c>
      <c r="AZ38" s="6" t="s">
        <v>180</v>
      </c>
      <c r="BA38" s="114" t="s">
        <v>181</v>
      </c>
    </row>
    <row r="39" spans="1:59" s="3" customFormat="1" ht="19" customHeight="1" x14ac:dyDescent="0.2">
      <c r="A39" s="6" t="s">
        <v>182</v>
      </c>
      <c r="C39" s="9">
        <v>1</v>
      </c>
      <c r="D39" s="10">
        <v>2</v>
      </c>
      <c r="E39" s="10">
        <v>3</v>
      </c>
      <c r="F39" s="10">
        <v>4</v>
      </c>
      <c r="G39" s="10">
        <v>5</v>
      </c>
      <c r="H39" s="10">
        <v>6</v>
      </c>
      <c r="I39" s="10">
        <v>7</v>
      </c>
      <c r="J39" s="10">
        <v>8</v>
      </c>
      <c r="K39" s="10">
        <v>9</v>
      </c>
      <c r="L39" s="10">
        <v>10</v>
      </c>
      <c r="M39" s="10">
        <v>11</v>
      </c>
      <c r="N39" s="10">
        <v>12</v>
      </c>
      <c r="O39" s="10">
        <v>13</v>
      </c>
      <c r="P39" s="10">
        <v>14</v>
      </c>
      <c r="Q39" s="10">
        <v>15</v>
      </c>
      <c r="R39" s="10">
        <v>16</v>
      </c>
      <c r="S39" s="10">
        <v>17</v>
      </c>
      <c r="T39" s="10">
        <v>18</v>
      </c>
      <c r="U39" s="10">
        <v>19</v>
      </c>
      <c r="V39" s="10">
        <v>20</v>
      </c>
      <c r="W39" s="10">
        <v>21</v>
      </c>
      <c r="X39" s="10">
        <v>22</v>
      </c>
      <c r="Y39" s="10">
        <v>23</v>
      </c>
      <c r="Z39" s="10">
        <v>24</v>
      </c>
      <c r="AA39" s="10">
        <v>25</v>
      </c>
      <c r="AB39" s="10">
        <v>26</v>
      </c>
      <c r="AC39" s="10">
        <v>27</v>
      </c>
      <c r="AD39" s="10">
        <v>28</v>
      </c>
      <c r="AE39" s="10">
        <v>29</v>
      </c>
      <c r="AF39" s="10">
        <v>30</v>
      </c>
      <c r="AG39" s="10">
        <v>31</v>
      </c>
      <c r="AH39" s="10">
        <v>32</v>
      </c>
      <c r="AI39" s="10">
        <v>33</v>
      </c>
      <c r="AJ39" s="10">
        <v>34</v>
      </c>
      <c r="AK39" s="10">
        <v>35</v>
      </c>
      <c r="AL39" s="10">
        <v>36</v>
      </c>
      <c r="AM39" s="10">
        <v>37</v>
      </c>
      <c r="AN39" s="10">
        <v>38</v>
      </c>
      <c r="AO39" s="10">
        <v>39</v>
      </c>
      <c r="AP39" s="10">
        <v>40</v>
      </c>
      <c r="AQ39" s="10">
        <v>41</v>
      </c>
      <c r="AR39" s="10">
        <v>42</v>
      </c>
      <c r="AS39" s="10">
        <v>43</v>
      </c>
      <c r="AT39" s="10">
        <v>44</v>
      </c>
      <c r="AU39" s="10">
        <v>45</v>
      </c>
      <c r="AV39" s="10">
        <v>46</v>
      </c>
      <c r="AW39" s="10">
        <v>47</v>
      </c>
      <c r="AX39" s="11">
        <v>48</v>
      </c>
      <c r="BA39" s="122" t="s">
        <v>183</v>
      </c>
    </row>
    <row r="40" spans="1:59" s="3" customFormat="1" ht="18.5" customHeight="1" x14ac:dyDescent="0.2">
      <c r="B40" s="217">
        <v>1</v>
      </c>
      <c r="C40" s="218">
        <v>0</v>
      </c>
      <c r="D40" s="219">
        <v>0</v>
      </c>
      <c r="E40" s="219">
        <v>0</v>
      </c>
      <c r="F40" s="219">
        <v>0</v>
      </c>
      <c r="G40" s="219">
        <v>0</v>
      </c>
      <c r="H40" s="219">
        <v>0</v>
      </c>
      <c r="I40" s="219">
        <v>1</v>
      </c>
      <c r="J40" s="219">
        <v>1</v>
      </c>
      <c r="K40" s="219">
        <v>1</v>
      </c>
      <c r="L40" s="219">
        <v>1</v>
      </c>
      <c r="M40" s="219">
        <v>1</v>
      </c>
      <c r="N40" s="219">
        <v>1</v>
      </c>
      <c r="O40" s="219">
        <v>1</v>
      </c>
      <c r="P40" s="219">
        <v>1</v>
      </c>
      <c r="Q40" s="219">
        <v>1</v>
      </c>
      <c r="R40" s="219">
        <v>1</v>
      </c>
      <c r="S40" s="219">
        <v>1</v>
      </c>
      <c r="T40" s="219">
        <v>1</v>
      </c>
      <c r="U40" s="219">
        <v>1</v>
      </c>
      <c r="V40" s="219">
        <v>1</v>
      </c>
      <c r="W40" s="219">
        <v>1</v>
      </c>
      <c r="X40" s="219">
        <v>1</v>
      </c>
      <c r="Y40" s="219">
        <v>1</v>
      </c>
      <c r="Z40" s="219">
        <v>1</v>
      </c>
      <c r="AA40" s="219">
        <v>1</v>
      </c>
      <c r="AB40" s="219">
        <v>1</v>
      </c>
      <c r="AC40" s="219">
        <v>1</v>
      </c>
      <c r="AD40" s="219">
        <v>1</v>
      </c>
      <c r="AE40" s="219">
        <v>0</v>
      </c>
      <c r="AF40" s="219">
        <v>0</v>
      </c>
      <c r="AG40" s="219">
        <v>0</v>
      </c>
      <c r="AH40" s="219">
        <v>0</v>
      </c>
      <c r="AI40" s="219">
        <v>0</v>
      </c>
      <c r="AJ40" s="219">
        <v>0</v>
      </c>
      <c r="AK40" s="219">
        <v>0</v>
      </c>
      <c r="AL40" s="219">
        <v>0</v>
      </c>
      <c r="AM40" s="219">
        <v>0</v>
      </c>
      <c r="AN40" s="219">
        <v>0</v>
      </c>
      <c r="AO40" s="219">
        <v>0</v>
      </c>
      <c r="AP40" s="219">
        <v>0</v>
      </c>
      <c r="AQ40" s="219">
        <v>0</v>
      </c>
      <c r="AR40" s="219">
        <v>0</v>
      </c>
      <c r="AS40" s="219">
        <v>0</v>
      </c>
      <c r="AT40" s="219">
        <v>1</v>
      </c>
      <c r="AU40" s="219">
        <v>0</v>
      </c>
      <c r="AV40" s="219">
        <v>0</v>
      </c>
      <c r="AW40" s="219">
        <v>0</v>
      </c>
      <c r="AX40" s="220">
        <v>0</v>
      </c>
      <c r="AZ40" s="217">
        <v>1</v>
      </c>
      <c r="BA40" s="221">
        <v>33</v>
      </c>
      <c r="BG40" s="222"/>
    </row>
    <row r="41" spans="1:59" s="3" customFormat="1" ht="18" customHeight="1" x14ac:dyDescent="0.2">
      <c r="B41" s="223">
        <v>2</v>
      </c>
      <c r="C41" s="87">
        <v>1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  <c r="I41" s="88">
        <v>1</v>
      </c>
      <c r="J41" s="88">
        <v>1</v>
      </c>
      <c r="K41" s="88">
        <v>1</v>
      </c>
      <c r="L41" s="88">
        <v>1</v>
      </c>
      <c r="M41" s="88">
        <v>1</v>
      </c>
      <c r="N41" s="88">
        <v>1</v>
      </c>
      <c r="O41" s="88">
        <v>1</v>
      </c>
      <c r="P41" s="88">
        <v>1</v>
      </c>
      <c r="Q41" s="88">
        <v>1</v>
      </c>
      <c r="R41" s="88">
        <v>1</v>
      </c>
      <c r="S41" s="88">
        <v>1</v>
      </c>
      <c r="T41" s="88">
        <v>1</v>
      </c>
      <c r="U41" s="88">
        <v>1</v>
      </c>
      <c r="V41" s="88">
        <v>1</v>
      </c>
      <c r="W41" s="88">
        <v>1</v>
      </c>
      <c r="X41" s="88">
        <v>1</v>
      </c>
      <c r="Y41" s="88">
        <v>1</v>
      </c>
      <c r="Z41" s="88">
        <v>1</v>
      </c>
      <c r="AA41" s="88">
        <v>1</v>
      </c>
      <c r="AB41" s="88">
        <v>1</v>
      </c>
      <c r="AC41" s="88">
        <v>1</v>
      </c>
      <c r="AD41" s="88">
        <v>1</v>
      </c>
      <c r="AE41" s="88">
        <v>1</v>
      </c>
      <c r="AF41" s="88">
        <v>1</v>
      </c>
      <c r="AG41" s="88">
        <v>1</v>
      </c>
      <c r="AH41" s="88">
        <v>1</v>
      </c>
      <c r="AI41" s="88">
        <v>1</v>
      </c>
      <c r="AJ41" s="88">
        <v>1</v>
      </c>
      <c r="AK41" s="88">
        <v>1</v>
      </c>
      <c r="AL41" s="88">
        <v>1</v>
      </c>
      <c r="AM41" s="88">
        <v>1</v>
      </c>
      <c r="AN41" s="88">
        <v>1</v>
      </c>
      <c r="AO41" s="88">
        <v>1</v>
      </c>
      <c r="AP41" s="88">
        <v>1</v>
      </c>
      <c r="AQ41" s="88">
        <v>1</v>
      </c>
      <c r="AR41" s="88">
        <v>1</v>
      </c>
      <c r="AS41" s="88">
        <v>1</v>
      </c>
      <c r="AT41" s="88">
        <v>1</v>
      </c>
      <c r="AU41" s="88">
        <v>1</v>
      </c>
      <c r="AV41" s="88">
        <v>1</v>
      </c>
      <c r="AW41" s="88">
        <v>1</v>
      </c>
      <c r="AX41" s="89">
        <v>1</v>
      </c>
      <c r="AZ41" s="223">
        <v>2</v>
      </c>
      <c r="BA41" s="224">
        <v>33</v>
      </c>
      <c r="BF41" s="225"/>
      <c r="BG41" s="124"/>
    </row>
    <row r="42" spans="1:59" s="3" customFormat="1" ht="18.5" customHeight="1" x14ac:dyDescent="0.2">
      <c r="B42" s="223">
        <v>3</v>
      </c>
      <c r="C42" s="87">
        <v>1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  <c r="I42" s="88">
        <v>1</v>
      </c>
      <c r="J42" s="88">
        <v>1</v>
      </c>
      <c r="K42" s="88">
        <v>1</v>
      </c>
      <c r="L42" s="88">
        <v>1</v>
      </c>
      <c r="M42" s="88">
        <v>1</v>
      </c>
      <c r="N42" s="88">
        <v>1</v>
      </c>
      <c r="O42" s="88">
        <v>1</v>
      </c>
      <c r="P42" s="88">
        <v>1</v>
      </c>
      <c r="Q42" s="88">
        <v>1</v>
      </c>
      <c r="R42" s="88">
        <v>1</v>
      </c>
      <c r="S42" s="88">
        <v>1</v>
      </c>
      <c r="T42" s="88">
        <v>1</v>
      </c>
      <c r="U42" s="88">
        <v>1</v>
      </c>
      <c r="V42" s="88">
        <v>1</v>
      </c>
      <c r="W42" s="88">
        <v>1</v>
      </c>
      <c r="X42" s="88">
        <v>1</v>
      </c>
      <c r="Y42" s="88">
        <v>1</v>
      </c>
      <c r="Z42" s="88">
        <v>1</v>
      </c>
      <c r="AA42" s="88">
        <v>1</v>
      </c>
      <c r="AB42" s="88">
        <v>1</v>
      </c>
      <c r="AC42" s="88">
        <v>1</v>
      </c>
      <c r="AD42" s="88">
        <v>1</v>
      </c>
      <c r="AE42" s="88">
        <v>1</v>
      </c>
      <c r="AF42" s="88">
        <v>1</v>
      </c>
      <c r="AG42" s="88">
        <v>1</v>
      </c>
      <c r="AH42" s="88">
        <v>1</v>
      </c>
      <c r="AI42" s="88">
        <v>1</v>
      </c>
      <c r="AJ42" s="88">
        <v>1</v>
      </c>
      <c r="AK42" s="88">
        <v>1</v>
      </c>
      <c r="AL42" s="88">
        <v>1</v>
      </c>
      <c r="AM42" s="88">
        <v>1</v>
      </c>
      <c r="AN42" s="88">
        <v>1</v>
      </c>
      <c r="AO42" s="88">
        <v>1</v>
      </c>
      <c r="AP42" s="88">
        <v>1</v>
      </c>
      <c r="AQ42" s="88">
        <v>1</v>
      </c>
      <c r="AR42" s="88">
        <v>1</v>
      </c>
      <c r="AS42" s="88">
        <v>1</v>
      </c>
      <c r="AT42" s="88">
        <v>1</v>
      </c>
      <c r="AU42" s="88">
        <v>1</v>
      </c>
      <c r="AV42" s="88">
        <v>1</v>
      </c>
      <c r="AW42" s="88">
        <v>1</v>
      </c>
      <c r="AX42" s="89">
        <v>1</v>
      </c>
      <c r="AZ42" s="223">
        <v>3</v>
      </c>
      <c r="BA42" s="224">
        <v>33</v>
      </c>
      <c r="BF42" s="225"/>
      <c r="BG42" s="124"/>
    </row>
    <row r="43" spans="1:59" s="3" customFormat="1" ht="19" customHeight="1" x14ac:dyDescent="0.2">
      <c r="A43" s="6" t="s">
        <v>184</v>
      </c>
      <c r="B43" s="223">
        <v>4</v>
      </c>
      <c r="C43" s="87">
        <v>1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  <c r="I43" s="88">
        <v>1</v>
      </c>
      <c r="J43" s="88">
        <v>1</v>
      </c>
      <c r="K43" s="88">
        <v>1</v>
      </c>
      <c r="L43" s="88">
        <v>1</v>
      </c>
      <c r="M43" s="88">
        <v>1</v>
      </c>
      <c r="N43" s="88">
        <v>1</v>
      </c>
      <c r="O43" s="88">
        <v>1</v>
      </c>
      <c r="P43" s="88">
        <v>1</v>
      </c>
      <c r="Q43" s="88">
        <v>1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  <c r="X43" s="88">
        <v>0</v>
      </c>
      <c r="Y43" s="88">
        <v>0</v>
      </c>
      <c r="Z43" s="88">
        <v>0</v>
      </c>
      <c r="AA43" s="88">
        <v>0</v>
      </c>
      <c r="AB43" s="88">
        <v>0</v>
      </c>
      <c r="AC43" s="88">
        <v>0</v>
      </c>
      <c r="AD43" s="88">
        <v>0</v>
      </c>
      <c r="AE43" s="88">
        <v>1</v>
      </c>
      <c r="AF43" s="88">
        <v>1</v>
      </c>
      <c r="AG43" s="88">
        <v>1</v>
      </c>
      <c r="AH43" s="88">
        <v>1</v>
      </c>
      <c r="AI43" s="88">
        <v>1</v>
      </c>
      <c r="AJ43" s="88">
        <v>1</v>
      </c>
      <c r="AK43" s="88">
        <v>1</v>
      </c>
      <c r="AL43" s="88">
        <v>1</v>
      </c>
      <c r="AM43" s="88">
        <v>1</v>
      </c>
      <c r="AN43" s="88">
        <v>1</v>
      </c>
      <c r="AO43" s="88">
        <v>1</v>
      </c>
      <c r="AP43" s="88">
        <v>1</v>
      </c>
      <c r="AQ43" s="88">
        <v>1</v>
      </c>
      <c r="AR43" s="88">
        <v>1</v>
      </c>
      <c r="AS43" s="88">
        <v>1</v>
      </c>
      <c r="AT43" s="88">
        <v>0</v>
      </c>
      <c r="AU43" s="88">
        <v>1</v>
      </c>
      <c r="AV43" s="88">
        <v>1</v>
      </c>
      <c r="AW43" s="88">
        <v>1</v>
      </c>
      <c r="AX43" s="89">
        <v>1</v>
      </c>
      <c r="AZ43" s="223">
        <v>4</v>
      </c>
      <c r="BA43" s="224">
        <v>30</v>
      </c>
      <c r="BF43" s="225"/>
      <c r="BG43" s="124"/>
    </row>
    <row r="44" spans="1:59" s="3" customFormat="1" ht="19" customHeight="1" x14ac:dyDescent="0.2">
      <c r="B44" s="223">
        <v>5</v>
      </c>
      <c r="C44" s="87">
        <v>0</v>
      </c>
      <c r="D44" s="88">
        <v>0</v>
      </c>
      <c r="E44" s="88">
        <v>0</v>
      </c>
      <c r="F44" s="88">
        <v>0</v>
      </c>
      <c r="G44" s="88">
        <v>0</v>
      </c>
      <c r="H44" s="88">
        <v>0</v>
      </c>
      <c r="I44" s="88">
        <v>1</v>
      </c>
      <c r="J44" s="88">
        <v>1</v>
      </c>
      <c r="K44" s="88">
        <v>1</v>
      </c>
      <c r="L44" s="88">
        <v>1</v>
      </c>
      <c r="M44" s="88">
        <v>1</v>
      </c>
      <c r="N44" s="88">
        <v>1</v>
      </c>
      <c r="O44" s="88">
        <v>1</v>
      </c>
      <c r="P44" s="88">
        <v>1</v>
      </c>
      <c r="Q44" s="88">
        <v>1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  <c r="X44" s="88">
        <v>0</v>
      </c>
      <c r="Y44" s="88">
        <v>0</v>
      </c>
      <c r="Z44" s="88">
        <v>0</v>
      </c>
      <c r="AA44" s="88">
        <v>0</v>
      </c>
      <c r="AB44" s="88">
        <v>0</v>
      </c>
      <c r="AC44" s="88">
        <v>0</v>
      </c>
      <c r="AD44" s="88">
        <v>0</v>
      </c>
      <c r="AE44" s="88">
        <v>0</v>
      </c>
      <c r="AF44" s="88">
        <v>0</v>
      </c>
      <c r="AG44" s="88">
        <v>0</v>
      </c>
      <c r="AH44" s="88">
        <v>0</v>
      </c>
      <c r="AI44" s="88">
        <v>0</v>
      </c>
      <c r="AJ44" s="88">
        <v>0</v>
      </c>
      <c r="AK44" s="88">
        <v>0</v>
      </c>
      <c r="AL44" s="88">
        <v>0</v>
      </c>
      <c r="AM44" s="88">
        <v>0</v>
      </c>
      <c r="AN44" s="88">
        <v>0</v>
      </c>
      <c r="AO44" s="88">
        <v>0</v>
      </c>
      <c r="AP44" s="88">
        <v>0</v>
      </c>
      <c r="AQ44" s="88">
        <v>0</v>
      </c>
      <c r="AR44" s="88">
        <v>0</v>
      </c>
      <c r="AS44" s="88">
        <v>0</v>
      </c>
      <c r="AT44" s="88">
        <v>0</v>
      </c>
      <c r="AU44" s="88">
        <v>0</v>
      </c>
      <c r="AV44" s="88">
        <v>0</v>
      </c>
      <c r="AW44" s="88">
        <v>0</v>
      </c>
      <c r="AX44" s="89">
        <v>0</v>
      </c>
      <c r="AZ44" s="223">
        <v>5</v>
      </c>
      <c r="BA44" s="224">
        <v>25</v>
      </c>
      <c r="BF44" s="225"/>
      <c r="BG44" s="124"/>
    </row>
    <row r="45" spans="1:59" s="3" customFormat="1" ht="19" customHeight="1" x14ac:dyDescent="0.2">
      <c r="B45" s="223">
        <v>6</v>
      </c>
      <c r="C45" s="87">
        <v>0</v>
      </c>
      <c r="D45" s="88">
        <v>0</v>
      </c>
      <c r="E45" s="88">
        <v>0</v>
      </c>
      <c r="F45" s="88">
        <v>0</v>
      </c>
      <c r="G45" s="88">
        <v>0</v>
      </c>
      <c r="H45" s="88">
        <v>0</v>
      </c>
      <c r="I45" s="88">
        <v>1</v>
      </c>
      <c r="J45" s="88">
        <v>1</v>
      </c>
      <c r="K45" s="88">
        <v>1</v>
      </c>
      <c r="L45" s="88">
        <v>1</v>
      </c>
      <c r="M45" s="88">
        <v>1</v>
      </c>
      <c r="N45" s="88">
        <v>1</v>
      </c>
      <c r="O45" s="88">
        <v>1</v>
      </c>
      <c r="P45" s="88">
        <v>1</v>
      </c>
      <c r="Q45" s="88">
        <v>1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  <c r="X45" s="88">
        <v>0</v>
      </c>
      <c r="Y45" s="88">
        <v>0</v>
      </c>
      <c r="Z45" s="88">
        <v>0</v>
      </c>
      <c r="AA45" s="88">
        <v>0</v>
      </c>
      <c r="AB45" s="88">
        <v>0</v>
      </c>
      <c r="AC45" s="88">
        <v>0</v>
      </c>
      <c r="AD45" s="88">
        <v>0</v>
      </c>
      <c r="AE45" s="88">
        <v>0</v>
      </c>
      <c r="AF45" s="88">
        <v>0</v>
      </c>
      <c r="AG45" s="88">
        <v>0</v>
      </c>
      <c r="AH45" s="88">
        <v>0</v>
      </c>
      <c r="AI45" s="88">
        <v>0</v>
      </c>
      <c r="AJ45" s="88">
        <v>0</v>
      </c>
      <c r="AK45" s="88">
        <v>0</v>
      </c>
      <c r="AL45" s="88">
        <v>0</v>
      </c>
      <c r="AM45" s="88">
        <v>0</v>
      </c>
      <c r="AN45" s="88">
        <v>0</v>
      </c>
      <c r="AO45" s="88">
        <v>0</v>
      </c>
      <c r="AP45" s="88">
        <v>0</v>
      </c>
      <c r="AQ45" s="88">
        <v>0</v>
      </c>
      <c r="AR45" s="88">
        <v>0</v>
      </c>
      <c r="AS45" s="88">
        <v>0</v>
      </c>
      <c r="AT45" s="88">
        <v>0</v>
      </c>
      <c r="AU45" s="88">
        <v>0</v>
      </c>
      <c r="AV45" s="88">
        <v>0</v>
      </c>
      <c r="AW45" s="88">
        <v>0</v>
      </c>
      <c r="AX45" s="89">
        <v>0</v>
      </c>
      <c r="AZ45" s="223">
        <v>6</v>
      </c>
      <c r="BA45" s="224">
        <v>25</v>
      </c>
      <c r="BB45" s="6" t="s">
        <v>151</v>
      </c>
      <c r="BF45" s="225"/>
      <c r="BG45" s="124"/>
    </row>
    <row r="46" spans="1:59" s="3" customFormat="1" ht="18.5" customHeight="1" x14ac:dyDescent="0.2">
      <c r="B46" s="223">
        <v>7</v>
      </c>
      <c r="C46" s="87">
        <v>1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1</v>
      </c>
      <c r="S46" s="88">
        <v>1</v>
      </c>
      <c r="T46" s="88">
        <v>1</v>
      </c>
      <c r="U46" s="88">
        <v>1</v>
      </c>
      <c r="V46" s="88">
        <v>1</v>
      </c>
      <c r="W46" s="88">
        <v>1</v>
      </c>
      <c r="X46" s="88">
        <v>1</v>
      </c>
      <c r="Y46" s="88">
        <v>1</v>
      </c>
      <c r="Z46" s="88">
        <v>1</v>
      </c>
      <c r="AA46" s="88">
        <v>1</v>
      </c>
      <c r="AB46" s="88">
        <v>1</v>
      </c>
      <c r="AC46" s="88">
        <v>1</v>
      </c>
      <c r="AD46" s="88">
        <v>1</v>
      </c>
      <c r="AE46" s="88">
        <v>1</v>
      </c>
      <c r="AF46" s="88">
        <v>1</v>
      </c>
      <c r="AG46" s="88">
        <v>1</v>
      </c>
      <c r="AH46" s="88">
        <v>1</v>
      </c>
      <c r="AI46" s="88">
        <v>1</v>
      </c>
      <c r="AJ46" s="88">
        <v>1</v>
      </c>
      <c r="AK46" s="88">
        <v>1</v>
      </c>
      <c r="AL46" s="88">
        <v>1</v>
      </c>
      <c r="AM46" s="88">
        <v>1</v>
      </c>
      <c r="AN46" s="88">
        <v>1</v>
      </c>
      <c r="AO46" s="88">
        <v>1</v>
      </c>
      <c r="AP46" s="88">
        <v>1</v>
      </c>
      <c r="AQ46" s="88">
        <v>1</v>
      </c>
      <c r="AR46" s="88">
        <v>1</v>
      </c>
      <c r="AS46" s="88">
        <v>1</v>
      </c>
      <c r="AT46" s="88">
        <v>1</v>
      </c>
      <c r="AU46" s="88">
        <v>1</v>
      </c>
      <c r="AV46" s="88">
        <v>1</v>
      </c>
      <c r="AW46" s="88">
        <v>1</v>
      </c>
      <c r="AX46" s="89">
        <v>1</v>
      </c>
      <c r="AZ46" s="223">
        <v>7</v>
      </c>
      <c r="BA46" s="224">
        <v>33</v>
      </c>
      <c r="BB46" s="226"/>
      <c r="BF46" s="225"/>
      <c r="BG46" s="124"/>
    </row>
    <row r="47" spans="1:59" s="3" customFormat="1" ht="18" customHeight="1" x14ac:dyDescent="0.2">
      <c r="B47" s="223">
        <v>8</v>
      </c>
      <c r="C47" s="87">
        <v>1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1</v>
      </c>
      <c r="S47" s="88">
        <v>1</v>
      </c>
      <c r="T47" s="88">
        <v>1</v>
      </c>
      <c r="U47" s="88">
        <v>1</v>
      </c>
      <c r="V47" s="88">
        <v>1</v>
      </c>
      <c r="W47" s="88">
        <v>1</v>
      </c>
      <c r="X47" s="88">
        <v>1</v>
      </c>
      <c r="Y47" s="88">
        <v>1</v>
      </c>
      <c r="Z47" s="88">
        <v>1</v>
      </c>
      <c r="AA47" s="88">
        <v>1</v>
      </c>
      <c r="AB47" s="88">
        <v>1</v>
      </c>
      <c r="AC47" s="88">
        <v>1</v>
      </c>
      <c r="AD47" s="88">
        <v>1</v>
      </c>
      <c r="AE47" s="88">
        <v>1</v>
      </c>
      <c r="AF47" s="88">
        <v>1</v>
      </c>
      <c r="AG47" s="88">
        <v>1</v>
      </c>
      <c r="AH47" s="88">
        <v>1</v>
      </c>
      <c r="AI47" s="88">
        <v>1</v>
      </c>
      <c r="AJ47" s="88">
        <v>1</v>
      </c>
      <c r="AK47" s="88">
        <v>1</v>
      </c>
      <c r="AL47" s="88">
        <v>1</v>
      </c>
      <c r="AM47" s="88">
        <v>1</v>
      </c>
      <c r="AN47" s="88">
        <v>1</v>
      </c>
      <c r="AO47" s="88">
        <v>1</v>
      </c>
      <c r="AP47" s="88">
        <v>1</v>
      </c>
      <c r="AQ47" s="88">
        <v>1</v>
      </c>
      <c r="AR47" s="88">
        <v>1</v>
      </c>
      <c r="AS47" s="88">
        <v>1</v>
      </c>
      <c r="AT47" s="88">
        <v>1</v>
      </c>
      <c r="AU47" s="88">
        <v>1</v>
      </c>
      <c r="AV47" s="88">
        <v>1</v>
      </c>
      <c r="AW47" s="88">
        <v>1</v>
      </c>
      <c r="AX47" s="89">
        <v>1</v>
      </c>
      <c r="AZ47" s="223">
        <v>8</v>
      </c>
      <c r="BA47" s="224">
        <v>33</v>
      </c>
      <c r="BB47" s="112"/>
      <c r="BF47" s="225"/>
      <c r="BG47" s="124"/>
    </row>
    <row r="48" spans="1:59" s="3" customFormat="1" ht="18.5" customHeight="1" x14ac:dyDescent="0.2">
      <c r="B48" s="227">
        <v>9</v>
      </c>
      <c r="C48" s="91">
        <v>1</v>
      </c>
      <c r="D48" s="92">
        <v>1</v>
      </c>
      <c r="E48" s="92">
        <v>1</v>
      </c>
      <c r="F48" s="92">
        <v>1</v>
      </c>
      <c r="G48" s="92">
        <v>1</v>
      </c>
      <c r="H48" s="92">
        <v>1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2">
        <v>0</v>
      </c>
      <c r="O48" s="92">
        <v>0</v>
      </c>
      <c r="P48" s="92">
        <v>0</v>
      </c>
      <c r="Q48" s="92">
        <v>0</v>
      </c>
      <c r="R48" s="92">
        <v>1</v>
      </c>
      <c r="S48" s="92">
        <v>1</v>
      </c>
      <c r="T48" s="92">
        <v>1</v>
      </c>
      <c r="U48" s="92">
        <v>1</v>
      </c>
      <c r="V48" s="92">
        <v>1</v>
      </c>
      <c r="W48" s="92">
        <v>1</v>
      </c>
      <c r="X48" s="92">
        <v>1</v>
      </c>
      <c r="Y48" s="92">
        <v>1</v>
      </c>
      <c r="Z48" s="92">
        <v>1</v>
      </c>
      <c r="AA48" s="92">
        <v>1</v>
      </c>
      <c r="AB48" s="92">
        <v>1</v>
      </c>
      <c r="AC48" s="92">
        <v>1</v>
      </c>
      <c r="AD48" s="92">
        <v>1</v>
      </c>
      <c r="AE48" s="92">
        <v>1</v>
      </c>
      <c r="AF48" s="92">
        <v>1</v>
      </c>
      <c r="AG48" s="92">
        <v>1</v>
      </c>
      <c r="AH48" s="92">
        <v>1</v>
      </c>
      <c r="AI48" s="92">
        <v>1</v>
      </c>
      <c r="AJ48" s="92">
        <v>1</v>
      </c>
      <c r="AK48" s="92">
        <v>1</v>
      </c>
      <c r="AL48" s="92">
        <v>1</v>
      </c>
      <c r="AM48" s="92">
        <v>1</v>
      </c>
      <c r="AN48" s="92">
        <v>1</v>
      </c>
      <c r="AO48" s="92">
        <v>1</v>
      </c>
      <c r="AP48" s="92">
        <v>1</v>
      </c>
      <c r="AQ48" s="92">
        <v>1</v>
      </c>
      <c r="AR48" s="92">
        <v>1</v>
      </c>
      <c r="AS48" s="92">
        <v>1</v>
      </c>
      <c r="AT48" s="92">
        <v>1</v>
      </c>
      <c r="AU48" s="92">
        <v>1</v>
      </c>
      <c r="AV48" s="92">
        <v>1</v>
      </c>
      <c r="AW48" s="92">
        <v>1</v>
      </c>
      <c r="AX48" s="93">
        <v>1</v>
      </c>
      <c r="AZ48" s="227">
        <v>9</v>
      </c>
      <c r="BA48" s="228">
        <v>33</v>
      </c>
      <c r="BB48" s="112"/>
      <c r="BF48" s="225"/>
      <c r="BG48" s="124"/>
    </row>
    <row r="49" spans="1:59" s="3" customFormat="1" ht="18.5" customHeight="1" x14ac:dyDescent="0.2">
      <c r="B49" s="229">
        <v>10</v>
      </c>
      <c r="C49" s="230">
        <v>1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1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1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X49" s="231">
        <v>0</v>
      </c>
      <c r="Y49" s="231">
        <v>1</v>
      </c>
      <c r="Z49" s="231">
        <v>0</v>
      </c>
      <c r="AA49" s="231">
        <v>0</v>
      </c>
      <c r="AB49" s="231">
        <v>0</v>
      </c>
      <c r="AC49" s="231">
        <v>0</v>
      </c>
      <c r="AD49" s="231">
        <v>0</v>
      </c>
      <c r="AE49" s="231">
        <v>1</v>
      </c>
      <c r="AF49" s="231">
        <v>0</v>
      </c>
      <c r="AG49" s="231">
        <v>0</v>
      </c>
      <c r="AH49" s="231">
        <v>0</v>
      </c>
      <c r="AI49" s="231">
        <v>0</v>
      </c>
      <c r="AJ49" s="231">
        <v>0</v>
      </c>
      <c r="AK49" s="231">
        <v>0</v>
      </c>
      <c r="AL49" s="231">
        <v>0</v>
      </c>
      <c r="AM49" s="231">
        <v>0</v>
      </c>
      <c r="AN49" s="231">
        <v>0</v>
      </c>
      <c r="AO49" s="231">
        <v>1</v>
      </c>
      <c r="AP49" s="231">
        <v>0</v>
      </c>
      <c r="AQ49" s="231">
        <v>0</v>
      </c>
      <c r="AR49" s="231">
        <v>0</v>
      </c>
      <c r="AS49" s="231">
        <v>0</v>
      </c>
      <c r="AT49" s="231">
        <v>0</v>
      </c>
      <c r="AU49" s="231">
        <v>0</v>
      </c>
      <c r="AV49" s="231">
        <v>0</v>
      </c>
      <c r="AW49" s="231">
        <v>0</v>
      </c>
      <c r="AX49" s="232">
        <v>0</v>
      </c>
      <c r="AZ49" s="229">
        <v>10</v>
      </c>
      <c r="BA49" s="233">
        <v>15</v>
      </c>
      <c r="BB49" s="112"/>
      <c r="BF49" s="225"/>
      <c r="BG49" s="124"/>
    </row>
    <row r="50" spans="1:59" s="3" customFormat="1" ht="18" customHeight="1" x14ac:dyDescent="0.2">
      <c r="B50" s="234">
        <v>11</v>
      </c>
      <c r="C50" s="235">
        <v>0</v>
      </c>
      <c r="D50" s="236">
        <v>1</v>
      </c>
      <c r="E50" s="236">
        <v>0</v>
      </c>
      <c r="F50" s="236">
        <v>0</v>
      </c>
      <c r="G50" s="236">
        <v>0</v>
      </c>
      <c r="H50" s="236">
        <v>0</v>
      </c>
      <c r="I50" s="236">
        <v>0</v>
      </c>
      <c r="J50" s="236">
        <v>0</v>
      </c>
      <c r="K50" s="236">
        <v>0</v>
      </c>
      <c r="L50" s="236">
        <v>0</v>
      </c>
      <c r="M50" s="236">
        <v>1</v>
      </c>
      <c r="N50" s="236">
        <v>0</v>
      </c>
      <c r="O50" s="236">
        <v>0</v>
      </c>
      <c r="P50" s="236">
        <v>0</v>
      </c>
      <c r="Q50" s="236">
        <v>0</v>
      </c>
      <c r="R50" s="236">
        <v>0</v>
      </c>
      <c r="S50" s="236">
        <v>1</v>
      </c>
      <c r="T50" s="236">
        <v>0</v>
      </c>
      <c r="U50" s="236">
        <v>0</v>
      </c>
      <c r="V50" s="236">
        <v>0</v>
      </c>
      <c r="W50" s="236">
        <v>0</v>
      </c>
      <c r="X50" s="236">
        <v>0</v>
      </c>
      <c r="Y50" s="236">
        <v>0</v>
      </c>
      <c r="Z50" s="236">
        <v>1</v>
      </c>
      <c r="AA50" s="236">
        <v>0</v>
      </c>
      <c r="AB50" s="236">
        <v>0</v>
      </c>
      <c r="AC50" s="236">
        <v>0</v>
      </c>
      <c r="AD50" s="236">
        <v>0</v>
      </c>
      <c r="AE50" s="236">
        <v>0</v>
      </c>
      <c r="AF50" s="236">
        <v>1</v>
      </c>
      <c r="AG50" s="236">
        <v>0</v>
      </c>
      <c r="AH50" s="236">
        <v>0</v>
      </c>
      <c r="AI50" s="236">
        <v>0</v>
      </c>
      <c r="AJ50" s="236">
        <v>0</v>
      </c>
      <c r="AK50" s="236">
        <v>0</v>
      </c>
      <c r="AL50" s="236">
        <v>0</v>
      </c>
      <c r="AM50" s="236">
        <v>0</v>
      </c>
      <c r="AN50" s="236">
        <v>0</v>
      </c>
      <c r="AO50" s="236">
        <v>0</v>
      </c>
      <c r="AP50" s="236">
        <v>1</v>
      </c>
      <c r="AQ50" s="236">
        <v>0</v>
      </c>
      <c r="AR50" s="236">
        <v>0</v>
      </c>
      <c r="AS50" s="236">
        <v>0</v>
      </c>
      <c r="AT50" s="236">
        <v>0</v>
      </c>
      <c r="AU50" s="236">
        <v>0</v>
      </c>
      <c r="AV50" s="236">
        <v>0</v>
      </c>
      <c r="AW50" s="236">
        <v>0</v>
      </c>
      <c r="AX50" s="237">
        <v>0</v>
      </c>
      <c r="AZ50" s="234">
        <v>11</v>
      </c>
      <c r="BA50" s="238">
        <v>45</v>
      </c>
      <c r="BB50" s="112"/>
      <c r="BF50" s="225"/>
      <c r="BG50" s="124"/>
    </row>
    <row r="51" spans="1:59" s="3" customFormat="1" ht="18" customHeight="1" x14ac:dyDescent="0.2">
      <c r="B51" s="234">
        <v>12</v>
      </c>
      <c r="C51" s="235">
        <v>0</v>
      </c>
      <c r="D51" s="236">
        <v>0</v>
      </c>
      <c r="E51" s="236">
        <v>0</v>
      </c>
      <c r="F51" s="236">
        <v>0</v>
      </c>
      <c r="G51" s="236">
        <v>0</v>
      </c>
      <c r="H51" s="236">
        <v>0</v>
      </c>
      <c r="I51" s="236">
        <v>0</v>
      </c>
      <c r="J51" s="236">
        <v>0</v>
      </c>
      <c r="K51" s="236">
        <v>0</v>
      </c>
      <c r="L51" s="236">
        <v>0</v>
      </c>
      <c r="M51" s="236">
        <v>0</v>
      </c>
      <c r="N51" s="236">
        <v>0</v>
      </c>
      <c r="O51" s="236">
        <v>0</v>
      </c>
      <c r="P51" s="236">
        <v>0</v>
      </c>
      <c r="Q51" s="236">
        <v>0</v>
      </c>
      <c r="R51" s="236">
        <v>0</v>
      </c>
      <c r="S51" s="236">
        <v>0</v>
      </c>
      <c r="T51" s="236">
        <v>0</v>
      </c>
      <c r="U51" s="236">
        <v>0</v>
      </c>
      <c r="V51" s="236">
        <v>0</v>
      </c>
      <c r="W51" s="236">
        <v>0</v>
      </c>
      <c r="X51" s="236">
        <v>0</v>
      </c>
      <c r="Y51" s="236">
        <v>0</v>
      </c>
      <c r="Z51" s="236">
        <v>0</v>
      </c>
      <c r="AA51" s="236">
        <v>0</v>
      </c>
      <c r="AB51" s="236">
        <v>0</v>
      </c>
      <c r="AC51" s="236">
        <v>0</v>
      </c>
      <c r="AD51" s="236">
        <v>0</v>
      </c>
      <c r="AE51" s="236">
        <v>0</v>
      </c>
      <c r="AF51" s="236">
        <v>0</v>
      </c>
      <c r="AG51" s="236">
        <v>1</v>
      </c>
      <c r="AH51" s="236">
        <v>0</v>
      </c>
      <c r="AI51" s="236">
        <v>0</v>
      </c>
      <c r="AJ51" s="236">
        <v>0</v>
      </c>
      <c r="AK51" s="236">
        <v>0</v>
      </c>
      <c r="AL51" s="236">
        <v>0</v>
      </c>
      <c r="AM51" s="236">
        <v>0</v>
      </c>
      <c r="AN51" s="236">
        <v>0</v>
      </c>
      <c r="AO51" s="236">
        <v>0</v>
      </c>
      <c r="AP51" s="236">
        <v>0</v>
      </c>
      <c r="AQ51" s="236">
        <v>0</v>
      </c>
      <c r="AR51" s="236">
        <v>0</v>
      </c>
      <c r="AS51" s="236">
        <v>0</v>
      </c>
      <c r="AT51" s="236">
        <v>0</v>
      </c>
      <c r="AU51" s="236">
        <v>0</v>
      </c>
      <c r="AV51" s="236">
        <v>0</v>
      </c>
      <c r="AW51" s="236">
        <v>0</v>
      </c>
      <c r="AX51" s="237">
        <v>0</v>
      </c>
      <c r="AZ51" s="234">
        <v>12</v>
      </c>
      <c r="BA51" s="238">
        <v>38</v>
      </c>
      <c r="BB51" s="112"/>
      <c r="BF51" s="225"/>
      <c r="BG51" s="124"/>
    </row>
    <row r="52" spans="1:59" s="3" customFormat="1" ht="18.5" customHeight="1" x14ac:dyDescent="0.2">
      <c r="B52" s="234">
        <v>13</v>
      </c>
      <c r="C52" s="235">
        <v>0</v>
      </c>
      <c r="D52" s="236">
        <v>0</v>
      </c>
      <c r="E52" s="236">
        <v>1</v>
      </c>
      <c r="F52" s="236">
        <v>0</v>
      </c>
      <c r="G52" s="236">
        <v>0</v>
      </c>
      <c r="H52" s="236">
        <v>0</v>
      </c>
      <c r="I52" s="236">
        <v>1</v>
      </c>
      <c r="J52" s="236">
        <v>0</v>
      </c>
      <c r="K52" s="236">
        <v>0</v>
      </c>
      <c r="L52" s="236">
        <v>0</v>
      </c>
      <c r="M52" s="236">
        <v>0</v>
      </c>
      <c r="N52" s="236">
        <v>1</v>
      </c>
      <c r="O52" s="236">
        <v>0</v>
      </c>
      <c r="P52" s="236">
        <v>0</v>
      </c>
      <c r="Q52" s="236">
        <v>0</v>
      </c>
      <c r="R52" s="236">
        <v>0</v>
      </c>
      <c r="S52" s="236">
        <v>0</v>
      </c>
      <c r="T52" s="236">
        <v>1</v>
      </c>
      <c r="U52" s="236">
        <v>0</v>
      </c>
      <c r="V52" s="236">
        <v>0</v>
      </c>
      <c r="W52" s="236">
        <v>0</v>
      </c>
      <c r="X52" s="236">
        <v>0</v>
      </c>
      <c r="Y52" s="236">
        <v>0</v>
      </c>
      <c r="Z52" s="236">
        <v>0</v>
      </c>
      <c r="AA52" s="236">
        <v>1</v>
      </c>
      <c r="AB52" s="236">
        <v>0</v>
      </c>
      <c r="AC52" s="236">
        <v>0</v>
      </c>
      <c r="AD52" s="236">
        <v>0</v>
      </c>
      <c r="AE52" s="236">
        <v>0</v>
      </c>
      <c r="AF52" s="236">
        <v>0</v>
      </c>
      <c r="AG52" s="236">
        <v>0</v>
      </c>
      <c r="AH52" s="236">
        <v>1</v>
      </c>
      <c r="AI52" s="236">
        <v>0</v>
      </c>
      <c r="AJ52" s="236">
        <v>0</v>
      </c>
      <c r="AK52" s="236">
        <v>0</v>
      </c>
      <c r="AL52" s="236">
        <v>0</v>
      </c>
      <c r="AM52" s="236">
        <v>0</v>
      </c>
      <c r="AN52" s="236">
        <v>0</v>
      </c>
      <c r="AO52" s="236">
        <v>0</v>
      </c>
      <c r="AP52" s="236">
        <v>0</v>
      </c>
      <c r="AQ52" s="236">
        <v>1</v>
      </c>
      <c r="AR52" s="236">
        <v>0</v>
      </c>
      <c r="AS52" s="236">
        <v>0</v>
      </c>
      <c r="AT52" s="236">
        <v>1</v>
      </c>
      <c r="AU52" s="236">
        <v>1</v>
      </c>
      <c r="AV52" s="236">
        <v>0</v>
      </c>
      <c r="AW52" s="236">
        <v>0</v>
      </c>
      <c r="AX52" s="237">
        <v>1</v>
      </c>
      <c r="AZ52" s="234">
        <v>13</v>
      </c>
      <c r="BA52" s="238">
        <v>30</v>
      </c>
      <c r="BB52" s="239"/>
      <c r="BF52" s="225"/>
      <c r="BG52" s="124"/>
    </row>
    <row r="53" spans="1:59" s="3" customFormat="1" ht="19" customHeight="1" x14ac:dyDescent="0.2">
      <c r="A53" s="240" t="s">
        <v>185</v>
      </c>
      <c r="B53" s="234">
        <v>14</v>
      </c>
      <c r="C53" s="235">
        <v>0</v>
      </c>
      <c r="D53" s="236">
        <v>0</v>
      </c>
      <c r="E53" s="236">
        <v>0</v>
      </c>
      <c r="F53" s="236">
        <v>0</v>
      </c>
      <c r="G53" s="236">
        <v>0</v>
      </c>
      <c r="H53" s="236">
        <v>0</v>
      </c>
      <c r="I53" s="236">
        <v>0</v>
      </c>
      <c r="J53" s="236">
        <v>0</v>
      </c>
      <c r="K53" s="236">
        <v>0</v>
      </c>
      <c r="L53" s="236">
        <v>0</v>
      </c>
      <c r="M53" s="236">
        <v>0</v>
      </c>
      <c r="N53" s="236">
        <v>0</v>
      </c>
      <c r="O53" s="236">
        <v>0</v>
      </c>
      <c r="P53" s="236">
        <v>0</v>
      </c>
      <c r="Q53" s="236">
        <v>0</v>
      </c>
      <c r="R53" s="236">
        <v>0</v>
      </c>
      <c r="S53" s="236">
        <v>0</v>
      </c>
      <c r="T53" s="236">
        <v>0</v>
      </c>
      <c r="U53" s="236">
        <v>1</v>
      </c>
      <c r="V53" s="236">
        <v>0</v>
      </c>
      <c r="W53" s="236">
        <v>0</v>
      </c>
      <c r="X53" s="236">
        <v>0</v>
      </c>
      <c r="Y53" s="236">
        <v>0</v>
      </c>
      <c r="Z53" s="236">
        <v>0</v>
      </c>
      <c r="AA53" s="236">
        <v>0</v>
      </c>
      <c r="AB53" s="236">
        <v>0</v>
      </c>
      <c r="AC53" s="236">
        <v>0</v>
      </c>
      <c r="AD53" s="236">
        <v>0</v>
      </c>
      <c r="AE53" s="236">
        <v>0</v>
      </c>
      <c r="AF53" s="236">
        <v>0</v>
      </c>
      <c r="AG53" s="236">
        <v>0</v>
      </c>
      <c r="AH53" s="236">
        <v>0</v>
      </c>
      <c r="AI53" s="236">
        <v>1</v>
      </c>
      <c r="AJ53" s="236">
        <v>0</v>
      </c>
      <c r="AK53" s="236">
        <v>0</v>
      </c>
      <c r="AL53" s="236">
        <v>0</v>
      </c>
      <c r="AM53" s="236">
        <v>0</v>
      </c>
      <c r="AN53" s="236">
        <v>0</v>
      </c>
      <c r="AO53" s="236">
        <v>0</v>
      </c>
      <c r="AP53" s="236">
        <v>0</v>
      </c>
      <c r="AQ53" s="236">
        <v>0</v>
      </c>
      <c r="AR53" s="236">
        <v>0</v>
      </c>
      <c r="AS53" s="236">
        <v>0</v>
      </c>
      <c r="AT53" s="236">
        <v>0</v>
      </c>
      <c r="AU53" s="236">
        <v>0</v>
      </c>
      <c r="AV53" s="236">
        <v>0</v>
      </c>
      <c r="AW53" s="236">
        <v>0</v>
      </c>
      <c r="AX53" s="237">
        <v>0</v>
      </c>
      <c r="AZ53" s="234">
        <v>14</v>
      </c>
      <c r="BA53" s="238">
        <v>23</v>
      </c>
      <c r="BB53" s="240" t="s">
        <v>161</v>
      </c>
      <c r="BF53" s="225"/>
      <c r="BG53" s="124"/>
    </row>
    <row r="54" spans="1:59" s="3" customFormat="1" ht="18.5" customHeight="1" x14ac:dyDescent="0.2">
      <c r="B54" s="234">
        <v>15</v>
      </c>
      <c r="C54" s="235">
        <v>0</v>
      </c>
      <c r="D54" s="236">
        <v>0</v>
      </c>
      <c r="E54" s="236">
        <v>0</v>
      </c>
      <c r="F54" s="236">
        <v>1</v>
      </c>
      <c r="G54" s="236">
        <v>0</v>
      </c>
      <c r="H54" s="236">
        <v>0</v>
      </c>
      <c r="I54" s="236">
        <v>0</v>
      </c>
      <c r="J54" s="236">
        <v>0</v>
      </c>
      <c r="K54" s="236">
        <v>0</v>
      </c>
      <c r="L54" s="236">
        <v>0</v>
      </c>
      <c r="M54" s="236">
        <v>0</v>
      </c>
      <c r="N54" s="236">
        <v>0</v>
      </c>
      <c r="O54" s="236">
        <v>1</v>
      </c>
      <c r="P54" s="236">
        <v>0</v>
      </c>
      <c r="Q54" s="236">
        <v>0</v>
      </c>
      <c r="R54" s="236">
        <v>0</v>
      </c>
      <c r="S54" s="236">
        <v>0</v>
      </c>
      <c r="T54" s="236">
        <v>0</v>
      </c>
      <c r="U54" s="236">
        <v>0</v>
      </c>
      <c r="V54" s="236">
        <v>1</v>
      </c>
      <c r="W54" s="236">
        <v>0</v>
      </c>
      <c r="X54" s="236">
        <v>0</v>
      </c>
      <c r="Y54" s="236">
        <v>0</v>
      </c>
      <c r="Z54" s="236">
        <v>0</v>
      </c>
      <c r="AA54" s="236">
        <v>0</v>
      </c>
      <c r="AB54" s="236">
        <v>1</v>
      </c>
      <c r="AC54" s="236">
        <v>0</v>
      </c>
      <c r="AD54" s="236">
        <v>0</v>
      </c>
      <c r="AE54" s="236">
        <v>0</v>
      </c>
      <c r="AF54" s="236">
        <v>0</v>
      </c>
      <c r="AG54" s="236">
        <v>0</v>
      </c>
      <c r="AH54" s="236">
        <v>0</v>
      </c>
      <c r="AI54" s="236">
        <v>0</v>
      </c>
      <c r="AJ54" s="236">
        <v>1</v>
      </c>
      <c r="AK54" s="236">
        <v>0</v>
      </c>
      <c r="AL54" s="236">
        <v>0</v>
      </c>
      <c r="AM54" s="236">
        <v>0</v>
      </c>
      <c r="AN54" s="236">
        <v>0</v>
      </c>
      <c r="AO54" s="236">
        <v>0</v>
      </c>
      <c r="AP54" s="236">
        <v>0</v>
      </c>
      <c r="AQ54" s="236">
        <v>0</v>
      </c>
      <c r="AR54" s="236">
        <v>0</v>
      </c>
      <c r="AS54" s="236">
        <v>0</v>
      </c>
      <c r="AT54" s="236">
        <v>0</v>
      </c>
      <c r="AU54" s="236">
        <v>0</v>
      </c>
      <c r="AV54" s="236">
        <v>0</v>
      </c>
      <c r="AW54" s="236">
        <v>0</v>
      </c>
      <c r="AX54" s="237">
        <v>0</v>
      </c>
      <c r="AZ54" s="234">
        <v>15</v>
      </c>
      <c r="BA54" s="238">
        <v>47</v>
      </c>
      <c r="BB54" s="226"/>
      <c r="BF54" s="225"/>
      <c r="BG54" s="124"/>
    </row>
    <row r="55" spans="1:59" s="3" customFormat="1" ht="18" customHeight="1" x14ac:dyDescent="0.2">
      <c r="B55" s="234">
        <v>16</v>
      </c>
      <c r="C55" s="235">
        <v>0</v>
      </c>
      <c r="D55" s="236">
        <v>0</v>
      </c>
      <c r="E55" s="236">
        <v>0</v>
      </c>
      <c r="F55" s="236">
        <v>0</v>
      </c>
      <c r="G55" s="236">
        <v>1</v>
      </c>
      <c r="H55" s="236">
        <v>0</v>
      </c>
      <c r="I55" s="236">
        <v>0</v>
      </c>
      <c r="J55" s="236">
        <v>1</v>
      </c>
      <c r="K55" s="236">
        <v>0</v>
      </c>
      <c r="L55" s="236">
        <v>0</v>
      </c>
      <c r="M55" s="236">
        <v>0</v>
      </c>
      <c r="N55" s="236">
        <v>0</v>
      </c>
      <c r="O55" s="236">
        <v>0</v>
      </c>
      <c r="P55" s="236">
        <v>1</v>
      </c>
      <c r="Q55" s="236">
        <v>0</v>
      </c>
      <c r="R55" s="236">
        <v>0</v>
      </c>
      <c r="S55" s="236">
        <v>0</v>
      </c>
      <c r="T55" s="236">
        <v>0</v>
      </c>
      <c r="U55" s="236">
        <v>0</v>
      </c>
      <c r="V55" s="236">
        <v>0</v>
      </c>
      <c r="W55" s="236">
        <v>1</v>
      </c>
      <c r="X55" s="236">
        <v>0</v>
      </c>
      <c r="Y55" s="236">
        <v>0</v>
      </c>
      <c r="Z55" s="236">
        <v>0</v>
      </c>
      <c r="AA55" s="236">
        <v>0</v>
      </c>
      <c r="AB55" s="236">
        <v>0</v>
      </c>
      <c r="AC55" s="236">
        <v>1</v>
      </c>
      <c r="AD55" s="236">
        <v>0</v>
      </c>
      <c r="AE55" s="236">
        <v>0</v>
      </c>
      <c r="AF55" s="236">
        <v>0</v>
      </c>
      <c r="AG55" s="236">
        <v>0</v>
      </c>
      <c r="AH55" s="236">
        <v>0</v>
      </c>
      <c r="AI55" s="236">
        <v>0</v>
      </c>
      <c r="AJ55" s="236">
        <v>0</v>
      </c>
      <c r="AK55" s="236">
        <v>1</v>
      </c>
      <c r="AL55" s="236">
        <v>0</v>
      </c>
      <c r="AM55" s="236">
        <v>0</v>
      </c>
      <c r="AN55" s="236">
        <v>0</v>
      </c>
      <c r="AO55" s="236">
        <v>0</v>
      </c>
      <c r="AP55" s="236">
        <v>0</v>
      </c>
      <c r="AQ55" s="236">
        <v>0</v>
      </c>
      <c r="AR55" s="236">
        <v>1</v>
      </c>
      <c r="AS55" s="236">
        <v>0</v>
      </c>
      <c r="AT55" s="236">
        <v>0</v>
      </c>
      <c r="AU55" s="236">
        <v>0</v>
      </c>
      <c r="AV55" s="236">
        <v>1</v>
      </c>
      <c r="AW55" s="236">
        <v>0</v>
      </c>
      <c r="AX55" s="237">
        <v>0</v>
      </c>
      <c r="AZ55" s="234">
        <v>16</v>
      </c>
      <c r="BA55" s="238">
        <v>20</v>
      </c>
      <c r="BB55" s="112"/>
      <c r="BF55" s="225"/>
      <c r="BG55" s="124"/>
    </row>
    <row r="56" spans="1:59" s="3" customFormat="1" ht="18" customHeight="1" x14ac:dyDescent="0.2">
      <c r="B56" s="234">
        <v>17</v>
      </c>
      <c r="C56" s="235">
        <v>0</v>
      </c>
      <c r="D56" s="236">
        <v>0</v>
      </c>
      <c r="E56" s="236">
        <v>0</v>
      </c>
      <c r="F56" s="236">
        <v>0</v>
      </c>
      <c r="G56" s="236">
        <v>0</v>
      </c>
      <c r="H56" s="236">
        <v>0</v>
      </c>
      <c r="I56" s="236">
        <v>0</v>
      </c>
      <c r="J56" s="236">
        <v>0</v>
      </c>
      <c r="K56" s="236">
        <v>0</v>
      </c>
      <c r="L56" s="236">
        <v>0</v>
      </c>
      <c r="M56" s="236">
        <v>0</v>
      </c>
      <c r="N56" s="236">
        <v>0</v>
      </c>
      <c r="O56" s="236">
        <v>0</v>
      </c>
      <c r="P56" s="236">
        <v>0</v>
      </c>
      <c r="Q56" s="236">
        <v>0</v>
      </c>
      <c r="R56" s="236">
        <v>0</v>
      </c>
      <c r="S56" s="236">
        <v>0</v>
      </c>
      <c r="T56" s="236">
        <v>0</v>
      </c>
      <c r="U56" s="236">
        <v>0</v>
      </c>
      <c r="V56" s="236">
        <v>0</v>
      </c>
      <c r="W56" s="236">
        <v>0</v>
      </c>
      <c r="X56" s="236">
        <v>0</v>
      </c>
      <c r="Y56" s="236">
        <v>0</v>
      </c>
      <c r="Z56" s="236">
        <v>0</v>
      </c>
      <c r="AA56" s="236">
        <v>0</v>
      </c>
      <c r="AB56" s="236">
        <v>0</v>
      </c>
      <c r="AC56" s="236">
        <v>0</v>
      </c>
      <c r="AD56" s="236">
        <v>0</v>
      </c>
      <c r="AE56" s="236">
        <v>0</v>
      </c>
      <c r="AF56" s="236">
        <v>0</v>
      </c>
      <c r="AG56" s="236">
        <v>0</v>
      </c>
      <c r="AH56" s="236">
        <v>0</v>
      </c>
      <c r="AI56" s="236">
        <v>0</v>
      </c>
      <c r="AJ56" s="236">
        <v>0</v>
      </c>
      <c r="AK56" s="236">
        <v>0</v>
      </c>
      <c r="AL56" s="236">
        <v>1</v>
      </c>
      <c r="AM56" s="236">
        <v>0</v>
      </c>
      <c r="AN56" s="236">
        <v>0</v>
      </c>
      <c r="AO56" s="236">
        <v>0</v>
      </c>
      <c r="AP56" s="236">
        <v>0</v>
      </c>
      <c r="AQ56" s="236">
        <v>0</v>
      </c>
      <c r="AR56" s="236">
        <v>0</v>
      </c>
      <c r="AS56" s="236">
        <v>0</v>
      </c>
      <c r="AT56" s="236">
        <v>0</v>
      </c>
      <c r="AU56" s="236">
        <v>0</v>
      </c>
      <c r="AV56" s="236">
        <v>0</v>
      </c>
      <c r="AW56" s="236">
        <v>0</v>
      </c>
      <c r="AX56" s="237">
        <v>0</v>
      </c>
      <c r="AZ56" s="234">
        <v>17</v>
      </c>
      <c r="BA56" s="238">
        <v>15</v>
      </c>
      <c r="BB56" s="112"/>
      <c r="BF56" s="225"/>
      <c r="BG56" s="124"/>
    </row>
    <row r="57" spans="1:59" s="3" customFormat="1" ht="18" customHeight="1" x14ac:dyDescent="0.2">
      <c r="B57" s="234">
        <v>18</v>
      </c>
      <c r="C57" s="235">
        <v>0</v>
      </c>
      <c r="D57" s="236">
        <v>0</v>
      </c>
      <c r="E57" s="236">
        <v>0</v>
      </c>
      <c r="F57" s="236">
        <v>0</v>
      </c>
      <c r="G57" s="236">
        <v>0</v>
      </c>
      <c r="H57" s="236">
        <v>1</v>
      </c>
      <c r="I57" s="236">
        <v>0</v>
      </c>
      <c r="J57" s="236">
        <v>0</v>
      </c>
      <c r="K57" s="236">
        <v>1</v>
      </c>
      <c r="L57" s="236">
        <v>0</v>
      </c>
      <c r="M57" s="236">
        <v>0</v>
      </c>
      <c r="N57" s="236">
        <v>0</v>
      </c>
      <c r="O57" s="236">
        <v>0</v>
      </c>
      <c r="P57" s="236">
        <v>0</v>
      </c>
      <c r="Q57" s="236">
        <v>1</v>
      </c>
      <c r="R57" s="236">
        <v>0</v>
      </c>
      <c r="S57" s="236">
        <v>0</v>
      </c>
      <c r="T57" s="236">
        <v>0</v>
      </c>
      <c r="U57" s="236">
        <v>0</v>
      </c>
      <c r="V57" s="236">
        <v>0</v>
      </c>
      <c r="W57" s="236">
        <v>0</v>
      </c>
      <c r="X57" s="236">
        <v>1</v>
      </c>
      <c r="Y57" s="236">
        <v>0</v>
      </c>
      <c r="Z57" s="236">
        <v>0</v>
      </c>
      <c r="AA57" s="236">
        <v>0</v>
      </c>
      <c r="AB57" s="236">
        <v>0</v>
      </c>
      <c r="AC57" s="236">
        <v>0</v>
      </c>
      <c r="AD57" s="236">
        <v>1</v>
      </c>
      <c r="AE57" s="236">
        <v>0</v>
      </c>
      <c r="AF57" s="236">
        <v>0</v>
      </c>
      <c r="AG57" s="236">
        <v>0</v>
      </c>
      <c r="AH57" s="236">
        <v>0</v>
      </c>
      <c r="AI57" s="236">
        <v>0</v>
      </c>
      <c r="AJ57" s="236">
        <v>0</v>
      </c>
      <c r="AK57" s="236">
        <v>0</v>
      </c>
      <c r="AL57" s="236">
        <v>0</v>
      </c>
      <c r="AM57" s="236">
        <v>1</v>
      </c>
      <c r="AN57" s="236">
        <v>0</v>
      </c>
      <c r="AO57" s="236">
        <v>0</v>
      </c>
      <c r="AP57" s="236">
        <v>0</v>
      </c>
      <c r="AQ57" s="236">
        <v>0</v>
      </c>
      <c r="AR57" s="236">
        <v>0</v>
      </c>
      <c r="AS57" s="236">
        <v>1</v>
      </c>
      <c r="AT57" s="236">
        <v>0</v>
      </c>
      <c r="AU57" s="236">
        <v>0</v>
      </c>
      <c r="AV57" s="236">
        <v>0</v>
      </c>
      <c r="AW57" s="236">
        <v>1</v>
      </c>
      <c r="AX57" s="237">
        <v>0</v>
      </c>
      <c r="AZ57" s="234">
        <v>18</v>
      </c>
      <c r="BA57" s="238">
        <v>90</v>
      </c>
      <c r="BB57" s="112"/>
      <c r="BF57" s="225"/>
      <c r="BG57" s="124"/>
    </row>
    <row r="58" spans="1:59" s="3" customFormat="1" ht="18.5" customHeight="1" x14ac:dyDescent="0.2">
      <c r="B58" s="241">
        <v>19</v>
      </c>
      <c r="C58" s="242">
        <v>0</v>
      </c>
      <c r="D58" s="243">
        <v>0</v>
      </c>
      <c r="E58" s="243">
        <v>0</v>
      </c>
      <c r="F58" s="243">
        <v>0</v>
      </c>
      <c r="G58" s="243">
        <v>0</v>
      </c>
      <c r="H58" s="243">
        <v>0</v>
      </c>
      <c r="I58" s="243">
        <v>0</v>
      </c>
      <c r="J58" s="243">
        <v>0</v>
      </c>
      <c r="K58" s="243">
        <v>0</v>
      </c>
      <c r="L58" s="243">
        <v>0</v>
      </c>
      <c r="M58" s="243">
        <v>0</v>
      </c>
      <c r="N58" s="243">
        <v>0</v>
      </c>
      <c r="O58" s="243">
        <v>0</v>
      </c>
      <c r="P58" s="243">
        <v>0</v>
      </c>
      <c r="Q58" s="243">
        <v>0</v>
      </c>
      <c r="R58" s="243">
        <v>0</v>
      </c>
      <c r="S58" s="243">
        <v>0</v>
      </c>
      <c r="T58" s="243">
        <v>0</v>
      </c>
      <c r="U58" s="243">
        <v>0</v>
      </c>
      <c r="V58" s="243">
        <v>0</v>
      </c>
      <c r="W58" s="243">
        <v>0</v>
      </c>
      <c r="X58" s="243">
        <v>0</v>
      </c>
      <c r="Y58" s="243">
        <v>0</v>
      </c>
      <c r="Z58" s="243">
        <v>0</v>
      </c>
      <c r="AA58" s="243">
        <v>0</v>
      </c>
      <c r="AB58" s="243">
        <v>0</v>
      </c>
      <c r="AC58" s="243">
        <v>0</v>
      </c>
      <c r="AD58" s="243">
        <v>0</v>
      </c>
      <c r="AE58" s="243">
        <v>0</v>
      </c>
      <c r="AF58" s="243">
        <v>0</v>
      </c>
      <c r="AG58" s="243">
        <v>0</v>
      </c>
      <c r="AH58" s="243">
        <v>0</v>
      </c>
      <c r="AI58" s="243">
        <v>0</v>
      </c>
      <c r="AJ58" s="243">
        <v>0</v>
      </c>
      <c r="AK58" s="243">
        <v>0</v>
      </c>
      <c r="AL58" s="243">
        <v>0</v>
      </c>
      <c r="AM58" s="243">
        <v>0</v>
      </c>
      <c r="AN58" s="243">
        <v>1</v>
      </c>
      <c r="AO58" s="243">
        <v>0</v>
      </c>
      <c r="AP58" s="243">
        <v>0</v>
      </c>
      <c r="AQ58" s="243">
        <v>0</v>
      </c>
      <c r="AR58" s="243">
        <v>0</v>
      </c>
      <c r="AS58" s="243">
        <v>0</v>
      </c>
      <c r="AT58" s="243">
        <v>0</v>
      </c>
      <c r="AU58" s="243">
        <v>0</v>
      </c>
      <c r="AV58" s="243">
        <v>0</v>
      </c>
      <c r="AW58" s="243">
        <v>0</v>
      </c>
      <c r="AX58" s="244">
        <v>0</v>
      </c>
      <c r="AZ58" s="241">
        <v>19</v>
      </c>
      <c r="BA58" s="245">
        <v>45</v>
      </c>
      <c r="BB58" s="112"/>
      <c r="BF58" s="225"/>
      <c r="BG58" s="124"/>
    </row>
    <row r="59" spans="1:59" s="3" customFormat="1" ht="18.5" customHeight="1" x14ac:dyDescent="0.2">
      <c r="B59" s="246">
        <v>20</v>
      </c>
      <c r="C59" s="247">
        <v>-1</v>
      </c>
      <c r="D59" s="248">
        <v>0</v>
      </c>
      <c r="E59" s="248">
        <v>0</v>
      </c>
      <c r="F59" s="248">
        <v>0</v>
      </c>
      <c r="G59" s="248">
        <v>0</v>
      </c>
      <c r="H59" s="248">
        <v>0</v>
      </c>
      <c r="I59" s="248">
        <v>0</v>
      </c>
      <c r="J59" s="248">
        <v>0</v>
      </c>
      <c r="K59" s="248">
        <v>0</v>
      </c>
      <c r="L59" s="248">
        <v>-1</v>
      </c>
      <c r="M59" s="248">
        <v>0</v>
      </c>
      <c r="N59" s="248">
        <v>0</v>
      </c>
      <c r="O59" s="248">
        <v>0</v>
      </c>
      <c r="P59" s="248">
        <v>0</v>
      </c>
      <c r="Q59" s="248">
        <v>0</v>
      </c>
      <c r="R59" s="248">
        <v>-1</v>
      </c>
      <c r="S59" s="248">
        <v>0</v>
      </c>
      <c r="T59" s="248">
        <v>0</v>
      </c>
      <c r="U59" s="248">
        <v>0</v>
      </c>
      <c r="V59" s="248">
        <v>0</v>
      </c>
      <c r="W59" s="248">
        <v>0</v>
      </c>
      <c r="X59" s="248">
        <v>0</v>
      </c>
      <c r="Y59" s="248">
        <v>-1</v>
      </c>
      <c r="Z59" s="248">
        <v>0</v>
      </c>
      <c r="AA59" s="248">
        <v>0</v>
      </c>
      <c r="AB59" s="248">
        <v>0</v>
      </c>
      <c r="AC59" s="248">
        <v>0</v>
      </c>
      <c r="AD59" s="248">
        <v>0</v>
      </c>
      <c r="AE59" s="248">
        <v>-1</v>
      </c>
      <c r="AF59" s="248">
        <v>0</v>
      </c>
      <c r="AG59" s="248">
        <v>0</v>
      </c>
      <c r="AH59" s="248">
        <v>0</v>
      </c>
      <c r="AI59" s="248">
        <v>0</v>
      </c>
      <c r="AJ59" s="248">
        <v>0</v>
      </c>
      <c r="AK59" s="248">
        <v>0</v>
      </c>
      <c r="AL59" s="248">
        <v>0</v>
      </c>
      <c r="AM59" s="248">
        <v>0</v>
      </c>
      <c r="AN59" s="248">
        <v>0</v>
      </c>
      <c r="AO59" s="248">
        <v>-1</v>
      </c>
      <c r="AP59" s="248">
        <v>0</v>
      </c>
      <c r="AQ59" s="248">
        <v>0</v>
      </c>
      <c r="AR59" s="248">
        <v>0</v>
      </c>
      <c r="AS59" s="248">
        <v>0</v>
      </c>
      <c r="AT59" s="248">
        <v>0</v>
      </c>
      <c r="AU59" s="248">
        <v>0</v>
      </c>
      <c r="AV59" s="248">
        <v>0</v>
      </c>
      <c r="AW59" s="248">
        <v>0</v>
      </c>
      <c r="AX59" s="249">
        <v>0</v>
      </c>
      <c r="AZ59" s="246">
        <v>20</v>
      </c>
      <c r="BA59" s="250">
        <v>0</v>
      </c>
      <c r="BF59" s="225"/>
      <c r="BG59" s="124"/>
    </row>
    <row r="60" spans="1:59" s="3" customFormat="1" ht="18" customHeight="1" x14ac:dyDescent="0.2">
      <c r="B60" s="251">
        <v>21</v>
      </c>
      <c r="C60" s="71">
        <v>0</v>
      </c>
      <c r="D60" s="72">
        <v>-1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-1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-1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-1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-1</v>
      </c>
      <c r="AG60" s="72">
        <v>0</v>
      </c>
      <c r="AH60" s="72">
        <v>0</v>
      </c>
      <c r="AI60" s="72">
        <v>0</v>
      </c>
      <c r="AJ60" s="72">
        <v>0</v>
      </c>
      <c r="AK60" s="72">
        <v>0</v>
      </c>
      <c r="AL60" s="72">
        <v>0</v>
      </c>
      <c r="AM60" s="72">
        <v>0</v>
      </c>
      <c r="AN60" s="72">
        <v>0</v>
      </c>
      <c r="AO60" s="72">
        <v>0</v>
      </c>
      <c r="AP60" s="72">
        <v>-1</v>
      </c>
      <c r="AQ60" s="72">
        <v>0</v>
      </c>
      <c r="AR60" s="72">
        <v>0</v>
      </c>
      <c r="AS60" s="72">
        <v>0</v>
      </c>
      <c r="AT60" s="72">
        <v>0</v>
      </c>
      <c r="AU60" s="72">
        <v>0</v>
      </c>
      <c r="AV60" s="72">
        <v>0</v>
      </c>
      <c r="AW60" s="72">
        <v>0</v>
      </c>
      <c r="AX60" s="73">
        <v>0</v>
      </c>
      <c r="AZ60" s="251">
        <v>21</v>
      </c>
      <c r="BA60" s="252">
        <v>0</v>
      </c>
      <c r="BF60" s="225"/>
      <c r="BG60" s="124"/>
    </row>
    <row r="61" spans="1:59" s="3" customFormat="1" ht="18.5" customHeight="1" x14ac:dyDescent="0.2">
      <c r="B61" s="251">
        <v>22</v>
      </c>
      <c r="C61" s="71">
        <v>0</v>
      </c>
      <c r="D61" s="72">
        <v>0</v>
      </c>
      <c r="E61" s="72">
        <v>0</v>
      </c>
      <c r="F61" s="72">
        <v>0</v>
      </c>
      <c r="G61" s="72">
        <v>0</v>
      </c>
      <c r="H61" s="72">
        <v>0</v>
      </c>
      <c r="I61" s="72">
        <v>0</v>
      </c>
      <c r="J61" s="72">
        <v>0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2">
        <v>0</v>
      </c>
      <c r="AD61" s="72">
        <v>0</v>
      </c>
      <c r="AE61" s="72">
        <v>0</v>
      </c>
      <c r="AF61" s="72">
        <v>0</v>
      </c>
      <c r="AG61" s="72">
        <v>-1</v>
      </c>
      <c r="AH61" s="72">
        <v>0</v>
      </c>
      <c r="AI61" s="72">
        <v>0</v>
      </c>
      <c r="AJ61" s="72">
        <v>0</v>
      </c>
      <c r="AK61" s="72">
        <v>0</v>
      </c>
      <c r="AL61" s="72">
        <v>0</v>
      </c>
      <c r="AM61" s="72">
        <v>0</v>
      </c>
      <c r="AN61" s="72">
        <v>0</v>
      </c>
      <c r="AO61" s="72">
        <v>0</v>
      </c>
      <c r="AP61" s="72">
        <v>0</v>
      </c>
      <c r="AQ61" s="72">
        <v>0</v>
      </c>
      <c r="AR61" s="72">
        <v>0</v>
      </c>
      <c r="AS61" s="72">
        <v>0</v>
      </c>
      <c r="AT61" s="72">
        <v>0</v>
      </c>
      <c r="AU61" s="72">
        <v>0</v>
      </c>
      <c r="AV61" s="72">
        <v>0</v>
      </c>
      <c r="AW61" s="72">
        <v>0</v>
      </c>
      <c r="AX61" s="73">
        <v>0</v>
      </c>
      <c r="AZ61" s="251">
        <v>22</v>
      </c>
      <c r="BA61" s="252">
        <v>0</v>
      </c>
      <c r="BF61" s="225"/>
      <c r="BG61" s="124"/>
    </row>
    <row r="62" spans="1:59" s="3" customFormat="1" ht="19" customHeight="1" x14ac:dyDescent="0.2">
      <c r="A62" s="253" t="s">
        <v>186</v>
      </c>
      <c r="B62" s="251">
        <v>23</v>
      </c>
      <c r="C62" s="71">
        <v>0</v>
      </c>
      <c r="D62" s="72">
        <v>0</v>
      </c>
      <c r="E62" s="72">
        <v>-1</v>
      </c>
      <c r="F62" s="72">
        <v>0</v>
      </c>
      <c r="G62" s="72">
        <v>0</v>
      </c>
      <c r="H62" s="72">
        <v>0</v>
      </c>
      <c r="I62" s="72">
        <v>-1</v>
      </c>
      <c r="J62" s="72">
        <v>0</v>
      </c>
      <c r="K62" s="72">
        <v>0</v>
      </c>
      <c r="L62" s="72">
        <v>0</v>
      </c>
      <c r="M62" s="72">
        <v>0</v>
      </c>
      <c r="N62" s="72">
        <v>-1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-1</v>
      </c>
      <c r="U62" s="72">
        <v>0</v>
      </c>
      <c r="V62" s="72">
        <v>0</v>
      </c>
      <c r="W62" s="72">
        <v>0</v>
      </c>
      <c r="X62" s="72">
        <v>0</v>
      </c>
      <c r="Y62" s="72">
        <v>0</v>
      </c>
      <c r="Z62" s="72">
        <v>0</v>
      </c>
      <c r="AA62" s="72">
        <v>-1</v>
      </c>
      <c r="AB62" s="72">
        <v>0</v>
      </c>
      <c r="AC62" s="72">
        <v>0</v>
      </c>
      <c r="AD62" s="72">
        <v>0</v>
      </c>
      <c r="AE62" s="72">
        <v>0</v>
      </c>
      <c r="AF62" s="72">
        <v>0</v>
      </c>
      <c r="AG62" s="72">
        <v>0</v>
      </c>
      <c r="AH62" s="72">
        <v>-1</v>
      </c>
      <c r="AI62" s="72">
        <v>0</v>
      </c>
      <c r="AJ62" s="72">
        <v>0</v>
      </c>
      <c r="AK62" s="72">
        <v>0</v>
      </c>
      <c r="AL62" s="72">
        <v>0</v>
      </c>
      <c r="AM62" s="72">
        <v>0</v>
      </c>
      <c r="AN62" s="72">
        <v>0</v>
      </c>
      <c r="AO62" s="72">
        <v>0</v>
      </c>
      <c r="AP62" s="72">
        <v>0</v>
      </c>
      <c r="AQ62" s="72">
        <v>-1</v>
      </c>
      <c r="AR62" s="72">
        <v>0</v>
      </c>
      <c r="AS62" s="72">
        <v>0</v>
      </c>
      <c r="AT62" s="72">
        <v>-1</v>
      </c>
      <c r="AU62" s="72">
        <v>-1</v>
      </c>
      <c r="AV62" s="72">
        <v>0</v>
      </c>
      <c r="AW62" s="72">
        <v>0</v>
      </c>
      <c r="AX62" s="73">
        <v>-1</v>
      </c>
      <c r="AZ62" s="251">
        <v>23</v>
      </c>
      <c r="BA62" s="252">
        <v>0</v>
      </c>
      <c r="BF62" s="225"/>
      <c r="BG62" s="124"/>
    </row>
    <row r="63" spans="1:59" s="3" customFormat="1" ht="19" customHeight="1" x14ac:dyDescent="0.2">
      <c r="B63" s="251">
        <v>24</v>
      </c>
      <c r="C63" s="71">
        <v>0</v>
      </c>
      <c r="D63" s="72">
        <v>0</v>
      </c>
      <c r="E63" s="72">
        <v>0</v>
      </c>
      <c r="F63" s="72">
        <v>0</v>
      </c>
      <c r="G63" s="72">
        <v>0</v>
      </c>
      <c r="H63" s="72">
        <v>0</v>
      </c>
      <c r="I63" s="72">
        <v>0</v>
      </c>
      <c r="J63" s="72">
        <v>0</v>
      </c>
      <c r="K63" s="72">
        <v>0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0</v>
      </c>
      <c r="T63" s="72">
        <v>0</v>
      </c>
      <c r="U63" s="72">
        <v>-1</v>
      </c>
      <c r="V63" s="72">
        <v>0</v>
      </c>
      <c r="W63" s="72">
        <v>0</v>
      </c>
      <c r="X63" s="72">
        <v>0</v>
      </c>
      <c r="Y63" s="72">
        <v>0</v>
      </c>
      <c r="Z63" s="72">
        <v>0</v>
      </c>
      <c r="AA63" s="72">
        <v>0</v>
      </c>
      <c r="AB63" s="72">
        <v>0</v>
      </c>
      <c r="AC63" s="72">
        <v>0</v>
      </c>
      <c r="AD63" s="72">
        <v>0</v>
      </c>
      <c r="AE63" s="72">
        <v>0</v>
      </c>
      <c r="AF63" s="72">
        <v>0</v>
      </c>
      <c r="AG63" s="72">
        <v>0</v>
      </c>
      <c r="AH63" s="72">
        <v>0</v>
      </c>
      <c r="AI63" s="72">
        <v>-1</v>
      </c>
      <c r="AJ63" s="72">
        <v>0</v>
      </c>
      <c r="AK63" s="72">
        <v>0</v>
      </c>
      <c r="AL63" s="72">
        <v>0</v>
      </c>
      <c r="AM63" s="72">
        <v>0</v>
      </c>
      <c r="AN63" s="72">
        <v>0</v>
      </c>
      <c r="AO63" s="72">
        <v>0</v>
      </c>
      <c r="AP63" s="72">
        <v>0</v>
      </c>
      <c r="AQ63" s="72">
        <v>0</v>
      </c>
      <c r="AR63" s="72">
        <v>0</v>
      </c>
      <c r="AS63" s="72">
        <v>0</v>
      </c>
      <c r="AT63" s="72">
        <v>0</v>
      </c>
      <c r="AU63" s="72">
        <v>0</v>
      </c>
      <c r="AV63" s="72">
        <v>0</v>
      </c>
      <c r="AW63" s="72">
        <v>0</v>
      </c>
      <c r="AX63" s="73">
        <v>0</v>
      </c>
      <c r="AZ63" s="251">
        <v>24</v>
      </c>
      <c r="BA63" s="252">
        <v>0</v>
      </c>
      <c r="BB63" s="254" t="s">
        <v>187</v>
      </c>
      <c r="BC63" s="255"/>
      <c r="BD63" s="256"/>
      <c r="BF63" s="225"/>
      <c r="BG63" s="124"/>
    </row>
    <row r="64" spans="1:59" s="3" customFormat="1" ht="18.5" customHeight="1" x14ac:dyDescent="0.2">
      <c r="B64" s="251">
        <v>25</v>
      </c>
      <c r="C64" s="71">
        <v>0</v>
      </c>
      <c r="D64" s="72">
        <v>0</v>
      </c>
      <c r="E64" s="72">
        <v>0</v>
      </c>
      <c r="F64" s="72">
        <v>-1</v>
      </c>
      <c r="G64" s="72">
        <v>0</v>
      </c>
      <c r="H64" s="72">
        <v>0</v>
      </c>
      <c r="I64" s="72">
        <v>0</v>
      </c>
      <c r="J64" s="72">
        <v>0</v>
      </c>
      <c r="K64" s="72">
        <v>0</v>
      </c>
      <c r="L64" s="72">
        <v>0</v>
      </c>
      <c r="M64" s="72">
        <v>0</v>
      </c>
      <c r="N64" s="72">
        <v>0</v>
      </c>
      <c r="O64" s="72">
        <v>-1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0</v>
      </c>
      <c r="V64" s="72">
        <v>-1</v>
      </c>
      <c r="W64" s="72">
        <v>0</v>
      </c>
      <c r="X64" s="72">
        <v>0</v>
      </c>
      <c r="Y64" s="72">
        <v>0</v>
      </c>
      <c r="Z64" s="72">
        <v>0</v>
      </c>
      <c r="AA64" s="72">
        <v>0</v>
      </c>
      <c r="AB64" s="72">
        <v>-1</v>
      </c>
      <c r="AC64" s="72">
        <v>0</v>
      </c>
      <c r="AD64" s="72">
        <v>0</v>
      </c>
      <c r="AE64" s="72">
        <v>0</v>
      </c>
      <c r="AF64" s="72">
        <v>0</v>
      </c>
      <c r="AG64" s="72">
        <v>0</v>
      </c>
      <c r="AH64" s="72">
        <v>0</v>
      </c>
      <c r="AI64" s="72">
        <v>0</v>
      </c>
      <c r="AJ64" s="72">
        <v>-1</v>
      </c>
      <c r="AK64" s="72">
        <v>0</v>
      </c>
      <c r="AL64" s="72">
        <v>0</v>
      </c>
      <c r="AM64" s="72">
        <v>0</v>
      </c>
      <c r="AN64" s="72">
        <v>0</v>
      </c>
      <c r="AO64" s="72">
        <v>0</v>
      </c>
      <c r="AP64" s="72">
        <v>0</v>
      </c>
      <c r="AQ64" s="72">
        <v>0</v>
      </c>
      <c r="AR64" s="72">
        <v>0</v>
      </c>
      <c r="AS64" s="72">
        <v>0</v>
      </c>
      <c r="AT64" s="72">
        <v>0</v>
      </c>
      <c r="AU64" s="72">
        <v>0</v>
      </c>
      <c r="AV64" s="72">
        <v>0</v>
      </c>
      <c r="AW64" s="72">
        <v>0</v>
      </c>
      <c r="AX64" s="73">
        <v>0</v>
      </c>
      <c r="AZ64" s="251">
        <v>25</v>
      </c>
      <c r="BA64" s="252">
        <v>0</v>
      </c>
      <c r="BF64" s="225"/>
      <c r="BG64" s="124"/>
    </row>
    <row r="65" spans="1:61" s="3" customFormat="1" ht="18" customHeight="1" x14ac:dyDescent="0.2">
      <c r="B65" s="251">
        <v>26</v>
      </c>
      <c r="C65" s="71">
        <v>0</v>
      </c>
      <c r="D65" s="72">
        <v>0</v>
      </c>
      <c r="E65" s="72">
        <v>0</v>
      </c>
      <c r="F65" s="72">
        <v>0</v>
      </c>
      <c r="G65" s="72">
        <v>-1</v>
      </c>
      <c r="H65" s="72">
        <v>0</v>
      </c>
      <c r="I65" s="72">
        <v>0</v>
      </c>
      <c r="J65" s="72">
        <v>-1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-1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0</v>
      </c>
      <c r="W65" s="72">
        <v>-1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>
        <v>-1</v>
      </c>
      <c r="AD65" s="72">
        <v>0</v>
      </c>
      <c r="AE65" s="72">
        <v>0</v>
      </c>
      <c r="AF65" s="72">
        <v>0</v>
      </c>
      <c r="AG65" s="72">
        <v>0</v>
      </c>
      <c r="AH65" s="72">
        <v>0</v>
      </c>
      <c r="AI65" s="72">
        <v>0</v>
      </c>
      <c r="AJ65" s="72">
        <v>0</v>
      </c>
      <c r="AK65" s="72">
        <v>-1</v>
      </c>
      <c r="AL65" s="72">
        <v>0</v>
      </c>
      <c r="AM65" s="72">
        <v>0</v>
      </c>
      <c r="AN65" s="72">
        <v>0</v>
      </c>
      <c r="AO65" s="72">
        <v>0</v>
      </c>
      <c r="AP65" s="72">
        <v>0</v>
      </c>
      <c r="AQ65" s="72">
        <v>0</v>
      </c>
      <c r="AR65" s="72">
        <v>-1</v>
      </c>
      <c r="AS65" s="72">
        <v>0</v>
      </c>
      <c r="AT65" s="72">
        <v>0</v>
      </c>
      <c r="AU65" s="72">
        <v>0</v>
      </c>
      <c r="AV65" s="72">
        <v>-1</v>
      </c>
      <c r="AW65" s="72">
        <v>0</v>
      </c>
      <c r="AX65" s="73">
        <v>0</v>
      </c>
      <c r="AZ65" s="251">
        <v>26</v>
      </c>
      <c r="BA65" s="252">
        <v>0</v>
      </c>
      <c r="BF65" s="225"/>
      <c r="BG65" s="124"/>
    </row>
    <row r="66" spans="1:61" s="3" customFormat="1" ht="18" customHeight="1" x14ac:dyDescent="0.2">
      <c r="B66" s="251">
        <v>27</v>
      </c>
      <c r="C66" s="71">
        <v>0</v>
      </c>
      <c r="D66" s="72">
        <v>0</v>
      </c>
      <c r="E66" s="72">
        <v>0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>
        <v>0</v>
      </c>
      <c r="AF66" s="72">
        <v>0</v>
      </c>
      <c r="AG66" s="72">
        <v>0</v>
      </c>
      <c r="AH66" s="72">
        <v>0</v>
      </c>
      <c r="AI66" s="72">
        <v>0</v>
      </c>
      <c r="AJ66" s="72">
        <v>0</v>
      </c>
      <c r="AK66" s="72">
        <v>0</v>
      </c>
      <c r="AL66" s="72">
        <v>-1</v>
      </c>
      <c r="AM66" s="72">
        <v>0</v>
      </c>
      <c r="AN66" s="72">
        <v>0</v>
      </c>
      <c r="AO66" s="72">
        <v>0</v>
      </c>
      <c r="AP66" s="72">
        <v>0</v>
      </c>
      <c r="AQ66" s="72">
        <v>0</v>
      </c>
      <c r="AR66" s="72">
        <v>0</v>
      </c>
      <c r="AS66" s="72">
        <v>0</v>
      </c>
      <c r="AT66" s="72">
        <v>0</v>
      </c>
      <c r="AU66" s="72">
        <v>0</v>
      </c>
      <c r="AV66" s="72">
        <v>0</v>
      </c>
      <c r="AW66" s="72">
        <v>0</v>
      </c>
      <c r="AX66" s="73">
        <v>0</v>
      </c>
      <c r="AZ66" s="251">
        <v>27</v>
      </c>
      <c r="BA66" s="252">
        <v>0</v>
      </c>
      <c r="BF66" s="225"/>
      <c r="BG66" s="124"/>
    </row>
    <row r="67" spans="1:61" s="3" customFormat="1" ht="18" customHeight="1" x14ac:dyDescent="0.2">
      <c r="B67" s="251">
        <v>28</v>
      </c>
      <c r="C67" s="71">
        <v>0</v>
      </c>
      <c r="D67" s="72">
        <v>0</v>
      </c>
      <c r="E67" s="72">
        <v>0</v>
      </c>
      <c r="F67" s="72">
        <v>0</v>
      </c>
      <c r="G67" s="72">
        <v>0</v>
      </c>
      <c r="H67" s="72">
        <v>-1</v>
      </c>
      <c r="I67" s="72">
        <v>0</v>
      </c>
      <c r="J67" s="72">
        <v>0</v>
      </c>
      <c r="K67" s="72">
        <v>-1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-1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-1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-1</v>
      </c>
      <c r="AE67" s="72">
        <v>0</v>
      </c>
      <c r="AF67" s="72">
        <v>0</v>
      </c>
      <c r="AG67" s="72">
        <v>0</v>
      </c>
      <c r="AH67" s="72">
        <v>0</v>
      </c>
      <c r="AI67" s="72">
        <v>0</v>
      </c>
      <c r="AJ67" s="72">
        <v>0</v>
      </c>
      <c r="AK67" s="72">
        <v>0</v>
      </c>
      <c r="AL67" s="72">
        <v>0</v>
      </c>
      <c r="AM67" s="72">
        <v>-1</v>
      </c>
      <c r="AN67" s="72">
        <v>0</v>
      </c>
      <c r="AO67" s="72">
        <v>0</v>
      </c>
      <c r="AP67" s="72">
        <v>0</v>
      </c>
      <c r="AQ67" s="72">
        <v>0</v>
      </c>
      <c r="AR67" s="72">
        <v>0</v>
      </c>
      <c r="AS67" s="72">
        <v>-1</v>
      </c>
      <c r="AT67" s="72">
        <v>0</v>
      </c>
      <c r="AU67" s="72">
        <v>0</v>
      </c>
      <c r="AV67" s="72">
        <v>0</v>
      </c>
      <c r="AW67" s="72">
        <v>-1</v>
      </c>
      <c r="AX67" s="73">
        <v>0</v>
      </c>
      <c r="AZ67" s="251">
        <v>28</v>
      </c>
      <c r="BA67" s="252">
        <v>0</v>
      </c>
      <c r="BF67" s="225"/>
      <c r="BG67" s="124"/>
    </row>
    <row r="68" spans="1:61" s="3" customFormat="1" ht="18.5" customHeight="1" x14ac:dyDescent="0.2">
      <c r="B68" s="257">
        <v>29</v>
      </c>
      <c r="C68" s="258">
        <v>0</v>
      </c>
      <c r="D68" s="259">
        <v>0</v>
      </c>
      <c r="E68" s="259">
        <v>0</v>
      </c>
      <c r="F68" s="259">
        <v>0</v>
      </c>
      <c r="G68" s="259">
        <v>0</v>
      </c>
      <c r="H68" s="259">
        <v>0</v>
      </c>
      <c r="I68" s="259">
        <v>0</v>
      </c>
      <c r="J68" s="259">
        <v>0</v>
      </c>
      <c r="K68" s="259">
        <v>0</v>
      </c>
      <c r="L68" s="259">
        <v>0</v>
      </c>
      <c r="M68" s="259">
        <v>0</v>
      </c>
      <c r="N68" s="259">
        <v>0</v>
      </c>
      <c r="O68" s="259">
        <v>0</v>
      </c>
      <c r="P68" s="259">
        <v>0</v>
      </c>
      <c r="Q68" s="259">
        <v>0</v>
      </c>
      <c r="R68" s="259">
        <v>0</v>
      </c>
      <c r="S68" s="259">
        <v>0</v>
      </c>
      <c r="T68" s="259">
        <v>0</v>
      </c>
      <c r="U68" s="259">
        <v>0</v>
      </c>
      <c r="V68" s="259">
        <v>0</v>
      </c>
      <c r="W68" s="259">
        <v>0</v>
      </c>
      <c r="X68" s="259">
        <v>0</v>
      </c>
      <c r="Y68" s="259">
        <v>0</v>
      </c>
      <c r="Z68" s="259">
        <v>0</v>
      </c>
      <c r="AA68" s="259">
        <v>0</v>
      </c>
      <c r="AB68" s="259">
        <v>0</v>
      </c>
      <c r="AC68" s="259">
        <v>0</v>
      </c>
      <c r="AD68" s="259">
        <v>0</v>
      </c>
      <c r="AE68" s="259">
        <v>0</v>
      </c>
      <c r="AF68" s="259">
        <v>0</v>
      </c>
      <c r="AG68" s="259">
        <v>0</v>
      </c>
      <c r="AH68" s="259">
        <v>0</v>
      </c>
      <c r="AI68" s="259">
        <v>0</v>
      </c>
      <c r="AJ68" s="259">
        <v>0</v>
      </c>
      <c r="AK68" s="259">
        <v>0</v>
      </c>
      <c r="AL68" s="259">
        <v>0</v>
      </c>
      <c r="AM68" s="259">
        <v>0</v>
      </c>
      <c r="AN68" s="259">
        <v>-1</v>
      </c>
      <c r="AO68" s="259">
        <v>0</v>
      </c>
      <c r="AP68" s="259">
        <v>0</v>
      </c>
      <c r="AQ68" s="259">
        <v>0</v>
      </c>
      <c r="AR68" s="259">
        <v>0</v>
      </c>
      <c r="AS68" s="259">
        <v>0</v>
      </c>
      <c r="AT68" s="259">
        <v>0</v>
      </c>
      <c r="AU68" s="259">
        <v>0</v>
      </c>
      <c r="AV68" s="259">
        <v>0</v>
      </c>
      <c r="AW68" s="259">
        <v>0</v>
      </c>
      <c r="AX68" s="260">
        <v>0</v>
      </c>
      <c r="AZ68" s="257">
        <v>29</v>
      </c>
      <c r="BA68" s="261">
        <v>0</v>
      </c>
      <c r="BF68" s="225"/>
      <c r="BG68" s="124"/>
    </row>
    <row r="69" spans="1:61" s="3" customFormat="1" ht="18.5" customHeight="1" x14ac:dyDescent="0.2">
      <c r="BI69" s="124"/>
    </row>
    <row r="78" spans="1:61" s="3" customFormat="1" ht="19" customHeight="1" x14ac:dyDescent="0.2">
      <c r="A78" s="4" t="s">
        <v>188</v>
      </c>
    </row>
    <row r="79" spans="1:61" s="3" customFormat="1" ht="19" customHeight="1" x14ac:dyDescent="0.2">
      <c r="A79" s="4" t="s">
        <v>189</v>
      </c>
    </row>
    <row r="80" spans="1:61" s="3" customFormat="1" ht="19" customHeight="1" x14ac:dyDescent="0.2">
      <c r="O80" s="6" t="s">
        <v>190</v>
      </c>
      <c r="P80" s="8" t="s">
        <v>191</v>
      </c>
      <c r="R80" s="4" t="s">
        <v>192</v>
      </c>
    </row>
    <row r="81" spans="1:64" s="3" customFormat="1" ht="19" customHeight="1" x14ac:dyDescent="0.2">
      <c r="A81" s="8" t="s">
        <v>193</v>
      </c>
      <c r="B81" s="4" t="s">
        <v>194</v>
      </c>
      <c r="C81" s="5"/>
      <c r="D81" s="8" t="s">
        <v>195</v>
      </c>
      <c r="Q81" s="9">
        <v>1</v>
      </c>
      <c r="R81" s="10">
        <v>2</v>
      </c>
      <c r="S81" s="10">
        <v>3</v>
      </c>
      <c r="T81" s="10">
        <v>4</v>
      </c>
      <c r="U81" s="10">
        <v>5</v>
      </c>
      <c r="V81" s="10">
        <v>6</v>
      </c>
      <c r="W81" s="10">
        <v>7</v>
      </c>
      <c r="X81" s="10">
        <v>8</v>
      </c>
      <c r="Y81" s="10">
        <v>9</v>
      </c>
      <c r="Z81" s="10">
        <v>10</v>
      </c>
      <c r="AA81" s="10">
        <v>11</v>
      </c>
      <c r="AB81" s="10">
        <v>12</v>
      </c>
      <c r="AC81" s="10">
        <v>13</v>
      </c>
      <c r="AD81" s="10">
        <v>14</v>
      </c>
      <c r="AE81" s="10">
        <v>15</v>
      </c>
      <c r="AF81" s="10">
        <v>16</v>
      </c>
      <c r="AG81" s="10">
        <v>17</v>
      </c>
      <c r="AH81" s="10">
        <v>18</v>
      </c>
      <c r="AI81" s="10">
        <v>19</v>
      </c>
      <c r="AJ81" s="10">
        <v>20</v>
      </c>
      <c r="AK81" s="10">
        <v>21</v>
      </c>
      <c r="AL81" s="10">
        <v>22</v>
      </c>
      <c r="AM81" s="10">
        <v>23</v>
      </c>
      <c r="AN81" s="10">
        <v>24</v>
      </c>
      <c r="AO81" s="10">
        <v>25</v>
      </c>
      <c r="AP81" s="10">
        <v>26</v>
      </c>
      <c r="AQ81" s="10">
        <v>27</v>
      </c>
      <c r="AR81" s="10">
        <v>28</v>
      </c>
      <c r="AS81" s="10">
        <v>29</v>
      </c>
      <c r="AT81" s="10">
        <v>30</v>
      </c>
      <c r="AU81" s="10">
        <v>31</v>
      </c>
      <c r="AV81" s="10">
        <v>32</v>
      </c>
      <c r="AW81" s="10">
        <v>33</v>
      </c>
      <c r="AX81" s="10">
        <v>34</v>
      </c>
      <c r="AY81" s="10">
        <v>35</v>
      </c>
      <c r="AZ81" s="10">
        <v>36</v>
      </c>
      <c r="BA81" s="10">
        <v>37</v>
      </c>
      <c r="BB81" s="10">
        <v>38</v>
      </c>
      <c r="BC81" s="10">
        <v>39</v>
      </c>
      <c r="BD81" s="10">
        <v>40</v>
      </c>
      <c r="BE81" s="10">
        <v>41</v>
      </c>
      <c r="BF81" s="10">
        <v>42</v>
      </c>
      <c r="BG81" s="10">
        <v>43</v>
      </c>
      <c r="BH81" s="10">
        <v>44</v>
      </c>
      <c r="BI81" s="10">
        <v>45</v>
      </c>
      <c r="BJ81" s="10">
        <v>46</v>
      </c>
      <c r="BK81" s="10">
        <v>47</v>
      </c>
      <c r="BL81" s="11">
        <v>48</v>
      </c>
    </row>
    <row r="82" spans="1:64" s="3" customFormat="1" ht="18.5" customHeight="1" x14ac:dyDescent="0.2">
      <c r="A82" s="28">
        <v>1</v>
      </c>
      <c r="B82" s="28">
        <v>26</v>
      </c>
      <c r="D82" s="262">
        <f t="shared" ref="D82:D91" si="2">1/B82</f>
        <v>3.8461538461538464E-2</v>
      </c>
      <c r="F82" s="124"/>
      <c r="G82" s="121"/>
      <c r="P82" s="28">
        <v>1</v>
      </c>
      <c r="Q82" s="23">
        <v>0.2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  <c r="AF82" s="24">
        <v>0</v>
      </c>
      <c r="AG82" s="24">
        <v>0</v>
      </c>
      <c r="AH82" s="24">
        <v>0</v>
      </c>
      <c r="AI82" s="24">
        <v>0</v>
      </c>
      <c r="AJ82" s="24">
        <v>0</v>
      </c>
      <c r="AK82" s="24">
        <v>0</v>
      </c>
      <c r="AL82" s="24">
        <v>0</v>
      </c>
      <c r="AM82" s="24">
        <v>0</v>
      </c>
      <c r="AN82" s="24">
        <v>0</v>
      </c>
      <c r="AO82" s="24">
        <v>0</v>
      </c>
      <c r="AP82" s="24">
        <v>0</v>
      </c>
      <c r="AQ82" s="24">
        <v>0</v>
      </c>
      <c r="AR82" s="24">
        <v>0</v>
      </c>
      <c r="AS82" s="24">
        <v>0</v>
      </c>
      <c r="AT82" s="24">
        <v>0</v>
      </c>
      <c r="AU82" s="24">
        <v>0</v>
      </c>
      <c r="AV82" s="24">
        <v>0</v>
      </c>
      <c r="AW82" s="24">
        <v>0</v>
      </c>
      <c r="AX82" s="24">
        <v>0</v>
      </c>
      <c r="AY82" s="24">
        <v>0</v>
      </c>
      <c r="AZ82" s="24">
        <v>0</v>
      </c>
      <c r="BA82" s="24">
        <v>0</v>
      </c>
      <c r="BB82" s="24">
        <v>0</v>
      </c>
      <c r="BC82" s="24">
        <v>0</v>
      </c>
      <c r="BD82" s="24">
        <v>0</v>
      </c>
      <c r="BE82" s="24">
        <v>0</v>
      </c>
      <c r="BF82" s="24">
        <v>0</v>
      </c>
      <c r="BG82" s="24">
        <v>0</v>
      </c>
      <c r="BH82" s="24">
        <v>0</v>
      </c>
      <c r="BI82" s="24">
        <v>0</v>
      </c>
      <c r="BJ82" s="24">
        <v>0</v>
      </c>
      <c r="BK82" s="24">
        <v>0</v>
      </c>
      <c r="BL82" s="25">
        <v>0</v>
      </c>
    </row>
    <row r="83" spans="1:64" s="3" customFormat="1" ht="18" customHeight="1" x14ac:dyDescent="0.2">
      <c r="A83" s="39">
        <v>2</v>
      </c>
      <c r="B83" s="39">
        <v>26</v>
      </c>
      <c r="D83" s="263">
        <f t="shared" si="2"/>
        <v>3.8461538461538464E-2</v>
      </c>
      <c r="F83" s="225"/>
      <c r="G83" s="124"/>
      <c r="P83" s="39">
        <v>2</v>
      </c>
      <c r="Q83" s="35">
        <v>0</v>
      </c>
      <c r="R83" s="36">
        <v>0.2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X83" s="36">
        <v>0</v>
      </c>
      <c r="Y83" s="36">
        <v>0</v>
      </c>
      <c r="Z83" s="36">
        <v>0</v>
      </c>
      <c r="AA83" s="36">
        <v>0</v>
      </c>
      <c r="AB83" s="36">
        <v>0</v>
      </c>
      <c r="AC83" s="36">
        <v>0</v>
      </c>
      <c r="AD83" s="36">
        <v>0</v>
      </c>
      <c r="AE83" s="36">
        <v>0</v>
      </c>
      <c r="AF83" s="36">
        <v>0</v>
      </c>
      <c r="AG83" s="36">
        <v>0</v>
      </c>
      <c r="AH83" s="36">
        <v>0</v>
      </c>
      <c r="AI83" s="36">
        <v>0</v>
      </c>
      <c r="AJ83" s="36">
        <v>0</v>
      </c>
      <c r="AK83" s="36">
        <v>0</v>
      </c>
      <c r="AL83" s="36">
        <v>0</v>
      </c>
      <c r="AM83" s="36">
        <v>0</v>
      </c>
      <c r="AN83" s="36">
        <v>0</v>
      </c>
      <c r="AO83" s="36">
        <v>0</v>
      </c>
      <c r="AP83" s="36">
        <v>0</v>
      </c>
      <c r="AQ83" s="36">
        <v>0</v>
      </c>
      <c r="AR83" s="36">
        <v>0</v>
      </c>
      <c r="AS83" s="36">
        <v>0</v>
      </c>
      <c r="AT83" s="36">
        <v>0</v>
      </c>
      <c r="AU83" s="36">
        <v>0</v>
      </c>
      <c r="AV83" s="36">
        <v>0</v>
      </c>
      <c r="AW83" s="36">
        <v>0</v>
      </c>
      <c r="AX83" s="36">
        <v>0</v>
      </c>
      <c r="AY83" s="36">
        <v>0</v>
      </c>
      <c r="AZ83" s="36">
        <v>0</v>
      </c>
      <c r="BA83" s="36">
        <v>0</v>
      </c>
      <c r="BB83" s="36">
        <v>0</v>
      </c>
      <c r="BC83" s="36">
        <v>0</v>
      </c>
      <c r="BD83" s="36">
        <v>0</v>
      </c>
      <c r="BE83" s="36">
        <v>0</v>
      </c>
      <c r="BF83" s="36">
        <v>0</v>
      </c>
      <c r="BG83" s="36">
        <v>0</v>
      </c>
      <c r="BH83" s="36">
        <v>0</v>
      </c>
      <c r="BI83" s="36">
        <v>0</v>
      </c>
      <c r="BJ83" s="36">
        <v>0</v>
      </c>
      <c r="BK83" s="36">
        <v>0</v>
      </c>
      <c r="BL83" s="37">
        <v>0</v>
      </c>
    </row>
    <row r="84" spans="1:64" s="3" customFormat="1" ht="18" customHeight="1" x14ac:dyDescent="0.2">
      <c r="A84" s="39">
        <v>4</v>
      </c>
      <c r="B84" s="39">
        <v>13</v>
      </c>
      <c r="D84" s="263">
        <f t="shared" si="2"/>
        <v>7.6923076923076927E-2</v>
      </c>
      <c r="F84" s="225"/>
      <c r="G84" s="124"/>
      <c r="P84" s="39">
        <v>3</v>
      </c>
      <c r="Q84" s="35">
        <v>0</v>
      </c>
      <c r="R84" s="36">
        <v>0</v>
      </c>
      <c r="S84" s="36">
        <v>0.2</v>
      </c>
      <c r="T84" s="36">
        <v>0</v>
      </c>
      <c r="U84" s="36">
        <v>0</v>
      </c>
      <c r="V84" s="36">
        <v>0</v>
      </c>
      <c r="W84" s="36">
        <v>0</v>
      </c>
      <c r="X84" s="36">
        <v>0</v>
      </c>
      <c r="Y84" s="36">
        <v>0</v>
      </c>
      <c r="Z84" s="36">
        <v>0</v>
      </c>
      <c r="AA84" s="36">
        <v>0</v>
      </c>
      <c r="AB84" s="36">
        <v>0</v>
      </c>
      <c r="AC84" s="36">
        <v>0</v>
      </c>
      <c r="AD84" s="36">
        <v>0</v>
      </c>
      <c r="AE84" s="36">
        <v>0</v>
      </c>
      <c r="AF84" s="36">
        <v>0</v>
      </c>
      <c r="AG84" s="36">
        <v>0</v>
      </c>
      <c r="AH84" s="36">
        <v>0</v>
      </c>
      <c r="AI84" s="36">
        <v>0</v>
      </c>
      <c r="AJ84" s="36">
        <v>0</v>
      </c>
      <c r="AK84" s="36">
        <v>0</v>
      </c>
      <c r="AL84" s="36">
        <v>0</v>
      </c>
      <c r="AM84" s="36">
        <v>0</v>
      </c>
      <c r="AN84" s="36">
        <v>0</v>
      </c>
      <c r="AO84" s="36">
        <v>0</v>
      </c>
      <c r="AP84" s="36">
        <v>0</v>
      </c>
      <c r="AQ84" s="36">
        <v>0</v>
      </c>
      <c r="AR84" s="36">
        <v>0</v>
      </c>
      <c r="AS84" s="36">
        <v>0</v>
      </c>
      <c r="AT84" s="36">
        <v>0</v>
      </c>
      <c r="AU84" s="36">
        <v>0</v>
      </c>
      <c r="AV84" s="36">
        <v>0</v>
      </c>
      <c r="AW84" s="36">
        <v>0</v>
      </c>
      <c r="AX84" s="36">
        <v>0</v>
      </c>
      <c r="AY84" s="36">
        <v>0</v>
      </c>
      <c r="AZ84" s="36">
        <v>0</v>
      </c>
      <c r="BA84" s="36">
        <v>0</v>
      </c>
      <c r="BB84" s="36">
        <v>0</v>
      </c>
      <c r="BC84" s="36">
        <v>0</v>
      </c>
      <c r="BD84" s="36">
        <v>0</v>
      </c>
      <c r="BE84" s="36">
        <v>0</v>
      </c>
      <c r="BF84" s="36">
        <v>0</v>
      </c>
      <c r="BG84" s="36">
        <v>0</v>
      </c>
      <c r="BH84" s="36">
        <v>0</v>
      </c>
      <c r="BI84" s="36">
        <v>0</v>
      </c>
      <c r="BJ84" s="36">
        <v>0</v>
      </c>
      <c r="BK84" s="36">
        <v>0</v>
      </c>
      <c r="BL84" s="37">
        <v>0</v>
      </c>
    </row>
    <row r="85" spans="1:64" s="3" customFormat="1" ht="18" customHeight="1" x14ac:dyDescent="0.2">
      <c r="A85" s="39">
        <v>6</v>
      </c>
      <c r="B85" s="39">
        <v>33</v>
      </c>
      <c r="D85" s="263">
        <f t="shared" si="2"/>
        <v>3.0303030303030304E-2</v>
      </c>
      <c r="F85" s="225"/>
      <c r="G85" s="124"/>
      <c r="P85" s="39">
        <v>4</v>
      </c>
      <c r="Q85" s="35">
        <v>0</v>
      </c>
      <c r="R85" s="36">
        <v>0</v>
      </c>
      <c r="S85" s="36">
        <v>0</v>
      </c>
      <c r="T85" s="36">
        <v>0.2</v>
      </c>
      <c r="U85" s="36">
        <v>0</v>
      </c>
      <c r="V85" s="36">
        <v>0</v>
      </c>
      <c r="W85" s="36">
        <v>0</v>
      </c>
      <c r="X85" s="36">
        <v>0</v>
      </c>
      <c r="Y85" s="36">
        <v>0</v>
      </c>
      <c r="Z85" s="36">
        <v>0</v>
      </c>
      <c r="AA85" s="36">
        <v>0</v>
      </c>
      <c r="AB85" s="36">
        <v>0</v>
      </c>
      <c r="AC85" s="36">
        <v>0</v>
      </c>
      <c r="AD85" s="36">
        <v>0</v>
      </c>
      <c r="AE85" s="36">
        <v>0</v>
      </c>
      <c r="AF85" s="36">
        <v>0</v>
      </c>
      <c r="AG85" s="36">
        <v>0</v>
      </c>
      <c r="AH85" s="36">
        <v>0</v>
      </c>
      <c r="AI85" s="36">
        <v>0</v>
      </c>
      <c r="AJ85" s="36">
        <v>0</v>
      </c>
      <c r="AK85" s="36">
        <v>0</v>
      </c>
      <c r="AL85" s="36">
        <v>0</v>
      </c>
      <c r="AM85" s="36">
        <v>0</v>
      </c>
      <c r="AN85" s="36">
        <v>0</v>
      </c>
      <c r="AO85" s="36">
        <v>0</v>
      </c>
      <c r="AP85" s="36">
        <v>0</v>
      </c>
      <c r="AQ85" s="36">
        <v>0</v>
      </c>
      <c r="AR85" s="36">
        <v>0</v>
      </c>
      <c r="AS85" s="36">
        <v>0</v>
      </c>
      <c r="AT85" s="36">
        <v>0</v>
      </c>
      <c r="AU85" s="36">
        <v>0</v>
      </c>
      <c r="AV85" s="36">
        <v>0</v>
      </c>
      <c r="AW85" s="36">
        <v>0</v>
      </c>
      <c r="AX85" s="36">
        <v>0</v>
      </c>
      <c r="AY85" s="36">
        <v>0</v>
      </c>
      <c r="AZ85" s="36">
        <v>0</v>
      </c>
      <c r="BA85" s="36">
        <v>0</v>
      </c>
      <c r="BB85" s="36">
        <v>0</v>
      </c>
      <c r="BC85" s="36">
        <v>0</v>
      </c>
      <c r="BD85" s="36">
        <v>0</v>
      </c>
      <c r="BE85" s="36">
        <v>0</v>
      </c>
      <c r="BF85" s="36">
        <v>0</v>
      </c>
      <c r="BG85" s="36">
        <v>0</v>
      </c>
      <c r="BH85" s="36">
        <v>0</v>
      </c>
      <c r="BI85" s="36">
        <v>0</v>
      </c>
      <c r="BJ85" s="36">
        <v>0</v>
      </c>
      <c r="BK85" s="36">
        <v>0</v>
      </c>
      <c r="BL85" s="37">
        <v>0</v>
      </c>
    </row>
    <row r="86" spans="1:64" s="3" customFormat="1" ht="18" customHeight="1" x14ac:dyDescent="0.2">
      <c r="A86" s="39">
        <v>7</v>
      </c>
      <c r="B86" s="39">
        <v>14</v>
      </c>
      <c r="D86" s="263">
        <f t="shared" si="2"/>
        <v>7.1428571428571425E-2</v>
      </c>
      <c r="F86" s="225"/>
      <c r="G86" s="124"/>
      <c r="P86" s="39">
        <v>5</v>
      </c>
      <c r="Q86" s="35">
        <v>0</v>
      </c>
      <c r="R86" s="36">
        <v>0</v>
      </c>
      <c r="S86" s="36">
        <v>0</v>
      </c>
      <c r="T86" s="36">
        <v>0</v>
      </c>
      <c r="U86" s="36">
        <v>0.2</v>
      </c>
      <c r="V86" s="36">
        <v>0</v>
      </c>
      <c r="W86" s="36">
        <v>0</v>
      </c>
      <c r="X86" s="36">
        <v>0</v>
      </c>
      <c r="Y86" s="36">
        <v>0</v>
      </c>
      <c r="Z86" s="36">
        <v>0</v>
      </c>
      <c r="AA86" s="36">
        <v>0</v>
      </c>
      <c r="AB86" s="36">
        <v>0</v>
      </c>
      <c r="AC86" s="36">
        <v>0</v>
      </c>
      <c r="AD86" s="36">
        <v>0</v>
      </c>
      <c r="AE86" s="36">
        <v>0</v>
      </c>
      <c r="AF86" s="36">
        <v>0</v>
      </c>
      <c r="AG86" s="36">
        <v>0</v>
      </c>
      <c r="AH86" s="36">
        <v>0</v>
      </c>
      <c r="AI86" s="36">
        <v>0</v>
      </c>
      <c r="AJ86" s="36">
        <v>0</v>
      </c>
      <c r="AK86" s="36">
        <v>0</v>
      </c>
      <c r="AL86" s="36">
        <v>0</v>
      </c>
      <c r="AM86" s="36">
        <v>0</v>
      </c>
      <c r="AN86" s="36">
        <v>0</v>
      </c>
      <c r="AO86" s="36">
        <v>0</v>
      </c>
      <c r="AP86" s="36">
        <v>0</v>
      </c>
      <c r="AQ86" s="36">
        <v>0</v>
      </c>
      <c r="AR86" s="36">
        <v>0</v>
      </c>
      <c r="AS86" s="36">
        <v>0</v>
      </c>
      <c r="AT86" s="36">
        <v>0</v>
      </c>
      <c r="AU86" s="36">
        <v>0</v>
      </c>
      <c r="AV86" s="36">
        <v>0</v>
      </c>
      <c r="AW86" s="36">
        <v>0</v>
      </c>
      <c r="AX86" s="36">
        <v>0</v>
      </c>
      <c r="AY86" s="36">
        <v>0</v>
      </c>
      <c r="AZ86" s="36">
        <v>0</v>
      </c>
      <c r="BA86" s="36">
        <v>0</v>
      </c>
      <c r="BB86" s="36">
        <v>0</v>
      </c>
      <c r="BC86" s="36">
        <v>0</v>
      </c>
      <c r="BD86" s="36">
        <v>0</v>
      </c>
      <c r="BE86" s="36">
        <v>0</v>
      </c>
      <c r="BF86" s="36">
        <v>0</v>
      </c>
      <c r="BG86" s="36">
        <v>0</v>
      </c>
      <c r="BH86" s="36">
        <v>0</v>
      </c>
      <c r="BI86" s="36">
        <v>0</v>
      </c>
      <c r="BJ86" s="36">
        <v>0</v>
      </c>
      <c r="BK86" s="36">
        <v>0</v>
      </c>
      <c r="BL86" s="37">
        <v>0</v>
      </c>
    </row>
    <row r="87" spans="1:64" s="3" customFormat="1" ht="18" customHeight="1" x14ac:dyDescent="0.2">
      <c r="A87" s="39">
        <v>9</v>
      </c>
      <c r="B87" s="39">
        <v>25</v>
      </c>
      <c r="D87" s="263">
        <f t="shared" si="2"/>
        <v>0.04</v>
      </c>
      <c r="F87" s="225"/>
      <c r="G87" s="124"/>
      <c r="P87" s="39">
        <v>6</v>
      </c>
      <c r="Q87" s="35">
        <v>0</v>
      </c>
      <c r="R87" s="36">
        <v>0</v>
      </c>
      <c r="S87" s="36">
        <v>0</v>
      </c>
      <c r="T87" s="36">
        <v>0</v>
      </c>
      <c r="U87" s="36">
        <v>0</v>
      </c>
      <c r="V87" s="36">
        <v>0.2</v>
      </c>
      <c r="W87" s="36">
        <v>0</v>
      </c>
      <c r="X87" s="36">
        <v>0</v>
      </c>
      <c r="Y87" s="36">
        <v>0</v>
      </c>
      <c r="Z87" s="36">
        <v>0</v>
      </c>
      <c r="AA87" s="36">
        <v>0</v>
      </c>
      <c r="AB87" s="36">
        <v>0</v>
      </c>
      <c r="AC87" s="36">
        <v>0</v>
      </c>
      <c r="AD87" s="36">
        <v>0</v>
      </c>
      <c r="AE87" s="36">
        <v>0</v>
      </c>
      <c r="AF87" s="36">
        <v>0</v>
      </c>
      <c r="AG87" s="36">
        <v>0</v>
      </c>
      <c r="AH87" s="36">
        <v>0</v>
      </c>
      <c r="AI87" s="36">
        <v>0</v>
      </c>
      <c r="AJ87" s="36">
        <v>0</v>
      </c>
      <c r="AK87" s="36">
        <v>0</v>
      </c>
      <c r="AL87" s="36">
        <v>0</v>
      </c>
      <c r="AM87" s="36">
        <v>0</v>
      </c>
      <c r="AN87" s="36">
        <v>0</v>
      </c>
      <c r="AO87" s="36">
        <v>0</v>
      </c>
      <c r="AP87" s="36">
        <v>0</v>
      </c>
      <c r="AQ87" s="36">
        <v>0</v>
      </c>
      <c r="AR87" s="36">
        <v>0</v>
      </c>
      <c r="AS87" s="36">
        <v>0</v>
      </c>
      <c r="AT87" s="36">
        <v>0</v>
      </c>
      <c r="AU87" s="36">
        <v>0</v>
      </c>
      <c r="AV87" s="36">
        <v>0</v>
      </c>
      <c r="AW87" s="36">
        <v>0</v>
      </c>
      <c r="AX87" s="36">
        <v>0</v>
      </c>
      <c r="AY87" s="36">
        <v>0</v>
      </c>
      <c r="AZ87" s="36">
        <v>0</v>
      </c>
      <c r="BA87" s="36">
        <v>0</v>
      </c>
      <c r="BB87" s="36">
        <v>0</v>
      </c>
      <c r="BC87" s="36">
        <v>0</v>
      </c>
      <c r="BD87" s="36">
        <v>0</v>
      </c>
      <c r="BE87" s="36">
        <v>0</v>
      </c>
      <c r="BF87" s="36">
        <v>0</v>
      </c>
      <c r="BG87" s="36">
        <v>0</v>
      </c>
      <c r="BH87" s="36">
        <v>0</v>
      </c>
      <c r="BI87" s="36">
        <v>0</v>
      </c>
      <c r="BJ87" s="36">
        <v>0</v>
      </c>
      <c r="BK87" s="36">
        <v>0</v>
      </c>
      <c r="BL87" s="37">
        <v>0</v>
      </c>
    </row>
    <row r="88" spans="1:64" s="3" customFormat="1" ht="18" customHeight="1" x14ac:dyDescent="0.2">
      <c r="A88" s="39">
        <v>5</v>
      </c>
      <c r="B88" s="39">
        <v>29</v>
      </c>
      <c r="D88" s="263">
        <f t="shared" si="2"/>
        <v>3.4482758620689655E-2</v>
      </c>
      <c r="F88" s="225"/>
      <c r="G88" s="124"/>
      <c r="P88" s="39">
        <v>7</v>
      </c>
      <c r="Q88" s="35">
        <v>0</v>
      </c>
      <c r="R88" s="36">
        <v>0</v>
      </c>
      <c r="S88" s="36">
        <v>0</v>
      </c>
      <c r="T88" s="36">
        <v>0</v>
      </c>
      <c r="U88" s="36">
        <v>0</v>
      </c>
      <c r="V88" s="36">
        <v>0</v>
      </c>
      <c r="W88" s="36">
        <v>1</v>
      </c>
      <c r="X88" s="36">
        <v>0</v>
      </c>
      <c r="Y88" s="36">
        <v>0</v>
      </c>
      <c r="Z88" s="36">
        <v>0</v>
      </c>
      <c r="AA88" s="36">
        <v>0</v>
      </c>
      <c r="AB88" s="36">
        <v>0</v>
      </c>
      <c r="AC88" s="36">
        <v>0</v>
      </c>
      <c r="AD88" s="36">
        <v>0</v>
      </c>
      <c r="AE88" s="36">
        <v>0</v>
      </c>
      <c r="AF88" s="36">
        <v>0</v>
      </c>
      <c r="AG88" s="36">
        <v>0</v>
      </c>
      <c r="AH88" s="36">
        <v>0</v>
      </c>
      <c r="AI88" s="36">
        <v>0</v>
      </c>
      <c r="AJ88" s="36">
        <v>0</v>
      </c>
      <c r="AK88" s="36">
        <v>0</v>
      </c>
      <c r="AL88" s="36">
        <v>0</v>
      </c>
      <c r="AM88" s="36">
        <v>0</v>
      </c>
      <c r="AN88" s="36">
        <v>0</v>
      </c>
      <c r="AO88" s="36">
        <v>0</v>
      </c>
      <c r="AP88" s="36">
        <v>0</v>
      </c>
      <c r="AQ88" s="36">
        <v>0</v>
      </c>
      <c r="AR88" s="36">
        <v>0</v>
      </c>
      <c r="AS88" s="36">
        <v>0</v>
      </c>
      <c r="AT88" s="36">
        <v>0</v>
      </c>
      <c r="AU88" s="36">
        <v>0</v>
      </c>
      <c r="AV88" s="36">
        <v>0</v>
      </c>
      <c r="AW88" s="36">
        <v>0</v>
      </c>
      <c r="AX88" s="36">
        <v>0</v>
      </c>
      <c r="AY88" s="36">
        <v>0</v>
      </c>
      <c r="AZ88" s="36">
        <v>0</v>
      </c>
      <c r="BA88" s="36">
        <v>0</v>
      </c>
      <c r="BB88" s="36">
        <v>0</v>
      </c>
      <c r="BC88" s="36">
        <v>0</v>
      </c>
      <c r="BD88" s="36">
        <v>0</v>
      </c>
      <c r="BE88" s="36">
        <v>0</v>
      </c>
      <c r="BF88" s="36">
        <v>0</v>
      </c>
      <c r="BG88" s="36">
        <v>0</v>
      </c>
      <c r="BH88" s="36">
        <v>0</v>
      </c>
      <c r="BI88" s="36">
        <v>0</v>
      </c>
      <c r="BJ88" s="36">
        <v>0</v>
      </c>
      <c r="BK88" s="36">
        <v>0</v>
      </c>
      <c r="BL88" s="37">
        <v>0</v>
      </c>
    </row>
    <row r="89" spans="1:64" s="3" customFormat="1" ht="18" customHeight="1" x14ac:dyDescent="0.2">
      <c r="A89" s="39">
        <v>3</v>
      </c>
      <c r="B89" s="39">
        <v>13</v>
      </c>
      <c r="D89" s="263">
        <f t="shared" si="2"/>
        <v>7.6923076923076927E-2</v>
      </c>
      <c r="F89" s="225"/>
      <c r="G89" s="124"/>
      <c r="P89" s="39">
        <v>8</v>
      </c>
      <c r="Q89" s="35">
        <v>0</v>
      </c>
      <c r="R89" s="36">
        <v>0</v>
      </c>
      <c r="S89" s="36">
        <v>0</v>
      </c>
      <c r="T89" s="36">
        <v>0</v>
      </c>
      <c r="U89" s="36">
        <v>0</v>
      </c>
      <c r="V89" s="36">
        <v>0</v>
      </c>
      <c r="W89" s="36">
        <v>0</v>
      </c>
      <c r="X89" s="36">
        <v>1</v>
      </c>
      <c r="Y89" s="36">
        <v>0</v>
      </c>
      <c r="Z89" s="36">
        <v>0</v>
      </c>
      <c r="AA89" s="36">
        <v>0</v>
      </c>
      <c r="AB89" s="36">
        <v>0</v>
      </c>
      <c r="AC89" s="36">
        <v>0</v>
      </c>
      <c r="AD89" s="36">
        <v>0</v>
      </c>
      <c r="AE89" s="36">
        <v>0</v>
      </c>
      <c r="AF89" s="36">
        <v>0</v>
      </c>
      <c r="AG89" s="36">
        <v>0</v>
      </c>
      <c r="AH89" s="36">
        <v>0</v>
      </c>
      <c r="AI89" s="36">
        <v>0</v>
      </c>
      <c r="AJ89" s="36">
        <v>0</v>
      </c>
      <c r="AK89" s="36">
        <v>0</v>
      </c>
      <c r="AL89" s="36">
        <v>0</v>
      </c>
      <c r="AM89" s="36">
        <v>0</v>
      </c>
      <c r="AN89" s="36">
        <v>0</v>
      </c>
      <c r="AO89" s="36">
        <v>0</v>
      </c>
      <c r="AP89" s="36">
        <v>0</v>
      </c>
      <c r="AQ89" s="36">
        <v>0</v>
      </c>
      <c r="AR89" s="36">
        <v>0</v>
      </c>
      <c r="AS89" s="36">
        <v>0</v>
      </c>
      <c r="AT89" s="36">
        <v>0</v>
      </c>
      <c r="AU89" s="36">
        <v>0</v>
      </c>
      <c r="AV89" s="36">
        <v>0</v>
      </c>
      <c r="AW89" s="36">
        <v>0</v>
      </c>
      <c r="AX89" s="36">
        <v>0</v>
      </c>
      <c r="AY89" s="36">
        <v>0</v>
      </c>
      <c r="AZ89" s="36">
        <v>0</v>
      </c>
      <c r="BA89" s="36">
        <v>0</v>
      </c>
      <c r="BB89" s="36">
        <v>0</v>
      </c>
      <c r="BC89" s="36">
        <v>0</v>
      </c>
      <c r="BD89" s="36">
        <v>0</v>
      </c>
      <c r="BE89" s="36">
        <v>0</v>
      </c>
      <c r="BF89" s="36">
        <v>0</v>
      </c>
      <c r="BG89" s="36">
        <v>0</v>
      </c>
      <c r="BH89" s="36">
        <v>0</v>
      </c>
      <c r="BI89" s="36">
        <v>0</v>
      </c>
      <c r="BJ89" s="36">
        <v>0</v>
      </c>
      <c r="BK89" s="36">
        <v>0</v>
      </c>
      <c r="BL89" s="37">
        <v>0</v>
      </c>
    </row>
    <row r="90" spans="1:64" s="3" customFormat="1" ht="18" customHeight="1" x14ac:dyDescent="0.2">
      <c r="A90" s="39">
        <v>8</v>
      </c>
      <c r="B90" s="39">
        <v>29</v>
      </c>
      <c r="D90" s="263">
        <f t="shared" si="2"/>
        <v>3.4482758620689655E-2</v>
      </c>
      <c r="F90" s="225"/>
      <c r="G90" s="124"/>
      <c r="P90" s="39">
        <v>9</v>
      </c>
      <c r="Q90" s="35">
        <v>0</v>
      </c>
      <c r="R90" s="36">
        <v>0</v>
      </c>
      <c r="S90" s="36">
        <v>0</v>
      </c>
      <c r="T90" s="36">
        <v>0</v>
      </c>
      <c r="U90" s="36">
        <v>0</v>
      </c>
      <c r="V90" s="36">
        <v>0</v>
      </c>
      <c r="W90" s="36">
        <v>0</v>
      </c>
      <c r="X90" s="36">
        <v>0</v>
      </c>
      <c r="Y90" s="36">
        <v>1</v>
      </c>
      <c r="Z90" s="36">
        <v>0</v>
      </c>
      <c r="AA90" s="36">
        <v>0</v>
      </c>
      <c r="AB90" s="36">
        <v>0</v>
      </c>
      <c r="AC90" s="36">
        <v>0</v>
      </c>
      <c r="AD90" s="36">
        <v>0</v>
      </c>
      <c r="AE90" s="36">
        <v>0</v>
      </c>
      <c r="AF90" s="36">
        <v>0</v>
      </c>
      <c r="AG90" s="36">
        <v>0</v>
      </c>
      <c r="AH90" s="36">
        <v>0</v>
      </c>
      <c r="AI90" s="36">
        <v>0</v>
      </c>
      <c r="AJ90" s="36">
        <v>0</v>
      </c>
      <c r="AK90" s="36">
        <v>0</v>
      </c>
      <c r="AL90" s="36">
        <v>0</v>
      </c>
      <c r="AM90" s="36">
        <v>0</v>
      </c>
      <c r="AN90" s="36">
        <v>0</v>
      </c>
      <c r="AO90" s="36">
        <v>0</v>
      </c>
      <c r="AP90" s="36">
        <v>0</v>
      </c>
      <c r="AQ90" s="36">
        <v>0</v>
      </c>
      <c r="AR90" s="36">
        <v>0</v>
      </c>
      <c r="AS90" s="36">
        <v>0</v>
      </c>
      <c r="AT90" s="36">
        <v>0</v>
      </c>
      <c r="AU90" s="36">
        <v>0</v>
      </c>
      <c r="AV90" s="36">
        <v>0</v>
      </c>
      <c r="AW90" s="36">
        <v>0</v>
      </c>
      <c r="AX90" s="36">
        <v>0</v>
      </c>
      <c r="AY90" s="36">
        <v>0</v>
      </c>
      <c r="AZ90" s="36">
        <v>0</v>
      </c>
      <c r="BA90" s="36">
        <v>0</v>
      </c>
      <c r="BB90" s="36">
        <v>0</v>
      </c>
      <c r="BC90" s="36">
        <v>0</v>
      </c>
      <c r="BD90" s="36">
        <v>0</v>
      </c>
      <c r="BE90" s="36">
        <v>0</v>
      </c>
      <c r="BF90" s="36">
        <v>0</v>
      </c>
      <c r="BG90" s="36">
        <v>0</v>
      </c>
      <c r="BH90" s="36">
        <v>0</v>
      </c>
      <c r="BI90" s="36">
        <v>0</v>
      </c>
      <c r="BJ90" s="36">
        <v>0</v>
      </c>
      <c r="BK90" s="36">
        <v>0</v>
      </c>
      <c r="BL90" s="37">
        <v>0</v>
      </c>
    </row>
    <row r="91" spans="1:64" s="3" customFormat="1" ht="18.5" customHeight="1" x14ac:dyDescent="0.2">
      <c r="A91" s="56">
        <v>10</v>
      </c>
      <c r="B91" s="56">
        <v>13</v>
      </c>
      <c r="D91" s="264">
        <f t="shared" si="2"/>
        <v>7.6923076923076927E-2</v>
      </c>
      <c r="F91" s="225"/>
      <c r="G91" s="124"/>
      <c r="P91" s="39">
        <v>10</v>
      </c>
      <c r="Q91" s="35">
        <v>0</v>
      </c>
      <c r="R91" s="36">
        <v>0</v>
      </c>
      <c r="S91" s="36">
        <v>0</v>
      </c>
      <c r="T91" s="36">
        <v>0</v>
      </c>
      <c r="U91" s="36">
        <v>0</v>
      </c>
      <c r="V91" s="36">
        <v>0</v>
      </c>
      <c r="W91" s="36">
        <v>0</v>
      </c>
      <c r="X91" s="36">
        <v>0</v>
      </c>
      <c r="Y91" s="36">
        <v>0</v>
      </c>
      <c r="Z91" s="36">
        <v>0.33333333333333298</v>
      </c>
      <c r="AA91" s="36">
        <v>0</v>
      </c>
      <c r="AB91" s="36">
        <v>0</v>
      </c>
      <c r="AC91" s="36">
        <v>0</v>
      </c>
      <c r="AD91" s="36">
        <v>0</v>
      </c>
      <c r="AE91" s="36">
        <v>0</v>
      </c>
      <c r="AF91" s="36">
        <v>0</v>
      </c>
      <c r="AG91" s="36">
        <v>0</v>
      </c>
      <c r="AH91" s="36">
        <v>0</v>
      </c>
      <c r="AI91" s="36">
        <v>0</v>
      </c>
      <c r="AJ91" s="36">
        <v>0</v>
      </c>
      <c r="AK91" s="36">
        <v>0</v>
      </c>
      <c r="AL91" s="36">
        <v>0</v>
      </c>
      <c r="AM91" s="36">
        <v>0</v>
      </c>
      <c r="AN91" s="36">
        <v>0</v>
      </c>
      <c r="AO91" s="36">
        <v>0</v>
      </c>
      <c r="AP91" s="36">
        <v>0</v>
      </c>
      <c r="AQ91" s="36">
        <v>0</v>
      </c>
      <c r="AR91" s="36">
        <v>0</v>
      </c>
      <c r="AS91" s="36">
        <v>0</v>
      </c>
      <c r="AT91" s="36">
        <v>0</v>
      </c>
      <c r="AU91" s="36">
        <v>0</v>
      </c>
      <c r="AV91" s="36">
        <v>0</v>
      </c>
      <c r="AW91" s="36">
        <v>0</v>
      </c>
      <c r="AX91" s="36">
        <v>0</v>
      </c>
      <c r="AY91" s="36">
        <v>0</v>
      </c>
      <c r="AZ91" s="36">
        <v>0</v>
      </c>
      <c r="BA91" s="36">
        <v>0</v>
      </c>
      <c r="BB91" s="36">
        <v>0</v>
      </c>
      <c r="BC91" s="36">
        <v>0</v>
      </c>
      <c r="BD91" s="36">
        <v>0</v>
      </c>
      <c r="BE91" s="36">
        <v>0</v>
      </c>
      <c r="BF91" s="36">
        <v>0</v>
      </c>
      <c r="BG91" s="36">
        <v>0</v>
      </c>
      <c r="BH91" s="36">
        <v>0</v>
      </c>
      <c r="BI91" s="36">
        <v>0</v>
      </c>
      <c r="BJ91" s="36">
        <v>0</v>
      </c>
      <c r="BK91" s="36">
        <v>0</v>
      </c>
      <c r="BL91" s="37">
        <v>0</v>
      </c>
    </row>
    <row r="92" spans="1:64" s="3" customFormat="1" ht="19" customHeight="1" x14ac:dyDescent="0.2">
      <c r="A92" s="27" t="s">
        <v>74</v>
      </c>
      <c r="B92" s="94">
        <f>SUM(B82:B91)</f>
        <v>221</v>
      </c>
      <c r="F92" s="225"/>
      <c r="G92" s="124"/>
      <c r="P92" s="39">
        <v>11</v>
      </c>
      <c r="Q92" s="35">
        <v>0</v>
      </c>
      <c r="R92" s="36">
        <v>0</v>
      </c>
      <c r="S92" s="36">
        <v>0</v>
      </c>
      <c r="T92" s="36">
        <v>0</v>
      </c>
      <c r="U92" s="36">
        <v>0</v>
      </c>
      <c r="V92" s="36">
        <v>0</v>
      </c>
      <c r="W92" s="36">
        <v>0</v>
      </c>
      <c r="X92" s="36">
        <v>0</v>
      </c>
      <c r="Y92" s="36">
        <v>0</v>
      </c>
      <c r="Z92" s="36">
        <v>0</v>
      </c>
      <c r="AA92" s="36">
        <v>0.33333333333333298</v>
      </c>
      <c r="AB92" s="36">
        <v>0</v>
      </c>
      <c r="AC92" s="36">
        <v>0</v>
      </c>
      <c r="AD92" s="36">
        <v>0</v>
      </c>
      <c r="AE92" s="36">
        <v>0</v>
      </c>
      <c r="AF92" s="36">
        <v>0</v>
      </c>
      <c r="AG92" s="36">
        <v>0</v>
      </c>
      <c r="AH92" s="36">
        <v>0</v>
      </c>
      <c r="AI92" s="36">
        <v>0</v>
      </c>
      <c r="AJ92" s="36">
        <v>0</v>
      </c>
      <c r="AK92" s="36">
        <v>0</v>
      </c>
      <c r="AL92" s="36">
        <v>0</v>
      </c>
      <c r="AM92" s="36">
        <v>0</v>
      </c>
      <c r="AN92" s="36">
        <v>0</v>
      </c>
      <c r="AO92" s="36">
        <v>0</v>
      </c>
      <c r="AP92" s="36">
        <v>0</v>
      </c>
      <c r="AQ92" s="36">
        <v>0</v>
      </c>
      <c r="AR92" s="36">
        <v>0</v>
      </c>
      <c r="AS92" s="36">
        <v>0</v>
      </c>
      <c r="AT92" s="36">
        <v>0</v>
      </c>
      <c r="AU92" s="36">
        <v>0</v>
      </c>
      <c r="AV92" s="36">
        <v>0</v>
      </c>
      <c r="AW92" s="36">
        <v>0</v>
      </c>
      <c r="AX92" s="36">
        <v>0</v>
      </c>
      <c r="AY92" s="36">
        <v>0</v>
      </c>
      <c r="AZ92" s="36">
        <v>0</v>
      </c>
      <c r="BA92" s="36">
        <v>0</v>
      </c>
      <c r="BB92" s="36">
        <v>0</v>
      </c>
      <c r="BC92" s="36">
        <v>0</v>
      </c>
      <c r="BD92" s="36">
        <v>0</v>
      </c>
      <c r="BE92" s="36">
        <v>0</v>
      </c>
      <c r="BF92" s="36">
        <v>0</v>
      </c>
      <c r="BG92" s="36">
        <v>0</v>
      </c>
      <c r="BH92" s="36">
        <v>0</v>
      </c>
      <c r="BI92" s="36">
        <v>0</v>
      </c>
      <c r="BJ92" s="36">
        <v>0</v>
      </c>
      <c r="BK92" s="36">
        <v>0</v>
      </c>
      <c r="BL92" s="37">
        <v>0</v>
      </c>
    </row>
    <row r="93" spans="1:64" s="3" customFormat="1" ht="18.5" customHeight="1" x14ac:dyDescent="0.2">
      <c r="P93" s="39">
        <v>12</v>
      </c>
      <c r="Q93" s="35">
        <v>0</v>
      </c>
      <c r="R93" s="36">
        <v>0</v>
      </c>
      <c r="S93" s="36">
        <v>0</v>
      </c>
      <c r="T93" s="36">
        <v>0</v>
      </c>
      <c r="U93" s="36">
        <v>0</v>
      </c>
      <c r="V93" s="36">
        <v>0</v>
      </c>
      <c r="W93" s="36">
        <v>0</v>
      </c>
      <c r="X93" s="36">
        <v>0</v>
      </c>
      <c r="Y93" s="36">
        <v>0</v>
      </c>
      <c r="Z93" s="36">
        <v>0</v>
      </c>
      <c r="AA93" s="36">
        <v>0</v>
      </c>
      <c r="AB93" s="36">
        <v>0.33333333333333298</v>
      </c>
      <c r="AC93" s="36">
        <v>0</v>
      </c>
      <c r="AD93" s="36">
        <v>0</v>
      </c>
      <c r="AE93" s="36">
        <v>0</v>
      </c>
      <c r="AF93" s="36">
        <v>0</v>
      </c>
      <c r="AG93" s="36">
        <v>0</v>
      </c>
      <c r="AH93" s="36">
        <v>0</v>
      </c>
      <c r="AI93" s="36">
        <v>0</v>
      </c>
      <c r="AJ93" s="36">
        <v>0</v>
      </c>
      <c r="AK93" s="36">
        <v>0</v>
      </c>
      <c r="AL93" s="36">
        <v>0</v>
      </c>
      <c r="AM93" s="36">
        <v>0</v>
      </c>
      <c r="AN93" s="36">
        <v>0</v>
      </c>
      <c r="AO93" s="36">
        <v>0</v>
      </c>
      <c r="AP93" s="36">
        <v>0</v>
      </c>
      <c r="AQ93" s="36">
        <v>0</v>
      </c>
      <c r="AR93" s="36">
        <v>0</v>
      </c>
      <c r="AS93" s="36">
        <v>0</v>
      </c>
      <c r="AT93" s="36">
        <v>0</v>
      </c>
      <c r="AU93" s="36">
        <v>0</v>
      </c>
      <c r="AV93" s="36">
        <v>0</v>
      </c>
      <c r="AW93" s="36">
        <v>0</v>
      </c>
      <c r="AX93" s="36">
        <v>0</v>
      </c>
      <c r="AY93" s="36">
        <v>0</v>
      </c>
      <c r="AZ93" s="36">
        <v>0</v>
      </c>
      <c r="BA93" s="36">
        <v>0</v>
      </c>
      <c r="BB93" s="36">
        <v>0</v>
      </c>
      <c r="BC93" s="36">
        <v>0</v>
      </c>
      <c r="BD93" s="36">
        <v>0</v>
      </c>
      <c r="BE93" s="36">
        <v>0</v>
      </c>
      <c r="BF93" s="36">
        <v>0</v>
      </c>
      <c r="BG93" s="36">
        <v>0</v>
      </c>
      <c r="BH93" s="36">
        <v>0</v>
      </c>
      <c r="BI93" s="36">
        <v>0</v>
      </c>
      <c r="BJ93" s="36">
        <v>0</v>
      </c>
      <c r="BK93" s="36">
        <v>0</v>
      </c>
      <c r="BL93" s="37">
        <v>0</v>
      </c>
    </row>
    <row r="94" spans="1:64" s="3" customFormat="1" ht="18" customHeight="1" x14ac:dyDescent="0.2">
      <c r="P94" s="39">
        <v>13</v>
      </c>
      <c r="Q94" s="35">
        <v>0</v>
      </c>
      <c r="R94" s="36">
        <v>0</v>
      </c>
      <c r="S94" s="36">
        <v>0</v>
      </c>
      <c r="T94" s="36">
        <v>0</v>
      </c>
      <c r="U94" s="36">
        <v>0</v>
      </c>
      <c r="V94" s="36">
        <v>0</v>
      </c>
      <c r="W94" s="36">
        <v>0</v>
      </c>
      <c r="X94" s="36">
        <v>0</v>
      </c>
      <c r="Y94" s="36">
        <v>0</v>
      </c>
      <c r="Z94" s="36">
        <v>0</v>
      </c>
      <c r="AA94" s="36">
        <v>0</v>
      </c>
      <c r="AB94" s="36">
        <v>0</v>
      </c>
      <c r="AC94" s="36">
        <v>0.33333333333333298</v>
      </c>
      <c r="AD94" s="36">
        <v>0</v>
      </c>
      <c r="AE94" s="36">
        <v>0</v>
      </c>
      <c r="AF94" s="36">
        <v>0</v>
      </c>
      <c r="AG94" s="36">
        <v>0</v>
      </c>
      <c r="AH94" s="36">
        <v>0</v>
      </c>
      <c r="AI94" s="36">
        <v>0</v>
      </c>
      <c r="AJ94" s="36">
        <v>0</v>
      </c>
      <c r="AK94" s="36">
        <v>0</v>
      </c>
      <c r="AL94" s="36">
        <v>0</v>
      </c>
      <c r="AM94" s="36">
        <v>0</v>
      </c>
      <c r="AN94" s="36">
        <v>0</v>
      </c>
      <c r="AO94" s="36">
        <v>0</v>
      </c>
      <c r="AP94" s="36">
        <v>0</v>
      </c>
      <c r="AQ94" s="36">
        <v>0</v>
      </c>
      <c r="AR94" s="36">
        <v>0</v>
      </c>
      <c r="AS94" s="36">
        <v>0</v>
      </c>
      <c r="AT94" s="36">
        <v>0</v>
      </c>
      <c r="AU94" s="36">
        <v>0</v>
      </c>
      <c r="AV94" s="36">
        <v>0</v>
      </c>
      <c r="AW94" s="36">
        <v>0</v>
      </c>
      <c r="AX94" s="36">
        <v>0</v>
      </c>
      <c r="AY94" s="36">
        <v>0</v>
      </c>
      <c r="AZ94" s="36">
        <v>0</v>
      </c>
      <c r="BA94" s="36">
        <v>0</v>
      </c>
      <c r="BB94" s="36">
        <v>0</v>
      </c>
      <c r="BC94" s="36">
        <v>0</v>
      </c>
      <c r="BD94" s="36">
        <v>0</v>
      </c>
      <c r="BE94" s="36">
        <v>0</v>
      </c>
      <c r="BF94" s="36">
        <v>0</v>
      </c>
      <c r="BG94" s="36">
        <v>0</v>
      </c>
      <c r="BH94" s="36">
        <v>0</v>
      </c>
      <c r="BI94" s="36">
        <v>0</v>
      </c>
      <c r="BJ94" s="36">
        <v>0</v>
      </c>
      <c r="BK94" s="36">
        <v>0</v>
      </c>
      <c r="BL94" s="37">
        <v>0</v>
      </c>
    </row>
    <row r="95" spans="1:64" s="3" customFormat="1" ht="18" customHeight="1" x14ac:dyDescent="0.2">
      <c r="P95" s="39">
        <v>14</v>
      </c>
      <c r="Q95" s="35">
        <v>0</v>
      </c>
      <c r="R95" s="36">
        <v>0</v>
      </c>
      <c r="S95" s="36">
        <v>0</v>
      </c>
      <c r="T95" s="36">
        <v>0</v>
      </c>
      <c r="U95" s="36">
        <v>0</v>
      </c>
      <c r="V95" s="36">
        <v>0</v>
      </c>
      <c r="W95" s="36">
        <v>0</v>
      </c>
      <c r="X95" s="36">
        <v>0</v>
      </c>
      <c r="Y95" s="36">
        <v>0</v>
      </c>
      <c r="Z95" s="36">
        <v>0</v>
      </c>
      <c r="AA95" s="36">
        <v>0</v>
      </c>
      <c r="AB95" s="36">
        <v>0</v>
      </c>
      <c r="AC95" s="36">
        <v>0</v>
      </c>
      <c r="AD95" s="36">
        <v>0.33333333333333298</v>
      </c>
      <c r="AE95" s="36">
        <v>0</v>
      </c>
      <c r="AF95" s="36">
        <v>0</v>
      </c>
      <c r="AG95" s="36">
        <v>0</v>
      </c>
      <c r="AH95" s="36">
        <v>0</v>
      </c>
      <c r="AI95" s="36">
        <v>0</v>
      </c>
      <c r="AJ95" s="36">
        <v>0</v>
      </c>
      <c r="AK95" s="36">
        <v>0</v>
      </c>
      <c r="AL95" s="36">
        <v>0</v>
      </c>
      <c r="AM95" s="36">
        <v>0</v>
      </c>
      <c r="AN95" s="36">
        <v>0</v>
      </c>
      <c r="AO95" s="36">
        <v>0</v>
      </c>
      <c r="AP95" s="36">
        <v>0</v>
      </c>
      <c r="AQ95" s="36">
        <v>0</v>
      </c>
      <c r="AR95" s="36">
        <v>0</v>
      </c>
      <c r="AS95" s="36">
        <v>0</v>
      </c>
      <c r="AT95" s="36">
        <v>0</v>
      </c>
      <c r="AU95" s="36">
        <v>0</v>
      </c>
      <c r="AV95" s="36">
        <v>0</v>
      </c>
      <c r="AW95" s="36">
        <v>0</v>
      </c>
      <c r="AX95" s="36">
        <v>0</v>
      </c>
      <c r="AY95" s="36">
        <v>0</v>
      </c>
      <c r="AZ95" s="36">
        <v>0</v>
      </c>
      <c r="BA95" s="36">
        <v>0</v>
      </c>
      <c r="BB95" s="36">
        <v>0</v>
      </c>
      <c r="BC95" s="36">
        <v>0</v>
      </c>
      <c r="BD95" s="36">
        <v>0</v>
      </c>
      <c r="BE95" s="36">
        <v>0</v>
      </c>
      <c r="BF95" s="36">
        <v>0</v>
      </c>
      <c r="BG95" s="36">
        <v>0</v>
      </c>
      <c r="BH95" s="36">
        <v>0</v>
      </c>
      <c r="BI95" s="36">
        <v>0</v>
      </c>
      <c r="BJ95" s="36">
        <v>0</v>
      </c>
      <c r="BK95" s="36">
        <v>0</v>
      </c>
      <c r="BL95" s="37">
        <v>0</v>
      </c>
    </row>
    <row r="96" spans="1:64" s="3" customFormat="1" ht="18" customHeight="1" x14ac:dyDescent="0.2">
      <c r="P96" s="39">
        <v>15</v>
      </c>
      <c r="Q96" s="35">
        <v>0</v>
      </c>
      <c r="R96" s="36">
        <v>0</v>
      </c>
      <c r="S96" s="36">
        <v>0</v>
      </c>
      <c r="T96" s="36">
        <v>0</v>
      </c>
      <c r="U96" s="36">
        <v>0</v>
      </c>
      <c r="V96" s="36">
        <v>0</v>
      </c>
      <c r="W96" s="36">
        <v>0</v>
      </c>
      <c r="X96" s="36">
        <v>0</v>
      </c>
      <c r="Y96" s="36">
        <v>0</v>
      </c>
      <c r="Z96" s="36">
        <v>0</v>
      </c>
      <c r="AA96" s="36">
        <v>0</v>
      </c>
      <c r="AB96" s="36">
        <v>0</v>
      </c>
      <c r="AC96" s="36">
        <v>0</v>
      </c>
      <c r="AD96" s="36">
        <v>0</v>
      </c>
      <c r="AE96" s="36">
        <v>0.33333333333333298</v>
      </c>
      <c r="AF96" s="36">
        <v>0</v>
      </c>
      <c r="AG96" s="36">
        <v>0</v>
      </c>
      <c r="AH96" s="36">
        <v>0</v>
      </c>
      <c r="AI96" s="36">
        <v>0</v>
      </c>
      <c r="AJ96" s="36">
        <v>0</v>
      </c>
      <c r="AK96" s="36">
        <v>0</v>
      </c>
      <c r="AL96" s="36">
        <v>0</v>
      </c>
      <c r="AM96" s="36">
        <v>0</v>
      </c>
      <c r="AN96" s="36">
        <v>0</v>
      </c>
      <c r="AO96" s="36">
        <v>0</v>
      </c>
      <c r="AP96" s="36">
        <v>0</v>
      </c>
      <c r="AQ96" s="36">
        <v>0</v>
      </c>
      <c r="AR96" s="36">
        <v>0</v>
      </c>
      <c r="AS96" s="36">
        <v>0</v>
      </c>
      <c r="AT96" s="36">
        <v>0</v>
      </c>
      <c r="AU96" s="36">
        <v>0</v>
      </c>
      <c r="AV96" s="36">
        <v>0</v>
      </c>
      <c r="AW96" s="36">
        <v>0</v>
      </c>
      <c r="AX96" s="36">
        <v>0</v>
      </c>
      <c r="AY96" s="36">
        <v>0</v>
      </c>
      <c r="AZ96" s="36">
        <v>0</v>
      </c>
      <c r="BA96" s="36">
        <v>0</v>
      </c>
      <c r="BB96" s="36">
        <v>0</v>
      </c>
      <c r="BC96" s="36">
        <v>0</v>
      </c>
      <c r="BD96" s="36">
        <v>0</v>
      </c>
      <c r="BE96" s="36">
        <v>0</v>
      </c>
      <c r="BF96" s="36">
        <v>0</v>
      </c>
      <c r="BG96" s="36">
        <v>0</v>
      </c>
      <c r="BH96" s="36">
        <v>0</v>
      </c>
      <c r="BI96" s="36">
        <v>0</v>
      </c>
      <c r="BJ96" s="36">
        <v>0</v>
      </c>
      <c r="BK96" s="36">
        <v>0</v>
      </c>
      <c r="BL96" s="37">
        <v>0</v>
      </c>
    </row>
    <row r="97" spans="16:64" s="3" customFormat="1" ht="18" customHeight="1" x14ac:dyDescent="0.2">
      <c r="P97" s="39">
        <v>16</v>
      </c>
      <c r="Q97" s="35">
        <v>0</v>
      </c>
      <c r="R97" s="36">
        <v>0</v>
      </c>
      <c r="S97" s="36">
        <v>0</v>
      </c>
      <c r="T97" s="36">
        <v>0</v>
      </c>
      <c r="U97" s="36">
        <v>0</v>
      </c>
      <c r="V97" s="36">
        <v>0</v>
      </c>
      <c r="W97" s="36">
        <v>0</v>
      </c>
      <c r="X97" s="36">
        <v>0</v>
      </c>
      <c r="Y97" s="36">
        <v>0</v>
      </c>
      <c r="Z97" s="36">
        <v>0</v>
      </c>
      <c r="AA97" s="36">
        <v>0</v>
      </c>
      <c r="AB97" s="36">
        <v>0</v>
      </c>
      <c r="AC97" s="36">
        <v>0</v>
      </c>
      <c r="AD97" s="36">
        <v>0</v>
      </c>
      <c r="AE97" s="36">
        <v>0</v>
      </c>
      <c r="AF97" s="36">
        <v>1</v>
      </c>
      <c r="AG97" s="36">
        <v>0</v>
      </c>
      <c r="AH97" s="36">
        <v>0</v>
      </c>
      <c r="AI97" s="36">
        <v>0</v>
      </c>
      <c r="AJ97" s="36">
        <v>0</v>
      </c>
      <c r="AK97" s="36">
        <v>0</v>
      </c>
      <c r="AL97" s="36">
        <v>0</v>
      </c>
      <c r="AM97" s="36">
        <v>0</v>
      </c>
      <c r="AN97" s="36">
        <v>0</v>
      </c>
      <c r="AO97" s="36">
        <v>0</v>
      </c>
      <c r="AP97" s="36">
        <v>0</v>
      </c>
      <c r="AQ97" s="36">
        <v>0</v>
      </c>
      <c r="AR97" s="36">
        <v>0</v>
      </c>
      <c r="AS97" s="36">
        <v>0</v>
      </c>
      <c r="AT97" s="36">
        <v>0</v>
      </c>
      <c r="AU97" s="36">
        <v>0</v>
      </c>
      <c r="AV97" s="36">
        <v>0</v>
      </c>
      <c r="AW97" s="36">
        <v>0</v>
      </c>
      <c r="AX97" s="36">
        <v>0</v>
      </c>
      <c r="AY97" s="36">
        <v>0</v>
      </c>
      <c r="AZ97" s="36">
        <v>0</v>
      </c>
      <c r="BA97" s="36">
        <v>0</v>
      </c>
      <c r="BB97" s="36">
        <v>0</v>
      </c>
      <c r="BC97" s="36">
        <v>0</v>
      </c>
      <c r="BD97" s="36">
        <v>0</v>
      </c>
      <c r="BE97" s="36">
        <v>0</v>
      </c>
      <c r="BF97" s="36">
        <v>0</v>
      </c>
      <c r="BG97" s="36">
        <v>0</v>
      </c>
      <c r="BH97" s="36">
        <v>0</v>
      </c>
      <c r="BI97" s="36">
        <v>0</v>
      </c>
      <c r="BJ97" s="36">
        <v>0</v>
      </c>
      <c r="BK97" s="36">
        <v>0</v>
      </c>
      <c r="BL97" s="37">
        <v>0</v>
      </c>
    </row>
    <row r="98" spans="16:64" s="3" customFormat="1" ht="18" customHeight="1" x14ac:dyDescent="0.2">
      <c r="P98" s="39">
        <v>17</v>
      </c>
      <c r="Q98" s="35">
        <v>0</v>
      </c>
      <c r="R98" s="36">
        <v>0</v>
      </c>
      <c r="S98" s="36">
        <v>0</v>
      </c>
      <c r="T98" s="36">
        <v>0</v>
      </c>
      <c r="U98" s="36">
        <v>0</v>
      </c>
      <c r="V98" s="36">
        <v>0</v>
      </c>
      <c r="W98" s="36">
        <v>0</v>
      </c>
      <c r="X98" s="36">
        <v>0</v>
      </c>
      <c r="Y98" s="36">
        <v>0</v>
      </c>
      <c r="Z98" s="36">
        <v>0</v>
      </c>
      <c r="AA98" s="36">
        <v>0</v>
      </c>
      <c r="AB98" s="36">
        <v>0</v>
      </c>
      <c r="AC98" s="36">
        <v>0</v>
      </c>
      <c r="AD98" s="36">
        <v>0</v>
      </c>
      <c r="AE98" s="36">
        <v>0</v>
      </c>
      <c r="AF98" s="36">
        <v>0</v>
      </c>
      <c r="AG98" s="36">
        <v>1</v>
      </c>
      <c r="AH98" s="36">
        <v>0</v>
      </c>
      <c r="AI98" s="36">
        <v>0</v>
      </c>
      <c r="AJ98" s="36">
        <v>0</v>
      </c>
      <c r="AK98" s="36">
        <v>0</v>
      </c>
      <c r="AL98" s="36">
        <v>0</v>
      </c>
      <c r="AM98" s="36">
        <v>0</v>
      </c>
      <c r="AN98" s="36">
        <v>0</v>
      </c>
      <c r="AO98" s="36">
        <v>0</v>
      </c>
      <c r="AP98" s="36">
        <v>0</v>
      </c>
      <c r="AQ98" s="36">
        <v>0</v>
      </c>
      <c r="AR98" s="36">
        <v>0</v>
      </c>
      <c r="AS98" s="36">
        <v>0</v>
      </c>
      <c r="AT98" s="36">
        <v>0</v>
      </c>
      <c r="AU98" s="36">
        <v>0</v>
      </c>
      <c r="AV98" s="36">
        <v>0</v>
      </c>
      <c r="AW98" s="36">
        <v>0</v>
      </c>
      <c r="AX98" s="36">
        <v>0</v>
      </c>
      <c r="AY98" s="36">
        <v>0</v>
      </c>
      <c r="AZ98" s="36">
        <v>0</v>
      </c>
      <c r="BA98" s="36">
        <v>0</v>
      </c>
      <c r="BB98" s="36">
        <v>0</v>
      </c>
      <c r="BC98" s="36">
        <v>0</v>
      </c>
      <c r="BD98" s="36">
        <v>0</v>
      </c>
      <c r="BE98" s="36">
        <v>0</v>
      </c>
      <c r="BF98" s="36">
        <v>0</v>
      </c>
      <c r="BG98" s="36">
        <v>0</v>
      </c>
      <c r="BH98" s="36">
        <v>0</v>
      </c>
      <c r="BI98" s="36">
        <v>0</v>
      </c>
      <c r="BJ98" s="36">
        <v>0</v>
      </c>
      <c r="BK98" s="36">
        <v>0</v>
      </c>
      <c r="BL98" s="37">
        <v>0</v>
      </c>
    </row>
    <row r="99" spans="16:64" s="3" customFormat="1" ht="18" customHeight="1" x14ac:dyDescent="0.2">
      <c r="P99" s="39">
        <v>18</v>
      </c>
      <c r="Q99" s="35">
        <v>0</v>
      </c>
      <c r="R99" s="36">
        <v>0</v>
      </c>
      <c r="S99" s="36">
        <v>0</v>
      </c>
      <c r="T99" s="36">
        <v>0</v>
      </c>
      <c r="U99" s="36">
        <v>0</v>
      </c>
      <c r="V99" s="36">
        <v>0</v>
      </c>
      <c r="W99" s="36">
        <v>0</v>
      </c>
      <c r="X99" s="36">
        <v>0</v>
      </c>
      <c r="Y99" s="36">
        <v>0</v>
      </c>
      <c r="Z99" s="36">
        <v>0</v>
      </c>
      <c r="AA99" s="36">
        <v>0</v>
      </c>
      <c r="AB99" s="36">
        <v>0</v>
      </c>
      <c r="AC99" s="36">
        <v>0</v>
      </c>
      <c r="AD99" s="36">
        <v>0</v>
      </c>
      <c r="AE99" s="36">
        <v>0</v>
      </c>
      <c r="AF99" s="36">
        <v>0</v>
      </c>
      <c r="AG99" s="36">
        <v>0</v>
      </c>
      <c r="AH99" s="36">
        <v>1</v>
      </c>
      <c r="AI99" s="36">
        <v>0</v>
      </c>
      <c r="AJ99" s="36">
        <v>0</v>
      </c>
      <c r="AK99" s="36">
        <v>0</v>
      </c>
      <c r="AL99" s="36">
        <v>0</v>
      </c>
      <c r="AM99" s="36">
        <v>0</v>
      </c>
      <c r="AN99" s="36">
        <v>0</v>
      </c>
      <c r="AO99" s="36">
        <v>0</v>
      </c>
      <c r="AP99" s="36">
        <v>0</v>
      </c>
      <c r="AQ99" s="36">
        <v>0</v>
      </c>
      <c r="AR99" s="36">
        <v>0</v>
      </c>
      <c r="AS99" s="36">
        <v>0</v>
      </c>
      <c r="AT99" s="36">
        <v>0</v>
      </c>
      <c r="AU99" s="36">
        <v>0</v>
      </c>
      <c r="AV99" s="36">
        <v>0</v>
      </c>
      <c r="AW99" s="36">
        <v>0</v>
      </c>
      <c r="AX99" s="36">
        <v>0</v>
      </c>
      <c r="AY99" s="36">
        <v>0</v>
      </c>
      <c r="AZ99" s="36">
        <v>0</v>
      </c>
      <c r="BA99" s="36">
        <v>0</v>
      </c>
      <c r="BB99" s="36">
        <v>0</v>
      </c>
      <c r="BC99" s="36">
        <v>0</v>
      </c>
      <c r="BD99" s="36">
        <v>0</v>
      </c>
      <c r="BE99" s="36">
        <v>0</v>
      </c>
      <c r="BF99" s="36">
        <v>0</v>
      </c>
      <c r="BG99" s="36">
        <v>0</v>
      </c>
      <c r="BH99" s="36">
        <v>0</v>
      </c>
      <c r="BI99" s="36">
        <v>0</v>
      </c>
      <c r="BJ99" s="36">
        <v>0</v>
      </c>
      <c r="BK99" s="36">
        <v>0</v>
      </c>
      <c r="BL99" s="37">
        <v>0</v>
      </c>
    </row>
    <row r="100" spans="16:64" s="3" customFormat="1" ht="18" customHeight="1" x14ac:dyDescent="0.2">
      <c r="P100" s="39">
        <v>19</v>
      </c>
      <c r="Q100" s="35">
        <v>0</v>
      </c>
      <c r="R100" s="36">
        <v>0</v>
      </c>
      <c r="S100" s="36">
        <v>0</v>
      </c>
      <c r="T100" s="36">
        <v>0</v>
      </c>
      <c r="U100" s="36">
        <v>0</v>
      </c>
      <c r="V100" s="36">
        <v>0</v>
      </c>
      <c r="W100" s="36">
        <v>0</v>
      </c>
      <c r="X100" s="36">
        <v>0</v>
      </c>
      <c r="Y100" s="36">
        <v>0</v>
      </c>
      <c r="Z100" s="36">
        <v>0</v>
      </c>
      <c r="AA100" s="36">
        <v>0</v>
      </c>
      <c r="AB100" s="36">
        <v>0</v>
      </c>
      <c r="AC100" s="36">
        <v>0</v>
      </c>
      <c r="AD100" s="36">
        <v>0</v>
      </c>
      <c r="AE100" s="36">
        <v>0</v>
      </c>
      <c r="AF100" s="36">
        <v>0</v>
      </c>
      <c r="AG100" s="36">
        <v>0</v>
      </c>
      <c r="AH100" s="36">
        <v>0</v>
      </c>
      <c r="AI100" s="36">
        <v>1</v>
      </c>
      <c r="AJ100" s="36">
        <v>0</v>
      </c>
      <c r="AK100" s="36">
        <v>0</v>
      </c>
      <c r="AL100" s="36">
        <v>0</v>
      </c>
      <c r="AM100" s="36">
        <v>0</v>
      </c>
      <c r="AN100" s="36">
        <v>0</v>
      </c>
      <c r="AO100" s="36">
        <v>0</v>
      </c>
      <c r="AP100" s="36">
        <v>0</v>
      </c>
      <c r="AQ100" s="36">
        <v>0</v>
      </c>
      <c r="AR100" s="36">
        <v>0</v>
      </c>
      <c r="AS100" s="36">
        <v>0</v>
      </c>
      <c r="AT100" s="36">
        <v>0</v>
      </c>
      <c r="AU100" s="36">
        <v>0</v>
      </c>
      <c r="AV100" s="36">
        <v>0</v>
      </c>
      <c r="AW100" s="36">
        <v>0</v>
      </c>
      <c r="AX100" s="36">
        <v>0</v>
      </c>
      <c r="AY100" s="36">
        <v>0</v>
      </c>
      <c r="AZ100" s="36">
        <v>0</v>
      </c>
      <c r="BA100" s="36">
        <v>0</v>
      </c>
      <c r="BB100" s="36">
        <v>0</v>
      </c>
      <c r="BC100" s="36">
        <v>0</v>
      </c>
      <c r="BD100" s="36">
        <v>0</v>
      </c>
      <c r="BE100" s="36">
        <v>0</v>
      </c>
      <c r="BF100" s="36">
        <v>0</v>
      </c>
      <c r="BG100" s="36">
        <v>0</v>
      </c>
      <c r="BH100" s="36">
        <v>0</v>
      </c>
      <c r="BI100" s="36">
        <v>0</v>
      </c>
      <c r="BJ100" s="36">
        <v>0</v>
      </c>
      <c r="BK100" s="36">
        <v>0</v>
      </c>
      <c r="BL100" s="37">
        <v>0</v>
      </c>
    </row>
    <row r="101" spans="16:64" s="3" customFormat="1" ht="18" customHeight="1" x14ac:dyDescent="0.2">
      <c r="P101" s="39">
        <v>20</v>
      </c>
      <c r="Q101" s="35">
        <v>0</v>
      </c>
      <c r="R101" s="36">
        <v>0</v>
      </c>
      <c r="S101" s="36">
        <v>0</v>
      </c>
      <c r="T101" s="36">
        <v>0</v>
      </c>
      <c r="U101" s="36">
        <v>0</v>
      </c>
      <c r="V101" s="36">
        <v>0</v>
      </c>
      <c r="W101" s="36">
        <v>0</v>
      </c>
      <c r="X101" s="36">
        <v>0</v>
      </c>
      <c r="Y101" s="36">
        <v>0</v>
      </c>
      <c r="Z101" s="36">
        <v>0</v>
      </c>
      <c r="AA101" s="36">
        <v>0</v>
      </c>
      <c r="AB101" s="36">
        <v>0</v>
      </c>
      <c r="AC101" s="36">
        <v>0</v>
      </c>
      <c r="AD101" s="36">
        <v>0</v>
      </c>
      <c r="AE101" s="36">
        <v>0</v>
      </c>
      <c r="AF101" s="36">
        <v>0</v>
      </c>
      <c r="AG101" s="36">
        <v>0</v>
      </c>
      <c r="AH101" s="36">
        <v>0</v>
      </c>
      <c r="AI101" s="36">
        <v>0</v>
      </c>
      <c r="AJ101" s="36">
        <v>1</v>
      </c>
      <c r="AK101" s="36">
        <v>0</v>
      </c>
      <c r="AL101" s="36">
        <v>0</v>
      </c>
      <c r="AM101" s="36">
        <v>0</v>
      </c>
      <c r="AN101" s="36">
        <v>0</v>
      </c>
      <c r="AO101" s="36">
        <v>0</v>
      </c>
      <c r="AP101" s="36">
        <v>0</v>
      </c>
      <c r="AQ101" s="36">
        <v>0</v>
      </c>
      <c r="AR101" s="36">
        <v>0</v>
      </c>
      <c r="AS101" s="36">
        <v>0</v>
      </c>
      <c r="AT101" s="36">
        <v>0</v>
      </c>
      <c r="AU101" s="36">
        <v>0</v>
      </c>
      <c r="AV101" s="36">
        <v>0</v>
      </c>
      <c r="AW101" s="36">
        <v>0</v>
      </c>
      <c r="AX101" s="36">
        <v>0</v>
      </c>
      <c r="AY101" s="36">
        <v>0</v>
      </c>
      <c r="AZ101" s="36">
        <v>0</v>
      </c>
      <c r="BA101" s="36">
        <v>0</v>
      </c>
      <c r="BB101" s="36">
        <v>0</v>
      </c>
      <c r="BC101" s="36">
        <v>0</v>
      </c>
      <c r="BD101" s="36">
        <v>0</v>
      </c>
      <c r="BE101" s="36">
        <v>0</v>
      </c>
      <c r="BF101" s="36">
        <v>0</v>
      </c>
      <c r="BG101" s="36">
        <v>0</v>
      </c>
      <c r="BH101" s="36">
        <v>0</v>
      </c>
      <c r="BI101" s="36">
        <v>0</v>
      </c>
      <c r="BJ101" s="36">
        <v>0</v>
      </c>
      <c r="BK101" s="36">
        <v>0</v>
      </c>
      <c r="BL101" s="37">
        <v>0</v>
      </c>
    </row>
    <row r="102" spans="16:64" s="3" customFormat="1" ht="18" customHeight="1" x14ac:dyDescent="0.2">
      <c r="P102" s="39">
        <v>21</v>
      </c>
      <c r="Q102" s="35">
        <v>0</v>
      </c>
      <c r="R102" s="36">
        <v>0</v>
      </c>
      <c r="S102" s="36">
        <v>0</v>
      </c>
      <c r="T102" s="36">
        <v>0</v>
      </c>
      <c r="U102" s="36">
        <v>0</v>
      </c>
      <c r="V102" s="36">
        <v>0</v>
      </c>
      <c r="W102" s="36">
        <v>0</v>
      </c>
      <c r="X102" s="36">
        <v>0</v>
      </c>
      <c r="Y102" s="36">
        <v>0</v>
      </c>
      <c r="Z102" s="36">
        <v>0</v>
      </c>
      <c r="AA102" s="36">
        <v>0</v>
      </c>
      <c r="AB102" s="36">
        <v>0</v>
      </c>
      <c r="AC102" s="36">
        <v>0</v>
      </c>
      <c r="AD102" s="36">
        <v>0</v>
      </c>
      <c r="AE102" s="36">
        <v>0</v>
      </c>
      <c r="AF102" s="36">
        <v>0</v>
      </c>
      <c r="AG102" s="36">
        <v>0</v>
      </c>
      <c r="AH102" s="36">
        <v>0</v>
      </c>
      <c r="AI102" s="36">
        <v>0</v>
      </c>
      <c r="AJ102" s="36">
        <v>0</v>
      </c>
      <c r="AK102" s="36">
        <v>1</v>
      </c>
      <c r="AL102" s="36">
        <v>0</v>
      </c>
      <c r="AM102" s="36">
        <v>0</v>
      </c>
      <c r="AN102" s="36">
        <v>0</v>
      </c>
      <c r="AO102" s="36">
        <v>0</v>
      </c>
      <c r="AP102" s="36">
        <v>0</v>
      </c>
      <c r="AQ102" s="36">
        <v>0</v>
      </c>
      <c r="AR102" s="36">
        <v>0</v>
      </c>
      <c r="AS102" s="36">
        <v>0</v>
      </c>
      <c r="AT102" s="36">
        <v>0</v>
      </c>
      <c r="AU102" s="36">
        <v>0</v>
      </c>
      <c r="AV102" s="36">
        <v>0</v>
      </c>
      <c r="AW102" s="36">
        <v>0</v>
      </c>
      <c r="AX102" s="36">
        <v>0</v>
      </c>
      <c r="AY102" s="36">
        <v>0</v>
      </c>
      <c r="AZ102" s="36">
        <v>0</v>
      </c>
      <c r="BA102" s="36">
        <v>0</v>
      </c>
      <c r="BB102" s="36">
        <v>0</v>
      </c>
      <c r="BC102" s="36">
        <v>0</v>
      </c>
      <c r="BD102" s="36">
        <v>0</v>
      </c>
      <c r="BE102" s="36">
        <v>0</v>
      </c>
      <c r="BF102" s="36">
        <v>0</v>
      </c>
      <c r="BG102" s="36">
        <v>0</v>
      </c>
      <c r="BH102" s="36">
        <v>0</v>
      </c>
      <c r="BI102" s="36">
        <v>0</v>
      </c>
      <c r="BJ102" s="36">
        <v>0</v>
      </c>
      <c r="BK102" s="36">
        <v>0</v>
      </c>
      <c r="BL102" s="37">
        <v>0</v>
      </c>
    </row>
    <row r="103" spans="16:64" s="3" customFormat="1" ht="18" customHeight="1" x14ac:dyDescent="0.2">
      <c r="P103" s="39">
        <v>22</v>
      </c>
      <c r="Q103" s="35">
        <v>0</v>
      </c>
      <c r="R103" s="36">
        <v>0</v>
      </c>
      <c r="S103" s="36">
        <v>0</v>
      </c>
      <c r="T103" s="36">
        <v>0</v>
      </c>
      <c r="U103" s="36">
        <v>0</v>
      </c>
      <c r="V103" s="36">
        <v>0</v>
      </c>
      <c r="W103" s="36">
        <v>0</v>
      </c>
      <c r="X103" s="36">
        <v>0</v>
      </c>
      <c r="Y103" s="36">
        <v>0</v>
      </c>
      <c r="Z103" s="36">
        <v>0</v>
      </c>
      <c r="AA103" s="36">
        <v>0</v>
      </c>
      <c r="AB103" s="36">
        <v>0</v>
      </c>
      <c r="AC103" s="36">
        <v>0</v>
      </c>
      <c r="AD103" s="36">
        <v>0</v>
      </c>
      <c r="AE103" s="36">
        <v>0</v>
      </c>
      <c r="AF103" s="36">
        <v>0</v>
      </c>
      <c r="AG103" s="36">
        <v>0</v>
      </c>
      <c r="AH103" s="36">
        <v>0</v>
      </c>
      <c r="AI103" s="36">
        <v>0</v>
      </c>
      <c r="AJ103" s="36">
        <v>0</v>
      </c>
      <c r="AK103" s="36">
        <v>0</v>
      </c>
      <c r="AL103" s="36">
        <v>1</v>
      </c>
      <c r="AM103" s="36">
        <v>0</v>
      </c>
      <c r="AN103" s="36">
        <v>0</v>
      </c>
      <c r="AO103" s="36">
        <v>0</v>
      </c>
      <c r="AP103" s="36">
        <v>0</v>
      </c>
      <c r="AQ103" s="36">
        <v>0</v>
      </c>
      <c r="AR103" s="36">
        <v>0</v>
      </c>
      <c r="AS103" s="36">
        <v>0</v>
      </c>
      <c r="AT103" s="36">
        <v>0</v>
      </c>
      <c r="AU103" s="36">
        <v>0</v>
      </c>
      <c r="AV103" s="36">
        <v>0</v>
      </c>
      <c r="AW103" s="36">
        <v>0</v>
      </c>
      <c r="AX103" s="36">
        <v>0</v>
      </c>
      <c r="AY103" s="36">
        <v>0</v>
      </c>
      <c r="AZ103" s="36">
        <v>0</v>
      </c>
      <c r="BA103" s="36">
        <v>0</v>
      </c>
      <c r="BB103" s="36">
        <v>0</v>
      </c>
      <c r="BC103" s="36">
        <v>0</v>
      </c>
      <c r="BD103" s="36">
        <v>0</v>
      </c>
      <c r="BE103" s="36">
        <v>0</v>
      </c>
      <c r="BF103" s="36">
        <v>0</v>
      </c>
      <c r="BG103" s="36">
        <v>0</v>
      </c>
      <c r="BH103" s="36">
        <v>0</v>
      </c>
      <c r="BI103" s="36">
        <v>0</v>
      </c>
      <c r="BJ103" s="36">
        <v>0</v>
      </c>
      <c r="BK103" s="36">
        <v>0</v>
      </c>
      <c r="BL103" s="37">
        <v>0</v>
      </c>
    </row>
    <row r="104" spans="16:64" s="3" customFormat="1" ht="18" customHeight="1" x14ac:dyDescent="0.2">
      <c r="P104" s="39">
        <v>23</v>
      </c>
      <c r="Q104" s="35">
        <v>0</v>
      </c>
      <c r="R104" s="36">
        <v>0</v>
      </c>
      <c r="S104" s="36">
        <v>0</v>
      </c>
      <c r="T104" s="36">
        <v>0</v>
      </c>
      <c r="U104" s="36">
        <v>0</v>
      </c>
      <c r="V104" s="36">
        <v>0</v>
      </c>
      <c r="W104" s="36">
        <v>0</v>
      </c>
      <c r="X104" s="36">
        <v>0</v>
      </c>
      <c r="Y104" s="36">
        <v>0</v>
      </c>
      <c r="Z104" s="36">
        <v>0</v>
      </c>
      <c r="AA104" s="36">
        <v>0</v>
      </c>
      <c r="AB104" s="36">
        <v>0</v>
      </c>
      <c r="AC104" s="36">
        <v>0</v>
      </c>
      <c r="AD104" s="36">
        <v>0</v>
      </c>
      <c r="AE104" s="36">
        <v>0</v>
      </c>
      <c r="AF104" s="36">
        <v>0</v>
      </c>
      <c r="AG104" s="36">
        <v>0</v>
      </c>
      <c r="AH104" s="36">
        <v>0</v>
      </c>
      <c r="AI104" s="36">
        <v>0</v>
      </c>
      <c r="AJ104" s="36">
        <v>0</v>
      </c>
      <c r="AK104" s="36">
        <v>0</v>
      </c>
      <c r="AL104" s="36">
        <v>0</v>
      </c>
      <c r="AM104" s="36">
        <v>0.33333333333333298</v>
      </c>
      <c r="AN104" s="36">
        <v>0</v>
      </c>
      <c r="AO104" s="36">
        <v>0</v>
      </c>
      <c r="AP104" s="36">
        <v>0</v>
      </c>
      <c r="AQ104" s="36">
        <v>0</v>
      </c>
      <c r="AR104" s="36">
        <v>0</v>
      </c>
      <c r="AS104" s="36">
        <v>0</v>
      </c>
      <c r="AT104" s="36">
        <v>0</v>
      </c>
      <c r="AU104" s="36">
        <v>0</v>
      </c>
      <c r="AV104" s="36">
        <v>0</v>
      </c>
      <c r="AW104" s="36">
        <v>0</v>
      </c>
      <c r="AX104" s="36">
        <v>0</v>
      </c>
      <c r="AY104" s="36">
        <v>0</v>
      </c>
      <c r="AZ104" s="36">
        <v>0</v>
      </c>
      <c r="BA104" s="36">
        <v>0</v>
      </c>
      <c r="BB104" s="36">
        <v>0</v>
      </c>
      <c r="BC104" s="36">
        <v>0</v>
      </c>
      <c r="BD104" s="36">
        <v>0</v>
      </c>
      <c r="BE104" s="36">
        <v>0</v>
      </c>
      <c r="BF104" s="36">
        <v>0</v>
      </c>
      <c r="BG104" s="36">
        <v>0</v>
      </c>
      <c r="BH104" s="36">
        <v>0</v>
      </c>
      <c r="BI104" s="36">
        <v>0</v>
      </c>
      <c r="BJ104" s="36">
        <v>0</v>
      </c>
      <c r="BK104" s="36">
        <v>0</v>
      </c>
      <c r="BL104" s="37">
        <v>0</v>
      </c>
    </row>
    <row r="105" spans="16:64" s="3" customFormat="1" ht="18" customHeight="1" x14ac:dyDescent="0.2">
      <c r="P105" s="39">
        <v>24</v>
      </c>
      <c r="Q105" s="35">
        <v>0</v>
      </c>
      <c r="R105" s="36">
        <v>0</v>
      </c>
      <c r="S105" s="36">
        <v>0</v>
      </c>
      <c r="T105" s="36">
        <v>0</v>
      </c>
      <c r="U105" s="36">
        <v>0</v>
      </c>
      <c r="V105" s="36">
        <v>0</v>
      </c>
      <c r="W105" s="36">
        <v>0</v>
      </c>
      <c r="X105" s="36">
        <v>0</v>
      </c>
      <c r="Y105" s="36">
        <v>0</v>
      </c>
      <c r="Z105" s="36">
        <v>0</v>
      </c>
      <c r="AA105" s="36">
        <v>0</v>
      </c>
      <c r="AB105" s="36">
        <v>0</v>
      </c>
      <c r="AC105" s="36">
        <v>0</v>
      </c>
      <c r="AD105" s="36">
        <v>0</v>
      </c>
      <c r="AE105" s="36">
        <v>0</v>
      </c>
      <c r="AF105" s="36">
        <v>0</v>
      </c>
      <c r="AG105" s="36">
        <v>0</v>
      </c>
      <c r="AH105" s="36">
        <v>0</v>
      </c>
      <c r="AI105" s="36">
        <v>0</v>
      </c>
      <c r="AJ105" s="36">
        <v>0</v>
      </c>
      <c r="AK105" s="36">
        <v>0</v>
      </c>
      <c r="AL105" s="36">
        <v>0</v>
      </c>
      <c r="AM105" s="36">
        <v>0</v>
      </c>
      <c r="AN105" s="36">
        <v>0.33333333333333298</v>
      </c>
      <c r="AO105" s="36">
        <v>0</v>
      </c>
      <c r="AP105" s="36">
        <v>0</v>
      </c>
      <c r="AQ105" s="36">
        <v>0</v>
      </c>
      <c r="AR105" s="36">
        <v>0</v>
      </c>
      <c r="AS105" s="36">
        <v>0</v>
      </c>
      <c r="AT105" s="36">
        <v>0</v>
      </c>
      <c r="AU105" s="36">
        <v>0</v>
      </c>
      <c r="AV105" s="36">
        <v>0</v>
      </c>
      <c r="AW105" s="36">
        <v>0</v>
      </c>
      <c r="AX105" s="36">
        <v>0</v>
      </c>
      <c r="AY105" s="36">
        <v>0</v>
      </c>
      <c r="AZ105" s="36">
        <v>0</v>
      </c>
      <c r="BA105" s="36">
        <v>0</v>
      </c>
      <c r="BB105" s="36">
        <v>0</v>
      </c>
      <c r="BC105" s="36">
        <v>0</v>
      </c>
      <c r="BD105" s="36">
        <v>0</v>
      </c>
      <c r="BE105" s="36">
        <v>0</v>
      </c>
      <c r="BF105" s="36">
        <v>0</v>
      </c>
      <c r="BG105" s="36">
        <v>0</v>
      </c>
      <c r="BH105" s="36">
        <v>0</v>
      </c>
      <c r="BI105" s="36">
        <v>0</v>
      </c>
      <c r="BJ105" s="36">
        <v>0</v>
      </c>
      <c r="BK105" s="36">
        <v>0</v>
      </c>
      <c r="BL105" s="37">
        <v>0</v>
      </c>
    </row>
    <row r="106" spans="16:64" s="3" customFormat="1" ht="18" customHeight="1" x14ac:dyDescent="0.2">
      <c r="P106" s="39">
        <v>25</v>
      </c>
      <c r="Q106" s="35">
        <v>0</v>
      </c>
      <c r="R106" s="36">
        <v>0</v>
      </c>
      <c r="S106" s="36">
        <v>0</v>
      </c>
      <c r="T106" s="36">
        <v>0</v>
      </c>
      <c r="U106" s="36">
        <v>0</v>
      </c>
      <c r="V106" s="36">
        <v>0</v>
      </c>
      <c r="W106" s="36">
        <v>0</v>
      </c>
      <c r="X106" s="36">
        <v>0</v>
      </c>
      <c r="Y106" s="36">
        <v>0</v>
      </c>
      <c r="Z106" s="36">
        <v>0</v>
      </c>
      <c r="AA106" s="36">
        <v>0</v>
      </c>
      <c r="AB106" s="36">
        <v>0</v>
      </c>
      <c r="AC106" s="36">
        <v>0</v>
      </c>
      <c r="AD106" s="36">
        <v>0</v>
      </c>
      <c r="AE106" s="36">
        <v>0</v>
      </c>
      <c r="AF106" s="36">
        <v>0</v>
      </c>
      <c r="AG106" s="36">
        <v>0</v>
      </c>
      <c r="AH106" s="36">
        <v>0</v>
      </c>
      <c r="AI106" s="36">
        <v>0</v>
      </c>
      <c r="AJ106" s="36">
        <v>0</v>
      </c>
      <c r="AK106" s="36">
        <v>0</v>
      </c>
      <c r="AL106" s="36">
        <v>0</v>
      </c>
      <c r="AM106" s="36">
        <v>0</v>
      </c>
      <c r="AN106" s="36">
        <v>0</v>
      </c>
      <c r="AO106" s="36">
        <v>0.33333333333333298</v>
      </c>
      <c r="AP106" s="36">
        <v>0</v>
      </c>
      <c r="AQ106" s="36">
        <v>0</v>
      </c>
      <c r="AR106" s="36">
        <v>0</v>
      </c>
      <c r="AS106" s="36">
        <v>0</v>
      </c>
      <c r="AT106" s="36">
        <v>0</v>
      </c>
      <c r="AU106" s="36">
        <v>0</v>
      </c>
      <c r="AV106" s="36">
        <v>0</v>
      </c>
      <c r="AW106" s="36">
        <v>0</v>
      </c>
      <c r="AX106" s="36">
        <v>0</v>
      </c>
      <c r="AY106" s="36">
        <v>0</v>
      </c>
      <c r="AZ106" s="36">
        <v>0</v>
      </c>
      <c r="BA106" s="36">
        <v>0</v>
      </c>
      <c r="BB106" s="36">
        <v>0</v>
      </c>
      <c r="BC106" s="36">
        <v>0</v>
      </c>
      <c r="BD106" s="36">
        <v>0</v>
      </c>
      <c r="BE106" s="36">
        <v>0</v>
      </c>
      <c r="BF106" s="36">
        <v>0</v>
      </c>
      <c r="BG106" s="36">
        <v>0</v>
      </c>
      <c r="BH106" s="36">
        <v>0</v>
      </c>
      <c r="BI106" s="36">
        <v>0</v>
      </c>
      <c r="BJ106" s="36">
        <v>0</v>
      </c>
      <c r="BK106" s="36">
        <v>0</v>
      </c>
      <c r="BL106" s="37">
        <v>0</v>
      </c>
    </row>
    <row r="107" spans="16:64" s="3" customFormat="1" ht="18" customHeight="1" x14ac:dyDescent="0.2">
      <c r="P107" s="39">
        <v>26</v>
      </c>
      <c r="Q107" s="35">
        <v>0</v>
      </c>
      <c r="R107" s="36">
        <v>0</v>
      </c>
      <c r="S107" s="36">
        <v>0</v>
      </c>
      <c r="T107" s="36">
        <v>0</v>
      </c>
      <c r="U107" s="36">
        <v>0</v>
      </c>
      <c r="V107" s="36">
        <v>0</v>
      </c>
      <c r="W107" s="36">
        <v>0</v>
      </c>
      <c r="X107" s="36">
        <v>0</v>
      </c>
      <c r="Y107" s="36">
        <v>0</v>
      </c>
      <c r="Z107" s="36">
        <v>0</v>
      </c>
      <c r="AA107" s="36">
        <v>0</v>
      </c>
      <c r="AB107" s="36">
        <v>0</v>
      </c>
      <c r="AC107" s="36">
        <v>0</v>
      </c>
      <c r="AD107" s="36">
        <v>0</v>
      </c>
      <c r="AE107" s="36">
        <v>0</v>
      </c>
      <c r="AF107" s="36">
        <v>0</v>
      </c>
      <c r="AG107" s="36">
        <v>0</v>
      </c>
      <c r="AH107" s="36">
        <v>0</v>
      </c>
      <c r="AI107" s="36">
        <v>0</v>
      </c>
      <c r="AJ107" s="36">
        <v>0</v>
      </c>
      <c r="AK107" s="36">
        <v>0</v>
      </c>
      <c r="AL107" s="36">
        <v>0</v>
      </c>
      <c r="AM107" s="36">
        <v>0</v>
      </c>
      <c r="AN107" s="36">
        <v>0</v>
      </c>
      <c r="AO107" s="36">
        <v>0</v>
      </c>
      <c r="AP107" s="36">
        <v>0.33333333333333298</v>
      </c>
      <c r="AQ107" s="36">
        <v>0</v>
      </c>
      <c r="AR107" s="36">
        <v>0</v>
      </c>
      <c r="AS107" s="36">
        <v>0</v>
      </c>
      <c r="AT107" s="36">
        <v>0</v>
      </c>
      <c r="AU107" s="36">
        <v>0</v>
      </c>
      <c r="AV107" s="36">
        <v>0</v>
      </c>
      <c r="AW107" s="36">
        <v>0</v>
      </c>
      <c r="AX107" s="36">
        <v>0</v>
      </c>
      <c r="AY107" s="36">
        <v>0</v>
      </c>
      <c r="AZ107" s="36">
        <v>0</v>
      </c>
      <c r="BA107" s="36">
        <v>0</v>
      </c>
      <c r="BB107" s="36">
        <v>0</v>
      </c>
      <c r="BC107" s="36">
        <v>0</v>
      </c>
      <c r="BD107" s="36">
        <v>0</v>
      </c>
      <c r="BE107" s="36">
        <v>0</v>
      </c>
      <c r="BF107" s="36">
        <v>0</v>
      </c>
      <c r="BG107" s="36">
        <v>0</v>
      </c>
      <c r="BH107" s="36">
        <v>0</v>
      </c>
      <c r="BI107" s="36">
        <v>0</v>
      </c>
      <c r="BJ107" s="36">
        <v>0</v>
      </c>
      <c r="BK107" s="36">
        <v>0</v>
      </c>
      <c r="BL107" s="37">
        <v>0</v>
      </c>
    </row>
    <row r="108" spans="16:64" s="3" customFormat="1" ht="18" customHeight="1" x14ac:dyDescent="0.2">
      <c r="P108" s="39">
        <v>27</v>
      </c>
      <c r="Q108" s="35">
        <v>0</v>
      </c>
      <c r="R108" s="36">
        <v>0</v>
      </c>
      <c r="S108" s="36">
        <v>0</v>
      </c>
      <c r="T108" s="36">
        <v>0</v>
      </c>
      <c r="U108" s="36">
        <v>0</v>
      </c>
      <c r="V108" s="36">
        <v>0</v>
      </c>
      <c r="W108" s="36">
        <v>0</v>
      </c>
      <c r="X108" s="36">
        <v>0</v>
      </c>
      <c r="Y108" s="36">
        <v>0</v>
      </c>
      <c r="Z108" s="36">
        <v>0</v>
      </c>
      <c r="AA108" s="36">
        <v>0</v>
      </c>
      <c r="AB108" s="36">
        <v>0</v>
      </c>
      <c r="AC108" s="36">
        <v>0</v>
      </c>
      <c r="AD108" s="36">
        <v>0</v>
      </c>
      <c r="AE108" s="36">
        <v>0</v>
      </c>
      <c r="AF108" s="36">
        <v>0</v>
      </c>
      <c r="AG108" s="36">
        <v>0</v>
      </c>
      <c r="AH108" s="36">
        <v>0</v>
      </c>
      <c r="AI108" s="36">
        <v>0</v>
      </c>
      <c r="AJ108" s="36">
        <v>0</v>
      </c>
      <c r="AK108" s="36">
        <v>0</v>
      </c>
      <c r="AL108" s="36">
        <v>0</v>
      </c>
      <c r="AM108" s="36">
        <v>0</v>
      </c>
      <c r="AN108" s="36">
        <v>0</v>
      </c>
      <c r="AO108" s="36">
        <v>0</v>
      </c>
      <c r="AP108" s="36">
        <v>0</v>
      </c>
      <c r="AQ108" s="36">
        <v>0.33333333333333298</v>
      </c>
      <c r="AR108" s="36">
        <v>0</v>
      </c>
      <c r="AS108" s="36">
        <v>0</v>
      </c>
      <c r="AT108" s="36">
        <v>0</v>
      </c>
      <c r="AU108" s="36">
        <v>0</v>
      </c>
      <c r="AV108" s="36">
        <v>0</v>
      </c>
      <c r="AW108" s="36">
        <v>0</v>
      </c>
      <c r="AX108" s="36">
        <v>0</v>
      </c>
      <c r="AY108" s="36">
        <v>0</v>
      </c>
      <c r="AZ108" s="36">
        <v>0</v>
      </c>
      <c r="BA108" s="36">
        <v>0</v>
      </c>
      <c r="BB108" s="36">
        <v>0</v>
      </c>
      <c r="BC108" s="36">
        <v>0</v>
      </c>
      <c r="BD108" s="36">
        <v>0</v>
      </c>
      <c r="BE108" s="36">
        <v>0</v>
      </c>
      <c r="BF108" s="36">
        <v>0</v>
      </c>
      <c r="BG108" s="36">
        <v>0</v>
      </c>
      <c r="BH108" s="36">
        <v>0</v>
      </c>
      <c r="BI108" s="36">
        <v>0</v>
      </c>
      <c r="BJ108" s="36">
        <v>0</v>
      </c>
      <c r="BK108" s="36">
        <v>0</v>
      </c>
      <c r="BL108" s="37">
        <v>0</v>
      </c>
    </row>
    <row r="109" spans="16:64" s="3" customFormat="1" ht="18" customHeight="1" x14ac:dyDescent="0.2">
      <c r="P109" s="39">
        <v>28</v>
      </c>
      <c r="Q109" s="35">
        <v>0</v>
      </c>
      <c r="R109" s="36">
        <v>0</v>
      </c>
      <c r="S109" s="36">
        <v>0</v>
      </c>
      <c r="T109" s="36">
        <v>0</v>
      </c>
      <c r="U109" s="36">
        <v>0</v>
      </c>
      <c r="V109" s="36">
        <v>0</v>
      </c>
      <c r="W109" s="36">
        <v>0</v>
      </c>
      <c r="X109" s="36">
        <v>0</v>
      </c>
      <c r="Y109" s="36">
        <v>0</v>
      </c>
      <c r="Z109" s="36">
        <v>0</v>
      </c>
      <c r="AA109" s="36">
        <v>0</v>
      </c>
      <c r="AB109" s="36">
        <v>0</v>
      </c>
      <c r="AC109" s="36">
        <v>0</v>
      </c>
      <c r="AD109" s="36">
        <v>0</v>
      </c>
      <c r="AE109" s="36">
        <v>0</v>
      </c>
      <c r="AF109" s="36">
        <v>0</v>
      </c>
      <c r="AG109" s="36">
        <v>0</v>
      </c>
      <c r="AH109" s="36">
        <v>0</v>
      </c>
      <c r="AI109" s="36">
        <v>0</v>
      </c>
      <c r="AJ109" s="36">
        <v>0</v>
      </c>
      <c r="AK109" s="36">
        <v>0</v>
      </c>
      <c r="AL109" s="36">
        <v>0</v>
      </c>
      <c r="AM109" s="36">
        <v>0</v>
      </c>
      <c r="AN109" s="36">
        <v>0</v>
      </c>
      <c r="AO109" s="36">
        <v>0</v>
      </c>
      <c r="AP109" s="36">
        <v>0</v>
      </c>
      <c r="AQ109" s="36">
        <v>0</v>
      </c>
      <c r="AR109" s="36">
        <v>0.33333333333333298</v>
      </c>
      <c r="AS109" s="36">
        <v>0</v>
      </c>
      <c r="AT109" s="36">
        <v>0</v>
      </c>
      <c r="AU109" s="36">
        <v>0</v>
      </c>
      <c r="AV109" s="36">
        <v>0</v>
      </c>
      <c r="AW109" s="36">
        <v>0</v>
      </c>
      <c r="AX109" s="36">
        <v>0</v>
      </c>
      <c r="AY109" s="36">
        <v>0</v>
      </c>
      <c r="AZ109" s="36">
        <v>0</v>
      </c>
      <c r="BA109" s="36">
        <v>0</v>
      </c>
      <c r="BB109" s="36">
        <v>0</v>
      </c>
      <c r="BC109" s="36">
        <v>0</v>
      </c>
      <c r="BD109" s="36">
        <v>0</v>
      </c>
      <c r="BE109" s="36">
        <v>0</v>
      </c>
      <c r="BF109" s="36">
        <v>0</v>
      </c>
      <c r="BG109" s="36">
        <v>0</v>
      </c>
      <c r="BH109" s="36">
        <v>0</v>
      </c>
      <c r="BI109" s="36">
        <v>0</v>
      </c>
      <c r="BJ109" s="36">
        <v>0</v>
      </c>
      <c r="BK109" s="36">
        <v>0</v>
      </c>
      <c r="BL109" s="37">
        <v>0</v>
      </c>
    </row>
    <row r="110" spans="16:64" s="3" customFormat="1" ht="18" customHeight="1" x14ac:dyDescent="0.2">
      <c r="P110" s="39">
        <v>29</v>
      </c>
      <c r="Q110" s="35">
        <v>0</v>
      </c>
      <c r="R110" s="36">
        <v>0</v>
      </c>
      <c r="S110" s="36">
        <v>0</v>
      </c>
      <c r="T110" s="36">
        <v>0</v>
      </c>
      <c r="U110" s="36">
        <v>0</v>
      </c>
      <c r="V110" s="36">
        <v>0</v>
      </c>
      <c r="W110" s="36">
        <v>0</v>
      </c>
      <c r="X110" s="36">
        <v>0</v>
      </c>
      <c r="Y110" s="36">
        <v>0</v>
      </c>
      <c r="Z110" s="36">
        <v>0</v>
      </c>
      <c r="AA110" s="36">
        <v>0</v>
      </c>
      <c r="AB110" s="36">
        <v>0</v>
      </c>
      <c r="AC110" s="36">
        <v>0</v>
      </c>
      <c r="AD110" s="36">
        <v>0</v>
      </c>
      <c r="AE110" s="36">
        <v>0</v>
      </c>
      <c r="AF110" s="36">
        <v>0</v>
      </c>
      <c r="AG110" s="36">
        <v>0</v>
      </c>
      <c r="AH110" s="36">
        <v>0</v>
      </c>
      <c r="AI110" s="36">
        <v>0</v>
      </c>
      <c r="AJ110" s="36">
        <v>0</v>
      </c>
      <c r="AK110" s="36">
        <v>0</v>
      </c>
      <c r="AL110" s="36">
        <v>0</v>
      </c>
      <c r="AM110" s="36">
        <v>0</v>
      </c>
      <c r="AN110" s="36">
        <v>0</v>
      </c>
      <c r="AO110" s="36">
        <v>0</v>
      </c>
      <c r="AP110" s="36">
        <v>0</v>
      </c>
      <c r="AQ110" s="36">
        <v>0</v>
      </c>
      <c r="AR110" s="36">
        <v>0</v>
      </c>
      <c r="AS110" s="36">
        <v>7.69230769230769E-2</v>
      </c>
      <c r="AT110" s="36">
        <v>0</v>
      </c>
      <c r="AU110" s="36">
        <v>0</v>
      </c>
      <c r="AV110" s="36">
        <v>0</v>
      </c>
      <c r="AW110" s="36">
        <v>0</v>
      </c>
      <c r="AX110" s="36">
        <v>0</v>
      </c>
      <c r="AY110" s="36">
        <v>0</v>
      </c>
      <c r="AZ110" s="36">
        <v>0</v>
      </c>
      <c r="BA110" s="36">
        <v>0</v>
      </c>
      <c r="BB110" s="36">
        <v>0</v>
      </c>
      <c r="BC110" s="36">
        <v>0</v>
      </c>
      <c r="BD110" s="36">
        <v>0</v>
      </c>
      <c r="BE110" s="36">
        <v>0</v>
      </c>
      <c r="BF110" s="36">
        <v>0</v>
      </c>
      <c r="BG110" s="36">
        <v>0</v>
      </c>
      <c r="BH110" s="36">
        <v>0</v>
      </c>
      <c r="BI110" s="36">
        <v>0</v>
      </c>
      <c r="BJ110" s="36">
        <v>0</v>
      </c>
      <c r="BK110" s="36">
        <v>0</v>
      </c>
      <c r="BL110" s="37">
        <v>0</v>
      </c>
    </row>
    <row r="111" spans="16:64" s="3" customFormat="1" ht="18" customHeight="1" x14ac:dyDescent="0.2">
      <c r="P111" s="39">
        <v>30</v>
      </c>
      <c r="Q111" s="35">
        <v>0</v>
      </c>
      <c r="R111" s="36">
        <v>0</v>
      </c>
      <c r="S111" s="36">
        <v>0</v>
      </c>
      <c r="T111" s="36">
        <v>0</v>
      </c>
      <c r="U111" s="36">
        <v>0</v>
      </c>
      <c r="V111" s="36">
        <v>0</v>
      </c>
      <c r="W111" s="36">
        <v>0</v>
      </c>
      <c r="X111" s="36">
        <v>0</v>
      </c>
      <c r="Y111" s="36">
        <v>0</v>
      </c>
      <c r="Z111" s="36">
        <v>0</v>
      </c>
      <c r="AA111" s="36">
        <v>0</v>
      </c>
      <c r="AB111" s="36">
        <v>0</v>
      </c>
      <c r="AC111" s="36">
        <v>0</v>
      </c>
      <c r="AD111" s="36">
        <v>0</v>
      </c>
      <c r="AE111" s="36">
        <v>0</v>
      </c>
      <c r="AF111" s="36">
        <v>0</v>
      </c>
      <c r="AG111" s="36">
        <v>0</v>
      </c>
      <c r="AH111" s="36">
        <v>0</v>
      </c>
      <c r="AI111" s="36">
        <v>0</v>
      </c>
      <c r="AJ111" s="36">
        <v>0</v>
      </c>
      <c r="AK111" s="36">
        <v>0</v>
      </c>
      <c r="AL111" s="36">
        <v>0</v>
      </c>
      <c r="AM111" s="36">
        <v>0</v>
      </c>
      <c r="AN111" s="36">
        <v>0</v>
      </c>
      <c r="AO111" s="36">
        <v>0</v>
      </c>
      <c r="AP111" s="36">
        <v>0</v>
      </c>
      <c r="AQ111" s="36">
        <v>0</v>
      </c>
      <c r="AR111" s="36">
        <v>0</v>
      </c>
      <c r="AS111" s="36">
        <v>0</v>
      </c>
      <c r="AT111" s="36">
        <v>7.69230769230769E-2</v>
      </c>
      <c r="AU111" s="36">
        <v>0</v>
      </c>
      <c r="AV111" s="36">
        <v>0</v>
      </c>
      <c r="AW111" s="36">
        <v>0</v>
      </c>
      <c r="AX111" s="36">
        <v>0</v>
      </c>
      <c r="AY111" s="36">
        <v>0</v>
      </c>
      <c r="AZ111" s="36">
        <v>0</v>
      </c>
      <c r="BA111" s="36">
        <v>0</v>
      </c>
      <c r="BB111" s="36">
        <v>0</v>
      </c>
      <c r="BC111" s="36">
        <v>0</v>
      </c>
      <c r="BD111" s="36">
        <v>0</v>
      </c>
      <c r="BE111" s="36">
        <v>0</v>
      </c>
      <c r="BF111" s="36">
        <v>0</v>
      </c>
      <c r="BG111" s="36">
        <v>0</v>
      </c>
      <c r="BH111" s="36">
        <v>0</v>
      </c>
      <c r="BI111" s="36">
        <v>0</v>
      </c>
      <c r="BJ111" s="36">
        <v>0</v>
      </c>
      <c r="BK111" s="36">
        <v>0</v>
      </c>
      <c r="BL111" s="37">
        <v>0</v>
      </c>
    </row>
    <row r="112" spans="16:64" s="3" customFormat="1" ht="18" customHeight="1" x14ac:dyDescent="0.2">
      <c r="P112" s="39">
        <v>31</v>
      </c>
      <c r="Q112" s="35">
        <v>0</v>
      </c>
      <c r="R112" s="36">
        <v>0</v>
      </c>
      <c r="S112" s="36">
        <v>0</v>
      </c>
      <c r="T112" s="36">
        <v>0</v>
      </c>
      <c r="U112" s="36">
        <v>0</v>
      </c>
      <c r="V112" s="36">
        <v>0</v>
      </c>
      <c r="W112" s="36">
        <v>0</v>
      </c>
      <c r="X112" s="36">
        <v>0</v>
      </c>
      <c r="Y112" s="36">
        <v>0</v>
      </c>
      <c r="Z112" s="36">
        <v>0</v>
      </c>
      <c r="AA112" s="36">
        <v>0</v>
      </c>
      <c r="AB112" s="36">
        <v>0</v>
      </c>
      <c r="AC112" s="36">
        <v>0</v>
      </c>
      <c r="AD112" s="36">
        <v>0</v>
      </c>
      <c r="AE112" s="36">
        <v>0</v>
      </c>
      <c r="AF112" s="36">
        <v>0</v>
      </c>
      <c r="AG112" s="36">
        <v>0</v>
      </c>
      <c r="AH112" s="36">
        <v>0</v>
      </c>
      <c r="AI112" s="36">
        <v>0</v>
      </c>
      <c r="AJ112" s="36">
        <v>0</v>
      </c>
      <c r="AK112" s="36">
        <v>0</v>
      </c>
      <c r="AL112" s="36">
        <v>0</v>
      </c>
      <c r="AM112" s="36">
        <v>0</v>
      </c>
      <c r="AN112" s="36">
        <v>0</v>
      </c>
      <c r="AO112" s="36">
        <v>0</v>
      </c>
      <c r="AP112" s="36">
        <v>0</v>
      </c>
      <c r="AQ112" s="36">
        <v>0</v>
      </c>
      <c r="AR112" s="36">
        <v>0</v>
      </c>
      <c r="AS112" s="36">
        <v>0</v>
      </c>
      <c r="AT112" s="36">
        <v>0</v>
      </c>
      <c r="AU112" s="36">
        <v>7.69230769230769E-2</v>
      </c>
      <c r="AV112" s="36">
        <v>0</v>
      </c>
      <c r="AW112" s="36">
        <v>0</v>
      </c>
      <c r="AX112" s="36">
        <v>0</v>
      </c>
      <c r="AY112" s="36">
        <v>0</v>
      </c>
      <c r="AZ112" s="36">
        <v>0</v>
      </c>
      <c r="BA112" s="36">
        <v>0</v>
      </c>
      <c r="BB112" s="36">
        <v>0</v>
      </c>
      <c r="BC112" s="36">
        <v>0</v>
      </c>
      <c r="BD112" s="36">
        <v>0</v>
      </c>
      <c r="BE112" s="36">
        <v>0</v>
      </c>
      <c r="BF112" s="36">
        <v>0</v>
      </c>
      <c r="BG112" s="36">
        <v>0</v>
      </c>
      <c r="BH112" s="36">
        <v>0</v>
      </c>
      <c r="BI112" s="36">
        <v>0</v>
      </c>
      <c r="BJ112" s="36">
        <v>0</v>
      </c>
      <c r="BK112" s="36">
        <v>0</v>
      </c>
      <c r="BL112" s="37">
        <v>0</v>
      </c>
    </row>
    <row r="113" spans="16:64" s="3" customFormat="1" ht="18" customHeight="1" x14ac:dyDescent="0.2">
      <c r="P113" s="39">
        <v>32</v>
      </c>
      <c r="Q113" s="35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  <c r="AH113" s="36">
        <v>0</v>
      </c>
      <c r="AI113" s="36">
        <v>0</v>
      </c>
      <c r="AJ113" s="36">
        <v>0</v>
      </c>
      <c r="AK113" s="36">
        <v>0</v>
      </c>
      <c r="AL113" s="36">
        <v>0</v>
      </c>
      <c r="AM113" s="36">
        <v>0</v>
      </c>
      <c r="AN113" s="36">
        <v>0</v>
      </c>
      <c r="AO113" s="36">
        <v>0</v>
      </c>
      <c r="AP113" s="36">
        <v>0</v>
      </c>
      <c r="AQ113" s="36">
        <v>0</v>
      </c>
      <c r="AR113" s="36">
        <v>0</v>
      </c>
      <c r="AS113" s="36">
        <v>0</v>
      </c>
      <c r="AT113" s="36">
        <v>0</v>
      </c>
      <c r="AU113" s="36">
        <v>0</v>
      </c>
      <c r="AV113" s="36">
        <v>7.69230769230769E-2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0</v>
      </c>
      <c r="BD113" s="36">
        <v>0</v>
      </c>
      <c r="BE113" s="36">
        <v>0</v>
      </c>
      <c r="BF113" s="36">
        <v>0</v>
      </c>
      <c r="BG113" s="36">
        <v>0</v>
      </c>
      <c r="BH113" s="36">
        <v>0</v>
      </c>
      <c r="BI113" s="36">
        <v>0</v>
      </c>
      <c r="BJ113" s="36">
        <v>0</v>
      </c>
      <c r="BK113" s="36">
        <v>0</v>
      </c>
      <c r="BL113" s="37">
        <v>0</v>
      </c>
    </row>
    <row r="114" spans="16:64" s="3" customFormat="1" ht="18" customHeight="1" x14ac:dyDescent="0.2">
      <c r="P114" s="39">
        <v>33</v>
      </c>
      <c r="Q114" s="35">
        <v>0</v>
      </c>
      <c r="R114" s="36">
        <v>0</v>
      </c>
      <c r="S114" s="36">
        <v>0</v>
      </c>
      <c r="T114" s="36">
        <v>0</v>
      </c>
      <c r="U114" s="36">
        <v>0</v>
      </c>
      <c r="V114" s="36">
        <v>0</v>
      </c>
      <c r="W114" s="36">
        <v>0</v>
      </c>
      <c r="X114" s="36">
        <v>0</v>
      </c>
      <c r="Y114" s="36">
        <v>0</v>
      </c>
      <c r="Z114" s="36">
        <v>0</v>
      </c>
      <c r="AA114" s="36">
        <v>0</v>
      </c>
      <c r="AB114" s="36">
        <v>0</v>
      </c>
      <c r="AC114" s="36">
        <v>0</v>
      </c>
      <c r="AD114" s="36">
        <v>0</v>
      </c>
      <c r="AE114" s="36">
        <v>0</v>
      </c>
      <c r="AF114" s="36">
        <v>0</v>
      </c>
      <c r="AG114" s="36">
        <v>0</v>
      </c>
      <c r="AH114" s="36">
        <v>0</v>
      </c>
      <c r="AI114" s="36">
        <v>0</v>
      </c>
      <c r="AJ114" s="36">
        <v>0</v>
      </c>
      <c r="AK114" s="36">
        <v>0</v>
      </c>
      <c r="AL114" s="36">
        <v>0</v>
      </c>
      <c r="AM114" s="36">
        <v>0</v>
      </c>
      <c r="AN114" s="36">
        <v>0</v>
      </c>
      <c r="AO114" s="36">
        <v>0</v>
      </c>
      <c r="AP114" s="36">
        <v>0</v>
      </c>
      <c r="AQ114" s="36">
        <v>0</v>
      </c>
      <c r="AR114" s="36">
        <v>0</v>
      </c>
      <c r="AS114" s="36">
        <v>0</v>
      </c>
      <c r="AT114" s="36">
        <v>0</v>
      </c>
      <c r="AU114" s="36">
        <v>0</v>
      </c>
      <c r="AV114" s="36">
        <v>0</v>
      </c>
      <c r="AW114" s="36">
        <v>7.69230769230769E-2</v>
      </c>
      <c r="AX114" s="36">
        <v>0</v>
      </c>
      <c r="AY114" s="36">
        <v>0</v>
      </c>
      <c r="AZ114" s="36">
        <v>0</v>
      </c>
      <c r="BA114" s="36">
        <v>0</v>
      </c>
      <c r="BB114" s="36">
        <v>0</v>
      </c>
      <c r="BC114" s="36">
        <v>0</v>
      </c>
      <c r="BD114" s="36">
        <v>0</v>
      </c>
      <c r="BE114" s="36">
        <v>0</v>
      </c>
      <c r="BF114" s="36">
        <v>0</v>
      </c>
      <c r="BG114" s="36">
        <v>0</v>
      </c>
      <c r="BH114" s="36">
        <v>0</v>
      </c>
      <c r="BI114" s="36">
        <v>0</v>
      </c>
      <c r="BJ114" s="36">
        <v>0</v>
      </c>
      <c r="BK114" s="36">
        <v>0</v>
      </c>
      <c r="BL114" s="37">
        <v>0</v>
      </c>
    </row>
    <row r="115" spans="16:64" s="3" customFormat="1" ht="18" customHeight="1" x14ac:dyDescent="0.2">
      <c r="P115" s="39">
        <v>34</v>
      </c>
      <c r="Q115" s="35">
        <v>0</v>
      </c>
      <c r="R115" s="36">
        <v>0</v>
      </c>
      <c r="S115" s="36">
        <v>0</v>
      </c>
      <c r="T115" s="36">
        <v>0</v>
      </c>
      <c r="U115" s="36">
        <v>0</v>
      </c>
      <c r="V115" s="36">
        <v>0</v>
      </c>
      <c r="W115" s="36">
        <v>0</v>
      </c>
      <c r="X115" s="36">
        <v>0</v>
      </c>
      <c r="Y115" s="36">
        <v>0</v>
      </c>
      <c r="Z115" s="36">
        <v>0</v>
      </c>
      <c r="AA115" s="36">
        <v>0</v>
      </c>
      <c r="AB115" s="36">
        <v>0</v>
      </c>
      <c r="AC115" s="36">
        <v>0</v>
      </c>
      <c r="AD115" s="36">
        <v>0</v>
      </c>
      <c r="AE115" s="36">
        <v>0</v>
      </c>
      <c r="AF115" s="36">
        <v>0</v>
      </c>
      <c r="AG115" s="36">
        <v>0</v>
      </c>
      <c r="AH115" s="36">
        <v>0</v>
      </c>
      <c r="AI115" s="36">
        <v>0</v>
      </c>
      <c r="AJ115" s="36">
        <v>0</v>
      </c>
      <c r="AK115" s="36">
        <v>0</v>
      </c>
      <c r="AL115" s="36">
        <v>0</v>
      </c>
      <c r="AM115" s="36">
        <v>0</v>
      </c>
      <c r="AN115" s="36">
        <v>0</v>
      </c>
      <c r="AO115" s="36">
        <v>0</v>
      </c>
      <c r="AP115" s="36">
        <v>0</v>
      </c>
      <c r="AQ115" s="36">
        <v>0</v>
      </c>
      <c r="AR115" s="36">
        <v>0</v>
      </c>
      <c r="AS115" s="36">
        <v>0</v>
      </c>
      <c r="AT115" s="36">
        <v>0</v>
      </c>
      <c r="AU115" s="36">
        <v>0</v>
      </c>
      <c r="AV115" s="36">
        <v>0</v>
      </c>
      <c r="AW115" s="36">
        <v>0</v>
      </c>
      <c r="AX115" s="36">
        <v>7.69230769230769E-2</v>
      </c>
      <c r="AY115" s="36">
        <v>0</v>
      </c>
      <c r="AZ115" s="36">
        <v>0</v>
      </c>
      <c r="BA115" s="36">
        <v>0</v>
      </c>
      <c r="BB115" s="36">
        <v>0</v>
      </c>
      <c r="BC115" s="36">
        <v>0</v>
      </c>
      <c r="BD115" s="36">
        <v>0</v>
      </c>
      <c r="BE115" s="36">
        <v>0</v>
      </c>
      <c r="BF115" s="36">
        <v>0</v>
      </c>
      <c r="BG115" s="36">
        <v>0</v>
      </c>
      <c r="BH115" s="36">
        <v>0</v>
      </c>
      <c r="BI115" s="36">
        <v>0</v>
      </c>
      <c r="BJ115" s="36">
        <v>0</v>
      </c>
      <c r="BK115" s="36">
        <v>0</v>
      </c>
      <c r="BL115" s="37">
        <v>0</v>
      </c>
    </row>
    <row r="116" spans="16:64" s="3" customFormat="1" ht="18" customHeight="1" x14ac:dyDescent="0.2">
      <c r="P116" s="39">
        <v>35</v>
      </c>
      <c r="Q116" s="35">
        <v>0</v>
      </c>
      <c r="R116" s="36">
        <v>0</v>
      </c>
      <c r="S116" s="36">
        <v>0</v>
      </c>
      <c r="T116" s="36">
        <v>0</v>
      </c>
      <c r="U116" s="36">
        <v>0</v>
      </c>
      <c r="V116" s="36">
        <v>0</v>
      </c>
      <c r="W116" s="36">
        <v>0</v>
      </c>
      <c r="X116" s="36">
        <v>0</v>
      </c>
      <c r="Y116" s="36">
        <v>0</v>
      </c>
      <c r="Z116" s="36">
        <v>0</v>
      </c>
      <c r="AA116" s="36">
        <v>0</v>
      </c>
      <c r="AB116" s="36">
        <v>0</v>
      </c>
      <c r="AC116" s="36">
        <v>0</v>
      </c>
      <c r="AD116" s="36">
        <v>0</v>
      </c>
      <c r="AE116" s="36">
        <v>0</v>
      </c>
      <c r="AF116" s="36">
        <v>0</v>
      </c>
      <c r="AG116" s="36">
        <v>0</v>
      </c>
      <c r="AH116" s="36">
        <v>0</v>
      </c>
      <c r="AI116" s="36">
        <v>0</v>
      </c>
      <c r="AJ116" s="36">
        <v>0</v>
      </c>
      <c r="AK116" s="36">
        <v>0</v>
      </c>
      <c r="AL116" s="36">
        <v>0</v>
      </c>
      <c r="AM116" s="36">
        <v>0</v>
      </c>
      <c r="AN116" s="36">
        <v>0</v>
      </c>
      <c r="AO116" s="36">
        <v>0</v>
      </c>
      <c r="AP116" s="36">
        <v>0</v>
      </c>
      <c r="AQ116" s="36">
        <v>0</v>
      </c>
      <c r="AR116" s="36">
        <v>0</v>
      </c>
      <c r="AS116" s="36">
        <v>0</v>
      </c>
      <c r="AT116" s="36">
        <v>0</v>
      </c>
      <c r="AU116" s="36">
        <v>0</v>
      </c>
      <c r="AV116" s="36">
        <v>0</v>
      </c>
      <c r="AW116" s="36">
        <v>0</v>
      </c>
      <c r="AX116" s="36">
        <v>0</v>
      </c>
      <c r="AY116" s="36">
        <v>7.69230769230769E-2</v>
      </c>
      <c r="AZ116" s="36">
        <v>0</v>
      </c>
      <c r="BA116" s="36">
        <v>0</v>
      </c>
      <c r="BB116" s="36">
        <v>0</v>
      </c>
      <c r="BC116" s="36">
        <v>0</v>
      </c>
      <c r="BD116" s="36">
        <v>0</v>
      </c>
      <c r="BE116" s="36">
        <v>0</v>
      </c>
      <c r="BF116" s="36">
        <v>0</v>
      </c>
      <c r="BG116" s="36">
        <v>0</v>
      </c>
      <c r="BH116" s="36">
        <v>0</v>
      </c>
      <c r="BI116" s="36">
        <v>0</v>
      </c>
      <c r="BJ116" s="36">
        <v>0</v>
      </c>
      <c r="BK116" s="36">
        <v>0</v>
      </c>
      <c r="BL116" s="37">
        <v>0</v>
      </c>
    </row>
    <row r="117" spans="16:64" s="3" customFormat="1" ht="18" customHeight="1" x14ac:dyDescent="0.2">
      <c r="P117" s="39">
        <v>36</v>
      </c>
      <c r="Q117" s="35">
        <v>0</v>
      </c>
      <c r="R117" s="36">
        <v>0</v>
      </c>
      <c r="S117" s="36">
        <v>0</v>
      </c>
      <c r="T117" s="36">
        <v>0</v>
      </c>
      <c r="U117" s="36">
        <v>0</v>
      </c>
      <c r="V117" s="36">
        <v>0</v>
      </c>
      <c r="W117" s="36">
        <v>0</v>
      </c>
      <c r="X117" s="36">
        <v>0</v>
      </c>
      <c r="Y117" s="36">
        <v>0</v>
      </c>
      <c r="Z117" s="36">
        <v>0</v>
      </c>
      <c r="AA117" s="36">
        <v>0</v>
      </c>
      <c r="AB117" s="36">
        <v>0</v>
      </c>
      <c r="AC117" s="36">
        <v>0</v>
      </c>
      <c r="AD117" s="36">
        <v>0</v>
      </c>
      <c r="AE117" s="36">
        <v>0</v>
      </c>
      <c r="AF117" s="36">
        <v>0</v>
      </c>
      <c r="AG117" s="36">
        <v>0</v>
      </c>
      <c r="AH117" s="36">
        <v>0</v>
      </c>
      <c r="AI117" s="36">
        <v>0</v>
      </c>
      <c r="AJ117" s="36">
        <v>0</v>
      </c>
      <c r="AK117" s="36">
        <v>0</v>
      </c>
      <c r="AL117" s="36">
        <v>0</v>
      </c>
      <c r="AM117" s="36">
        <v>0</v>
      </c>
      <c r="AN117" s="36">
        <v>0</v>
      </c>
      <c r="AO117" s="36">
        <v>0</v>
      </c>
      <c r="AP117" s="36">
        <v>0</v>
      </c>
      <c r="AQ117" s="36">
        <v>0</v>
      </c>
      <c r="AR117" s="36">
        <v>0</v>
      </c>
      <c r="AS117" s="36">
        <v>0</v>
      </c>
      <c r="AT117" s="36">
        <v>0</v>
      </c>
      <c r="AU117" s="36">
        <v>0</v>
      </c>
      <c r="AV117" s="36">
        <v>0</v>
      </c>
      <c r="AW117" s="36">
        <v>0</v>
      </c>
      <c r="AX117" s="36">
        <v>0</v>
      </c>
      <c r="AY117" s="36">
        <v>0</v>
      </c>
      <c r="AZ117" s="36">
        <v>7.69230769230769E-2</v>
      </c>
      <c r="BA117" s="36">
        <v>0</v>
      </c>
      <c r="BB117" s="36">
        <v>0</v>
      </c>
      <c r="BC117" s="36">
        <v>0</v>
      </c>
      <c r="BD117" s="36">
        <v>0</v>
      </c>
      <c r="BE117" s="36">
        <v>0</v>
      </c>
      <c r="BF117" s="36">
        <v>0</v>
      </c>
      <c r="BG117" s="36">
        <v>0</v>
      </c>
      <c r="BH117" s="36">
        <v>0</v>
      </c>
      <c r="BI117" s="36">
        <v>0</v>
      </c>
      <c r="BJ117" s="36">
        <v>0</v>
      </c>
      <c r="BK117" s="36">
        <v>0</v>
      </c>
      <c r="BL117" s="37">
        <v>0</v>
      </c>
    </row>
    <row r="118" spans="16:64" s="3" customFormat="1" ht="18" customHeight="1" x14ac:dyDescent="0.2">
      <c r="P118" s="39">
        <v>37</v>
      </c>
      <c r="Q118" s="35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6">
        <v>0</v>
      </c>
      <c r="AH118" s="36">
        <v>0</v>
      </c>
      <c r="AI118" s="36">
        <v>0</v>
      </c>
      <c r="AJ118" s="36">
        <v>0</v>
      </c>
      <c r="AK118" s="36">
        <v>0</v>
      </c>
      <c r="AL118" s="36">
        <v>0</v>
      </c>
      <c r="AM118" s="36">
        <v>0</v>
      </c>
      <c r="AN118" s="36">
        <v>0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36">
        <v>0</v>
      </c>
      <c r="AX118" s="36">
        <v>0</v>
      </c>
      <c r="AY118" s="36">
        <v>0</v>
      </c>
      <c r="AZ118" s="36">
        <v>0</v>
      </c>
      <c r="BA118" s="36">
        <v>7.69230769230769E-2</v>
      </c>
      <c r="BB118" s="36">
        <v>0</v>
      </c>
      <c r="BC118" s="36">
        <v>0</v>
      </c>
      <c r="BD118" s="36">
        <v>0</v>
      </c>
      <c r="BE118" s="36">
        <v>0</v>
      </c>
      <c r="BF118" s="36">
        <v>0</v>
      </c>
      <c r="BG118" s="36">
        <v>0</v>
      </c>
      <c r="BH118" s="36">
        <v>0</v>
      </c>
      <c r="BI118" s="36">
        <v>0</v>
      </c>
      <c r="BJ118" s="36">
        <v>0</v>
      </c>
      <c r="BK118" s="36">
        <v>0</v>
      </c>
      <c r="BL118" s="37">
        <v>0</v>
      </c>
    </row>
    <row r="119" spans="16:64" s="3" customFormat="1" ht="18" customHeight="1" x14ac:dyDescent="0.2">
      <c r="P119" s="39">
        <v>38</v>
      </c>
      <c r="Q119" s="35">
        <v>0</v>
      </c>
      <c r="R119" s="36">
        <v>0</v>
      </c>
      <c r="S119" s="36">
        <v>0</v>
      </c>
      <c r="T119" s="36">
        <v>0</v>
      </c>
      <c r="U119" s="36">
        <v>0</v>
      </c>
      <c r="V119" s="36">
        <v>0</v>
      </c>
      <c r="W119" s="36">
        <v>0</v>
      </c>
      <c r="X119" s="36">
        <v>0</v>
      </c>
      <c r="Y119" s="36">
        <v>0</v>
      </c>
      <c r="Z119" s="36">
        <v>0</v>
      </c>
      <c r="AA119" s="36">
        <v>0</v>
      </c>
      <c r="AB119" s="36">
        <v>0</v>
      </c>
      <c r="AC119" s="36">
        <v>0</v>
      </c>
      <c r="AD119" s="36">
        <v>0</v>
      </c>
      <c r="AE119" s="36">
        <v>0</v>
      </c>
      <c r="AF119" s="36">
        <v>0</v>
      </c>
      <c r="AG119" s="36">
        <v>0</v>
      </c>
      <c r="AH119" s="36">
        <v>0</v>
      </c>
      <c r="AI119" s="36">
        <v>0</v>
      </c>
      <c r="AJ119" s="36">
        <v>0</v>
      </c>
      <c r="AK119" s="36">
        <v>0</v>
      </c>
      <c r="AL119" s="36">
        <v>0</v>
      </c>
      <c r="AM119" s="36">
        <v>0</v>
      </c>
      <c r="AN119" s="36">
        <v>0</v>
      </c>
      <c r="AO119" s="36">
        <v>0</v>
      </c>
      <c r="AP119" s="36">
        <v>0</v>
      </c>
      <c r="AQ119" s="36">
        <v>0</v>
      </c>
      <c r="AR119" s="36">
        <v>0</v>
      </c>
      <c r="AS119" s="36">
        <v>0</v>
      </c>
      <c r="AT119" s="36">
        <v>0</v>
      </c>
      <c r="AU119" s="36">
        <v>0</v>
      </c>
      <c r="AV119" s="36">
        <v>0</v>
      </c>
      <c r="AW119" s="36">
        <v>0</v>
      </c>
      <c r="AX119" s="36">
        <v>0</v>
      </c>
      <c r="AY119" s="36">
        <v>0</v>
      </c>
      <c r="AZ119" s="36">
        <v>0</v>
      </c>
      <c r="BA119" s="36">
        <v>0</v>
      </c>
      <c r="BB119" s="36">
        <v>7.69230769230769E-2</v>
      </c>
      <c r="BC119" s="36">
        <v>0</v>
      </c>
      <c r="BD119" s="36">
        <v>0</v>
      </c>
      <c r="BE119" s="36">
        <v>0</v>
      </c>
      <c r="BF119" s="36">
        <v>0</v>
      </c>
      <c r="BG119" s="36">
        <v>0</v>
      </c>
      <c r="BH119" s="36">
        <v>0</v>
      </c>
      <c r="BI119" s="36">
        <v>0</v>
      </c>
      <c r="BJ119" s="36">
        <v>0</v>
      </c>
      <c r="BK119" s="36">
        <v>0</v>
      </c>
      <c r="BL119" s="37">
        <v>0</v>
      </c>
    </row>
    <row r="120" spans="16:64" s="3" customFormat="1" ht="18" customHeight="1" x14ac:dyDescent="0.2">
      <c r="P120" s="39">
        <v>39</v>
      </c>
      <c r="Q120" s="35">
        <v>0</v>
      </c>
      <c r="R120" s="36">
        <v>0</v>
      </c>
      <c r="S120" s="36">
        <v>0</v>
      </c>
      <c r="T120" s="36">
        <v>0</v>
      </c>
      <c r="U120" s="36">
        <v>0</v>
      </c>
      <c r="V120" s="36">
        <v>0</v>
      </c>
      <c r="W120" s="36">
        <v>0</v>
      </c>
      <c r="X120" s="36">
        <v>0</v>
      </c>
      <c r="Y120" s="36">
        <v>0</v>
      </c>
      <c r="Z120" s="36">
        <v>0</v>
      </c>
      <c r="AA120" s="36">
        <v>0</v>
      </c>
      <c r="AB120" s="36">
        <v>0</v>
      </c>
      <c r="AC120" s="36">
        <v>0</v>
      </c>
      <c r="AD120" s="36">
        <v>0</v>
      </c>
      <c r="AE120" s="36">
        <v>0</v>
      </c>
      <c r="AF120" s="36">
        <v>0</v>
      </c>
      <c r="AG120" s="36">
        <v>0</v>
      </c>
      <c r="AH120" s="36">
        <v>0</v>
      </c>
      <c r="AI120" s="36">
        <v>0</v>
      </c>
      <c r="AJ120" s="36">
        <v>0</v>
      </c>
      <c r="AK120" s="36">
        <v>0</v>
      </c>
      <c r="AL120" s="36">
        <v>0</v>
      </c>
      <c r="AM120" s="36">
        <v>0</v>
      </c>
      <c r="AN120" s="36">
        <v>0</v>
      </c>
      <c r="AO120" s="36">
        <v>0</v>
      </c>
      <c r="AP120" s="36">
        <v>0</v>
      </c>
      <c r="AQ120" s="36">
        <v>0</v>
      </c>
      <c r="AR120" s="36">
        <v>0</v>
      </c>
      <c r="AS120" s="36">
        <v>0</v>
      </c>
      <c r="AT120" s="36">
        <v>0</v>
      </c>
      <c r="AU120" s="36">
        <v>0</v>
      </c>
      <c r="AV120" s="36">
        <v>0</v>
      </c>
      <c r="AW120" s="36">
        <v>0</v>
      </c>
      <c r="AX120" s="36">
        <v>0</v>
      </c>
      <c r="AY120" s="36">
        <v>0</v>
      </c>
      <c r="AZ120" s="36">
        <v>0</v>
      </c>
      <c r="BA120" s="36">
        <v>0</v>
      </c>
      <c r="BB120" s="36">
        <v>0</v>
      </c>
      <c r="BC120" s="36">
        <v>1</v>
      </c>
      <c r="BD120" s="36">
        <v>0</v>
      </c>
      <c r="BE120" s="36">
        <v>0</v>
      </c>
      <c r="BF120" s="36">
        <v>0</v>
      </c>
      <c r="BG120" s="36">
        <v>0</v>
      </c>
      <c r="BH120" s="36">
        <v>0</v>
      </c>
      <c r="BI120" s="36">
        <v>0</v>
      </c>
      <c r="BJ120" s="36">
        <v>0</v>
      </c>
      <c r="BK120" s="36">
        <v>0</v>
      </c>
      <c r="BL120" s="37">
        <v>0</v>
      </c>
    </row>
    <row r="121" spans="16:64" s="3" customFormat="1" ht="18" customHeight="1" x14ac:dyDescent="0.2">
      <c r="P121" s="39">
        <v>40</v>
      </c>
      <c r="Q121" s="35">
        <v>0</v>
      </c>
      <c r="R121" s="36">
        <v>0</v>
      </c>
      <c r="S121" s="36">
        <v>0</v>
      </c>
      <c r="T121" s="36">
        <v>0</v>
      </c>
      <c r="U121" s="36">
        <v>0</v>
      </c>
      <c r="V121" s="36">
        <v>0</v>
      </c>
      <c r="W121" s="36">
        <v>0</v>
      </c>
      <c r="X121" s="36">
        <v>0</v>
      </c>
      <c r="Y121" s="36">
        <v>0</v>
      </c>
      <c r="Z121" s="36">
        <v>0</v>
      </c>
      <c r="AA121" s="36">
        <v>0</v>
      </c>
      <c r="AB121" s="36">
        <v>0</v>
      </c>
      <c r="AC121" s="36">
        <v>0</v>
      </c>
      <c r="AD121" s="36">
        <v>0</v>
      </c>
      <c r="AE121" s="36">
        <v>0</v>
      </c>
      <c r="AF121" s="36">
        <v>0</v>
      </c>
      <c r="AG121" s="36">
        <v>0</v>
      </c>
      <c r="AH121" s="36">
        <v>0</v>
      </c>
      <c r="AI121" s="36">
        <v>0</v>
      </c>
      <c r="AJ121" s="36">
        <v>0</v>
      </c>
      <c r="AK121" s="36">
        <v>0</v>
      </c>
      <c r="AL121" s="36">
        <v>0</v>
      </c>
      <c r="AM121" s="36">
        <v>0</v>
      </c>
      <c r="AN121" s="36">
        <v>0</v>
      </c>
      <c r="AO121" s="36">
        <v>0</v>
      </c>
      <c r="AP121" s="36">
        <v>0</v>
      </c>
      <c r="AQ121" s="36">
        <v>0</v>
      </c>
      <c r="AR121" s="36">
        <v>0</v>
      </c>
      <c r="AS121" s="36">
        <v>0</v>
      </c>
      <c r="AT121" s="36">
        <v>0</v>
      </c>
      <c r="AU121" s="36">
        <v>0</v>
      </c>
      <c r="AV121" s="36">
        <v>0</v>
      </c>
      <c r="AW121" s="36">
        <v>0</v>
      </c>
      <c r="AX121" s="36">
        <v>0</v>
      </c>
      <c r="AY121" s="36">
        <v>0</v>
      </c>
      <c r="AZ121" s="36">
        <v>0</v>
      </c>
      <c r="BA121" s="36">
        <v>0</v>
      </c>
      <c r="BB121" s="36">
        <v>0</v>
      </c>
      <c r="BC121" s="36">
        <v>0</v>
      </c>
      <c r="BD121" s="36">
        <v>1</v>
      </c>
      <c r="BE121" s="36">
        <v>0</v>
      </c>
      <c r="BF121" s="36">
        <v>0</v>
      </c>
      <c r="BG121" s="36">
        <v>0</v>
      </c>
      <c r="BH121" s="36">
        <v>0</v>
      </c>
      <c r="BI121" s="36">
        <v>0</v>
      </c>
      <c r="BJ121" s="36">
        <v>0</v>
      </c>
      <c r="BK121" s="36">
        <v>0</v>
      </c>
      <c r="BL121" s="37">
        <v>0</v>
      </c>
    </row>
    <row r="122" spans="16:64" s="3" customFormat="1" ht="18" customHeight="1" x14ac:dyDescent="0.2">
      <c r="P122" s="39">
        <v>41</v>
      </c>
      <c r="Q122" s="35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Z122" s="36">
        <v>0</v>
      </c>
      <c r="AA122" s="36">
        <v>0</v>
      </c>
      <c r="AB122" s="36">
        <v>0</v>
      </c>
      <c r="AC122" s="36">
        <v>0</v>
      </c>
      <c r="AD122" s="36">
        <v>0</v>
      </c>
      <c r="AE122" s="36">
        <v>0</v>
      </c>
      <c r="AF122" s="36">
        <v>0</v>
      </c>
      <c r="AG122" s="36">
        <v>0</v>
      </c>
      <c r="AH122" s="36">
        <v>0</v>
      </c>
      <c r="AI122" s="36">
        <v>0</v>
      </c>
      <c r="AJ122" s="36">
        <v>0</v>
      </c>
      <c r="AK122" s="36">
        <v>0</v>
      </c>
      <c r="AL122" s="36">
        <v>0</v>
      </c>
      <c r="AM122" s="36">
        <v>0</v>
      </c>
      <c r="AN122" s="36">
        <v>0</v>
      </c>
      <c r="AO122" s="36">
        <v>0</v>
      </c>
      <c r="AP122" s="36">
        <v>0</v>
      </c>
      <c r="AQ122" s="36">
        <v>0</v>
      </c>
      <c r="AR122" s="36">
        <v>0</v>
      </c>
      <c r="AS122" s="36">
        <v>0</v>
      </c>
      <c r="AT122" s="36">
        <v>0</v>
      </c>
      <c r="AU122" s="36">
        <v>0</v>
      </c>
      <c r="AV122" s="36">
        <v>0</v>
      </c>
      <c r="AW122" s="36">
        <v>0</v>
      </c>
      <c r="AX122" s="36">
        <v>0</v>
      </c>
      <c r="AY122" s="36">
        <v>0</v>
      </c>
      <c r="AZ122" s="36">
        <v>0</v>
      </c>
      <c r="BA122" s="36">
        <v>0</v>
      </c>
      <c r="BB122" s="36">
        <v>0</v>
      </c>
      <c r="BC122" s="36">
        <v>0</v>
      </c>
      <c r="BD122" s="36">
        <v>0</v>
      </c>
      <c r="BE122" s="36">
        <v>1</v>
      </c>
      <c r="BF122" s="36">
        <v>0</v>
      </c>
      <c r="BG122" s="36">
        <v>0</v>
      </c>
      <c r="BH122" s="36">
        <v>0</v>
      </c>
      <c r="BI122" s="36">
        <v>0</v>
      </c>
      <c r="BJ122" s="36">
        <v>0</v>
      </c>
      <c r="BK122" s="36">
        <v>0</v>
      </c>
      <c r="BL122" s="37">
        <v>0</v>
      </c>
    </row>
    <row r="123" spans="16:64" s="3" customFormat="1" ht="18" customHeight="1" x14ac:dyDescent="0.2">
      <c r="P123" s="39">
        <v>42</v>
      </c>
      <c r="Q123" s="35">
        <v>0</v>
      </c>
      <c r="R123" s="36">
        <v>0</v>
      </c>
      <c r="S123" s="36">
        <v>0</v>
      </c>
      <c r="T123" s="36">
        <v>0</v>
      </c>
      <c r="U123" s="36">
        <v>0</v>
      </c>
      <c r="V123" s="36">
        <v>0</v>
      </c>
      <c r="W123" s="36">
        <v>0</v>
      </c>
      <c r="X123" s="36">
        <v>0</v>
      </c>
      <c r="Y123" s="36">
        <v>0</v>
      </c>
      <c r="Z123" s="36">
        <v>0</v>
      </c>
      <c r="AA123" s="36">
        <v>0</v>
      </c>
      <c r="AB123" s="36">
        <v>0</v>
      </c>
      <c r="AC123" s="36">
        <v>0</v>
      </c>
      <c r="AD123" s="36">
        <v>0</v>
      </c>
      <c r="AE123" s="36">
        <v>0</v>
      </c>
      <c r="AF123" s="36">
        <v>0</v>
      </c>
      <c r="AG123" s="36">
        <v>0</v>
      </c>
      <c r="AH123" s="36">
        <v>0</v>
      </c>
      <c r="AI123" s="36">
        <v>0</v>
      </c>
      <c r="AJ123" s="36">
        <v>0</v>
      </c>
      <c r="AK123" s="36">
        <v>0</v>
      </c>
      <c r="AL123" s="36">
        <v>0</v>
      </c>
      <c r="AM123" s="36">
        <v>0</v>
      </c>
      <c r="AN123" s="36">
        <v>0</v>
      </c>
      <c r="AO123" s="36">
        <v>0</v>
      </c>
      <c r="AP123" s="36">
        <v>0</v>
      </c>
      <c r="AQ123" s="36">
        <v>0</v>
      </c>
      <c r="AR123" s="36">
        <v>0</v>
      </c>
      <c r="AS123" s="36">
        <v>0</v>
      </c>
      <c r="AT123" s="36">
        <v>0</v>
      </c>
      <c r="AU123" s="36">
        <v>0</v>
      </c>
      <c r="AV123" s="36">
        <v>0</v>
      </c>
      <c r="AW123" s="36">
        <v>0</v>
      </c>
      <c r="AX123" s="36">
        <v>0</v>
      </c>
      <c r="AY123" s="36">
        <v>0</v>
      </c>
      <c r="AZ123" s="36">
        <v>0</v>
      </c>
      <c r="BA123" s="36">
        <v>0</v>
      </c>
      <c r="BB123" s="36">
        <v>0</v>
      </c>
      <c r="BC123" s="36">
        <v>0</v>
      </c>
      <c r="BD123" s="36">
        <v>0</v>
      </c>
      <c r="BE123" s="36">
        <v>0</v>
      </c>
      <c r="BF123" s="36">
        <v>1</v>
      </c>
      <c r="BG123" s="36">
        <v>0</v>
      </c>
      <c r="BH123" s="36">
        <v>0</v>
      </c>
      <c r="BI123" s="36">
        <v>0</v>
      </c>
      <c r="BJ123" s="36">
        <v>0</v>
      </c>
      <c r="BK123" s="36">
        <v>0</v>
      </c>
      <c r="BL123" s="37">
        <v>0</v>
      </c>
    </row>
    <row r="124" spans="16:64" s="3" customFormat="1" ht="18" customHeight="1" x14ac:dyDescent="0.2">
      <c r="P124" s="39">
        <v>43</v>
      </c>
      <c r="Q124" s="35">
        <v>0</v>
      </c>
      <c r="R124" s="36">
        <v>0</v>
      </c>
      <c r="S124" s="36">
        <v>0</v>
      </c>
      <c r="T124" s="36">
        <v>0</v>
      </c>
      <c r="U124" s="36">
        <v>0</v>
      </c>
      <c r="V124" s="36">
        <v>0</v>
      </c>
      <c r="W124" s="36">
        <v>0</v>
      </c>
      <c r="X124" s="36">
        <v>0</v>
      </c>
      <c r="Y124" s="36">
        <v>0</v>
      </c>
      <c r="Z124" s="36">
        <v>0</v>
      </c>
      <c r="AA124" s="36">
        <v>0</v>
      </c>
      <c r="AB124" s="36">
        <v>0</v>
      </c>
      <c r="AC124" s="36">
        <v>0</v>
      </c>
      <c r="AD124" s="36">
        <v>0</v>
      </c>
      <c r="AE124" s="36">
        <v>0</v>
      </c>
      <c r="AF124" s="36">
        <v>0</v>
      </c>
      <c r="AG124" s="36">
        <v>0</v>
      </c>
      <c r="AH124" s="36">
        <v>0</v>
      </c>
      <c r="AI124" s="36">
        <v>0</v>
      </c>
      <c r="AJ124" s="36">
        <v>0</v>
      </c>
      <c r="AK124" s="36">
        <v>0</v>
      </c>
      <c r="AL124" s="36">
        <v>0</v>
      </c>
      <c r="AM124" s="36">
        <v>0</v>
      </c>
      <c r="AN124" s="36">
        <v>0</v>
      </c>
      <c r="AO124" s="36">
        <v>0</v>
      </c>
      <c r="AP124" s="36">
        <v>0</v>
      </c>
      <c r="AQ124" s="36">
        <v>0</v>
      </c>
      <c r="AR124" s="36">
        <v>0</v>
      </c>
      <c r="AS124" s="36">
        <v>0</v>
      </c>
      <c r="AT124" s="36">
        <v>0</v>
      </c>
      <c r="AU124" s="36">
        <v>0</v>
      </c>
      <c r="AV124" s="36">
        <v>0</v>
      </c>
      <c r="AW124" s="36">
        <v>0</v>
      </c>
      <c r="AX124" s="36">
        <v>0</v>
      </c>
      <c r="AY124" s="36">
        <v>0</v>
      </c>
      <c r="AZ124" s="36">
        <v>0</v>
      </c>
      <c r="BA124" s="36">
        <v>0</v>
      </c>
      <c r="BB124" s="36">
        <v>0</v>
      </c>
      <c r="BC124" s="36">
        <v>0</v>
      </c>
      <c r="BD124" s="36">
        <v>0</v>
      </c>
      <c r="BE124" s="36">
        <v>0</v>
      </c>
      <c r="BF124" s="36">
        <v>0</v>
      </c>
      <c r="BG124" s="36">
        <v>1</v>
      </c>
      <c r="BH124" s="36">
        <v>0</v>
      </c>
      <c r="BI124" s="36">
        <v>0</v>
      </c>
      <c r="BJ124" s="36">
        <v>0</v>
      </c>
      <c r="BK124" s="36">
        <v>0</v>
      </c>
      <c r="BL124" s="37">
        <v>0</v>
      </c>
    </row>
    <row r="125" spans="16:64" s="3" customFormat="1" ht="18" customHeight="1" x14ac:dyDescent="0.2">
      <c r="P125" s="39">
        <v>44</v>
      </c>
      <c r="Q125" s="35">
        <v>0</v>
      </c>
      <c r="R125" s="36">
        <v>0</v>
      </c>
      <c r="S125" s="36">
        <v>0</v>
      </c>
      <c r="T125" s="36">
        <v>0</v>
      </c>
      <c r="U125" s="36">
        <v>0</v>
      </c>
      <c r="V125" s="36">
        <v>0</v>
      </c>
      <c r="W125" s="36">
        <v>0</v>
      </c>
      <c r="X125" s="36">
        <v>0</v>
      </c>
      <c r="Y125" s="36">
        <v>0</v>
      </c>
      <c r="Z125" s="36">
        <v>0</v>
      </c>
      <c r="AA125" s="36">
        <v>0</v>
      </c>
      <c r="AB125" s="36">
        <v>0</v>
      </c>
      <c r="AC125" s="36">
        <v>0</v>
      </c>
      <c r="AD125" s="36">
        <v>0</v>
      </c>
      <c r="AE125" s="36">
        <v>0</v>
      </c>
      <c r="AF125" s="36">
        <v>0</v>
      </c>
      <c r="AG125" s="36">
        <v>0</v>
      </c>
      <c r="AH125" s="36">
        <v>0</v>
      </c>
      <c r="AI125" s="36">
        <v>0</v>
      </c>
      <c r="AJ125" s="36">
        <v>0</v>
      </c>
      <c r="AK125" s="36">
        <v>0</v>
      </c>
      <c r="AL125" s="36">
        <v>0</v>
      </c>
      <c r="AM125" s="36">
        <v>0</v>
      </c>
      <c r="AN125" s="36">
        <v>0</v>
      </c>
      <c r="AO125" s="36">
        <v>0</v>
      </c>
      <c r="AP125" s="36">
        <v>0</v>
      </c>
      <c r="AQ125" s="36">
        <v>0</v>
      </c>
      <c r="AR125" s="36">
        <v>0</v>
      </c>
      <c r="AS125" s="36">
        <v>0</v>
      </c>
      <c r="AT125" s="36">
        <v>0</v>
      </c>
      <c r="AU125" s="36">
        <v>0</v>
      </c>
      <c r="AV125" s="36">
        <v>0</v>
      </c>
      <c r="AW125" s="36">
        <v>0</v>
      </c>
      <c r="AX125" s="36">
        <v>0</v>
      </c>
      <c r="AY125" s="36">
        <v>0</v>
      </c>
      <c r="AZ125" s="36">
        <v>0</v>
      </c>
      <c r="BA125" s="36">
        <v>0</v>
      </c>
      <c r="BB125" s="36">
        <v>0</v>
      </c>
      <c r="BC125" s="36">
        <v>0</v>
      </c>
      <c r="BD125" s="36">
        <v>0</v>
      </c>
      <c r="BE125" s="36">
        <v>0</v>
      </c>
      <c r="BF125" s="36">
        <v>0</v>
      </c>
      <c r="BG125" s="36">
        <v>0</v>
      </c>
      <c r="BH125" s="36">
        <v>1</v>
      </c>
      <c r="BI125" s="36">
        <v>0</v>
      </c>
      <c r="BJ125" s="36">
        <v>0</v>
      </c>
      <c r="BK125" s="36">
        <v>0</v>
      </c>
      <c r="BL125" s="37">
        <v>0</v>
      </c>
    </row>
    <row r="126" spans="16:64" s="3" customFormat="1" ht="18" customHeight="1" x14ac:dyDescent="0.2">
      <c r="P126" s="39">
        <v>45</v>
      </c>
      <c r="Q126" s="35">
        <v>0</v>
      </c>
      <c r="R126" s="36">
        <v>0</v>
      </c>
      <c r="S126" s="36">
        <v>0</v>
      </c>
      <c r="T126" s="36">
        <v>0</v>
      </c>
      <c r="U126" s="36">
        <v>0</v>
      </c>
      <c r="V126" s="36">
        <v>0</v>
      </c>
      <c r="W126" s="36">
        <v>0</v>
      </c>
      <c r="X126" s="36">
        <v>0</v>
      </c>
      <c r="Y126" s="36">
        <v>0</v>
      </c>
      <c r="Z126" s="36">
        <v>0</v>
      </c>
      <c r="AA126" s="36">
        <v>0</v>
      </c>
      <c r="AB126" s="36">
        <v>0</v>
      </c>
      <c r="AC126" s="36">
        <v>0</v>
      </c>
      <c r="AD126" s="36">
        <v>0</v>
      </c>
      <c r="AE126" s="36">
        <v>0</v>
      </c>
      <c r="AF126" s="36">
        <v>0</v>
      </c>
      <c r="AG126" s="36">
        <v>0</v>
      </c>
      <c r="AH126" s="36">
        <v>0</v>
      </c>
      <c r="AI126" s="36">
        <v>0</v>
      </c>
      <c r="AJ126" s="36">
        <v>0</v>
      </c>
      <c r="AK126" s="36">
        <v>0</v>
      </c>
      <c r="AL126" s="36">
        <v>0</v>
      </c>
      <c r="AM126" s="36">
        <v>0</v>
      </c>
      <c r="AN126" s="36">
        <v>0</v>
      </c>
      <c r="AO126" s="36">
        <v>0</v>
      </c>
      <c r="AP126" s="36">
        <v>0</v>
      </c>
      <c r="AQ126" s="36">
        <v>0</v>
      </c>
      <c r="AR126" s="36">
        <v>0</v>
      </c>
      <c r="AS126" s="36">
        <v>0</v>
      </c>
      <c r="AT126" s="36">
        <v>0</v>
      </c>
      <c r="AU126" s="36">
        <v>0</v>
      </c>
      <c r="AV126" s="36">
        <v>0</v>
      </c>
      <c r="AW126" s="36">
        <v>0</v>
      </c>
      <c r="AX126" s="36">
        <v>0</v>
      </c>
      <c r="AY126" s="36">
        <v>0</v>
      </c>
      <c r="AZ126" s="36">
        <v>0</v>
      </c>
      <c r="BA126" s="36">
        <v>0</v>
      </c>
      <c r="BB126" s="36">
        <v>0</v>
      </c>
      <c r="BC126" s="36">
        <v>0</v>
      </c>
      <c r="BD126" s="36">
        <v>0</v>
      </c>
      <c r="BE126" s="36">
        <v>0</v>
      </c>
      <c r="BF126" s="36">
        <v>0</v>
      </c>
      <c r="BG126" s="36">
        <v>0</v>
      </c>
      <c r="BH126" s="36">
        <v>0</v>
      </c>
      <c r="BI126" s="36">
        <v>0.5</v>
      </c>
      <c r="BJ126" s="36">
        <v>0</v>
      </c>
      <c r="BK126" s="36">
        <v>0</v>
      </c>
      <c r="BL126" s="37">
        <v>0</v>
      </c>
    </row>
    <row r="127" spans="16:64" s="3" customFormat="1" ht="18" customHeight="1" x14ac:dyDescent="0.2">
      <c r="P127" s="39">
        <v>46</v>
      </c>
      <c r="Q127" s="35">
        <v>0</v>
      </c>
      <c r="R127" s="36">
        <v>0</v>
      </c>
      <c r="S127" s="36">
        <v>0</v>
      </c>
      <c r="T127" s="36">
        <v>0</v>
      </c>
      <c r="U127" s="36">
        <v>0</v>
      </c>
      <c r="V127" s="36">
        <v>0</v>
      </c>
      <c r="W127" s="36">
        <v>0</v>
      </c>
      <c r="X127" s="36">
        <v>0</v>
      </c>
      <c r="Y127" s="36">
        <v>0</v>
      </c>
      <c r="Z127" s="36">
        <v>0</v>
      </c>
      <c r="AA127" s="36">
        <v>0</v>
      </c>
      <c r="AB127" s="36">
        <v>0</v>
      </c>
      <c r="AC127" s="36">
        <v>0</v>
      </c>
      <c r="AD127" s="36">
        <v>0</v>
      </c>
      <c r="AE127" s="36">
        <v>0</v>
      </c>
      <c r="AF127" s="36">
        <v>0</v>
      </c>
      <c r="AG127" s="36">
        <v>0</v>
      </c>
      <c r="AH127" s="36">
        <v>0</v>
      </c>
      <c r="AI127" s="36">
        <v>0</v>
      </c>
      <c r="AJ127" s="36">
        <v>0</v>
      </c>
      <c r="AK127" s="36">
        <v>0</v>
      </c>
      <c r="AL127" s="36">
        <v>0</v>
      </c>
      <c r="AM127" s="36">
        <v>0</v>
      </c>
      <c r="AN127" s="36">
        <v>0</v>
      </c>
      <c r="AO127" s="36">
        <v>0</v>
      </c>
      <c r="AP127" s="36">
        <v>0</v>
      </c>
      <c r="AQ127" s="36">
        <v>0</v>
      </c>
      <c r="AR127" s="36">
        <v>0</v>
      </c>
      <c r="AS127" s="36">
        <v>0</v>
      </c>
      <c r="AT127" s="36">
        <v>0</v>
      </c>
      <c r="AU127" s="36">
        <v>0</v>
      </c>
      <c r="AV127" s="36">
        <v>0</v>
      </c>
      <c r="AW127" s="36">
        <v>0</v>
      </c>
      <c r="AX127" s="36">
        <v>0</v>
      </c>
      <c r="AY127" s="36">
        <v>0</v>
      </c>
      <c r="AZ127" s="36">
        <v>0</v>
      </c>
      <c r="BA127" s="36">
        <v>0</v>
      </c>
      <c r="BB127" s="36">
        <v>0</v>
      </c>
      <c r="BC127" s="36">
        <v>0</v>
      </c>
      <c r="BD127" s="36">
        <v>0</v>
      </c>
      <c r="BE127" s="36">
        <v>0</v>
      </c>
      <c r="BF127" s="36">
        <v>0</v>
      </c>
      <c r="BG127" s="36">
        <v>0</v>
      </c>
      <c r="BH127" s="36">
        <v>0</v>
      </c>
      <c r="BI127" s="36">
        <v>0</v>
      </c>
      <c r="BJ127" s="36">
        <v>0.5</v>
      </c>
      <c r="BK127" s="36">
        <v>0</v>
      </c>
      <c r="BL127" s="37">
        <v>0</v>
      </c>
    </row>
    <row r="128" spans="16:64" s="3" customFormat="1" ht="18" customHeight="1" x14ac:dyDescent="0.2">
      <c r="P128" s="39">
        <v>47</v>
      </c>
      <c r="Q128" s="35">
        <v>0</v>
      </c>
      <c r="R128" s="36">
        <v>0</v>
      </c>
      <c r="S128" s="36">
        <v>0</v>
      </c>
      <c r="T128" s="36">
        <v>0</v>
      </c>
      <c r="U128" s="36">
        <v>0</v>
      </c>
      <c r="V128" s="36">
        <v>0</v>
      </c>
      <c r="W128" s="36">
        <v>0</v>
      </c>
      <c r="X128" s="36">
        <v>0</v>
      </c>
      <c r="Y128" s="36">
        <v>0</v>
      </c>
      <c r="Z128" s="36">
        <v>0</v>
      </c>
      <c r="AA128" s="36">
        <v>0</v>
      </c>
      <c r="AB128" s="36">
        <v>0</v>
      </c>
      <c r="AC128" s="36">
        <v>0</v>
      </c>
      <c r="AD128" s="36">
        <v>0</v>
      </c>
      <c r="AE128" s="36">
        <v>0</v>
      </c>
      <c r="AF128" s="36">
        <v>0</v>
      </c>
      <c r="AG128" s="36">
        <v>0</v>
      </c>
      <c r="AH128" s="36">
        <v>0</v>
      </c>
      <c r="AI128" s="36">
        <v>0</v>
      </c>
      <c r="AJ128" s="36">
        <v>0</v>
      </c>
      <c r="AK128" s="36">
        <v>0</v>
      </c>
      <c r="AL128" s="36">
        <v>0</v>
      </c>
      <c r="AM128" s="36">
        <v>0</v>
      </c>
      <c r="AN128" s="36">
        <v>0</v>
      </c>
      <c r="AO128" s="36">
        <v>0</v>
      </c>
      <c r="AP128" s="36">
        <v>0</v>
      </c>
      <c r="AQ128" s="36">
        <v>0</v>
      </c>
      <c r="AR128" s="36">
        <v>0</v>
      </c>
      <c r="AS128" s="36">
        <v>0</v>
      </c>
      <c r="AT128" s="36">
        <v>0</v>
      </c>
      <c r="AU128" s="36">
        <v>0</v>
      </c>
      <c r="AV128" s="36">
        <v>0</v>
      </c>
      <c r="AW128" s="36">
        <v>0</v>
      </c>
      <c r="AX128" s="36">
        <v>0</v>
      </c>
      <c r="AY128" s="36">
        <v>0</v>
      </c>
      <c r="AZ128" s="36">
        <v>0</v>
      </c>
      <c r="BA128" s="36">
        <v>0</v>
      </c>
      <c r="BB128" s="36">
        <v>0</v>
      </c>
      <c r="BC128" s="36">
        <v>0</v>
      </c>
      <c r="BD128" s="36">
        <v>0</v>
      </c>
      <c r="BE128" s="36">
        <v>0</v>
      </c>
      <c r="BF128" s="36">
        <v>0</v>
      </c>
      <c r="BG128" s="36">
        <v>0</v>
      </c>
      <c r="BH128" s="36">
        <v>0</v>
      </c>
      <c r="BI128" s="36">
        <v>0</v>
      </c>
      <c r="BJ128" s="36">
        <v>0</v>
      </c>
      <c r="BK128" s="36">
        <v>0.5</v>
      </c>
      <c r="BL128" s="37">
        <v>0</v>
      </c>
    </row>
    <row r="129" spans="1:64" s="3" customFormat="1" ht="18.5" customHeight="1" x14ac:dyDescent="0.2">
      <c r="P129" s="56">
        <v>48</v>
      </c>
      <c r="Q129" s="32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3">
        <v>0</v>
      </c>
      <c r="AC129" s="33">
        <v>0</v>
      </c>
      <c r="AD129" s="33">
        <v>0</v>
      </c>
      <c r="AE129" s="33">
        <v>0</v>
      </c>
      <c r="AF129" s="33">
        <v>0</v>
      </c>
      <c r="AG129" s="33">
        <v>0</v>
      </c>
      <c r="AH129" s="33">
        <v>0</v>
      </c>
      <c r="AI129" s="33">
        <v>0</v>
      </c>
      <c r="AJ129" s="33">
        <v>0</v>
      </c>
      <c r="AK129" s="33">
        <v>0</v>
      </c>
      <c r="AL129" s="33">
        <v>0</v>
      </c>
      <c r="AM129" s="33">
        <v>0</v>
      </c>
      <c r="AN129" s="33">
        <v>0</v>
      </c>
      <c r="AO129" s="33">
        <v>0</v>
      </c>
      <c r="AP129" s="33">
        <v>0</v>
      </c>
      <c r="AQ129" s="33">
        <v>0</v>
      </c>
      <c r="AR129" s="33">
        <v>0</v>
      </c>
      <c r="AS129" s="33">
        <v>0</v>
      </c>
      <c r="AT129" s="33">
        <v>0</v>
      </c>
      <c r="AU129" s="33">
        <v>0</v>
      </c>
      <c r="AV129" s="33">
        <v>0</v>
      </c>
      <c r="AW129" s="33">
        <v>0</v>
      </c>
      <c r="AX129" s="33">
        <v>0</v>
      </c>
      <c r="AY129" s="33">
        <v>0</v>
      </c>
      <c r="AZ129" s="33">
        <v>0</v>
      </c>
      <c r="BA129" s="33">
        <v>0</v>
      </c>
      <c r="BB129" s="33">
        <v>0</v>
      </c>
      <c r="BC129" s="33">
        <v>0</v>
      </c>
      <c r="BD129" s="33">
        <v>0</v>
      </c>
      <c r="BE129" s="33">
        <v>0</v>
      </c>
      <c r="BF129" s="33">
        <v>0</v>
      </c>
      <c r="BG129" s="33">
        <v>0</v>
      </c>
      <c r="BH129" s="33">
        <v>0</v>
      </c>
      <c r="BI129" s="33">
        <v>0</v>
      </c>
      <c r="BJ129" s="33">
        <v>0</v>
      </c>
      <c r="BK129" s="33">
        <v>0</v>
      </c>
      <c r="BL129" s="34">
        <v>0.33333333333333298</v>
      </c>
    </row>
    <row r="134" spans="1:64" s="3" customFormat="1" ht="19" customHeight="1" x14ac:dyDescent="0.2">
      <c r="A134" s="101" t="s">
        <v>196</v>
      </c>
      <c r="B134" s="8" t="s">
        <v>197</v>
      </c>
    </row>
    <row r="135" spans="1:64" s="3" customFormat="1" ht="19" customHeight="1" x14ac:dyDescent="0.2">
      <c r="A135" s="8" t="s">
        <v>105</v>
      </c>
      <c r="B135" s="17" t="s">
        <v>107</v>
      </c>
      <c r="C135" s="18" t="s">
        <v>8</v>
      </c>
      <c r="D135" s="18" t="s">
        <v>112</v>
      </c>
      <c r="E135" s="19" t="s">
        <v>108</v>
      </c>
    </row>
    <row r="136" spans="1:64" s="3" customFormat="1" ht="18.5" customHeight="1" x14ac:dyDescent="0.2">
      <c r="A136" s="28">
        <v>1</v>
      </c>
      <c r="B136" s="23">
        <v>1</v>
      </c>
      <c r="C136" s="24">
        <v>1</v>
      </c>
      <c r="D136" s="24">
        <v>4</v>
      </c>
      <c r="E136" s="25">
        <v>5</v>
      </c>
    </row>
    <row r="137" spans="1:64" s="3" customFormat="1" ht="18" customHeight="1" x14ac:dyDescent="0.2">
      <c r="A137" s="39">
        <v>2</v>
      </c>
      <c r="B137" s="35">
        <v>1</v>
      </c>
      <c r="C137" s="36">
        <v>2</v>
      </c>
      <c r="D137" s="36">
        <v>4</v>
      </c>
      <c r="E137" s="37">
        <v>5</v>
      </c>
    </row>
    <row r="138" spans="1:64" s="3" customFormat="1" ht="18" customHeight="1" x14ac:dyDescent="0.2">
      <c r="A138" s="39">
        <v>3</v>
      </c>
      <c r="B138" s="35">
        <v>1</v>
      </c>
      <c r="C138" s="36">
        <v>4</v>
      </c>
      <c r="D138" s="36">
        <v>4</v>
      </c>
      <c r="E138" s="37">
        <v>5</v>
      </c>
    </row>
    <row r="139" spans="1:64" s="3" customFormat="1" ht="18" customHeight="1" x14ac:dyDescent="0.2">
      <c r="A139" s="39">
        <v>4</v>
      </c>
      <c r="B139" s="35">
        <v>1</v>
      </c>
      <c r="C139" s="36">
        <v>6</v>
      </c>
      <c r="D139" s="36">
        <v>4</v>
      </c>
      <c r="E139" s="37">
        <v>5</v>
      </c>
    </row>
    <row r="140" spans="1:64" s="3" customFormat="1" ht="18" customHeight="1" x14ac:dyDescent="0.2">
      <c r="A140" s="39">
        <v>5</v>
      </c>
      <c r="B140" s="35">
        <v>1</v>
      </c>
      <c r="C140" s="36">
        <v>7</v>
      </c>
      <c r="D140" s="36">
        <v>4</v>
      </c>
      <c r="E140" s="37">
        <v>5</v>
      </c>
    </row>
    <row r="141" spans="1:64" s="3" customFormat="1" ht="18" customHeight="1" x14ac:dyDescent="0.2">
      <c r="A141" s="39">
        <v>6</v>
      </c>
      <c r="B141" s="35">
        <v>1</v>
      </c>
      <c r="C141" s="36">
        <v>9</v>
      </c>
      <c r="D141" s="36">
        <v>4</v>
      </c>
      <c r="E141" s="37">
        <v>5</v>
      </c>
    </row>
    <row r="142" spans="1:64" s="3" customFormat="1" ht="18" customHeight="1" x14ac:dyDescent="0.2">
      <c r="A142" s="39">
        <v>7</v>
      </c>
      <c r="B142" s="35">
        <v>2</v>
      </c>
      <c r="C142" s="36">
        <v>4</v>
      </c>
      <c r="D142" s="36">
        <v>1</v>
      </c>
      <c r="E142" s="37">
        <v>1</v>
      </c>
    </row>
    <row r="143" spans="1:64" s="3" customFormat="1" ht="18" customHeight="1" x14ac:dyDescent="0.2">
      <c r="A143" s="39">
        <v>8</v>
      </c>
      <c r="B143" s="35">
        <v>2</v>
      </c>
      <c r="C143" s="36">
        <v>7</v>
      </c>
      <c r="D143" s="36">
        <v>1</v>
      </c>
      <c r="E143" s="37">
        <v>1</v>
      </c>
    </row>
    <row r="144" spans="1:64" s="3" customFormat="1" ht="18" customHeight="1" x14ac:dyDescent="0.2">
      <c r="A144" s="39">
        <v>9</v>
      </c>
      <c r="B144" s="35">
        <v>2</v>
      </c>
      <c r="C144" s="36">
        <v>9</v>
      </c>
      <c r="D144" s="36">
        <v>1</v>
      </c>
      <c r="E144" s="37">
        <v>1</v>
      </c>
    </row>
    <row r="145" spans="1:5" s="3" customFormat="1" ht="18" customHeight="1" x14ac:dyDescent="0.2">
      <c r="A145" s="39">
        <v>10</v>
      </c>
      <c r="B145" s="35">
        <v>3</v>
      </c>
      <c r="C145" s="36">
        <v>1</v>
      </c>
      <c r="D145" s="36">
        <v>1</v>
      </c>
      <c r="E145" s="37">
        <v>3</v>
      </c>
    </row>
    <row r="146" spans="1:5" s="3" customFormat="1" ht="18" customHeight="1" x14ac:dyDescent="0.2">
      <c r="A146" s="39">
        <v>11</v>
      </c>
      <c r="B146" s="35">
        <v>3</v>
      </c>
      <c r="C146" s="36">
        <v>2</v>
      </c>
      <c r="D146" s="36">
        <v>1</v>
      </c>
      <c r="E146" s="37">
        <v>3</v>
      </c>
    </row>
    <row r="147" spans="1:5" s="3" customFormat="1" ht="18" customHeight="1" x14ac:dyDescent="0.2">
      <c r="A147" s="39">
        <v>12</v>
      </c>
      <c r="B147" s="35">
        <v>3</v>
      </c>
      <c r="C147" s="36">
        <v>4</v>
      </c>
      <c r="D147" s="36">
        <v>1</v>
      </c>
      <c r="E147" s="37">
        <v>3</v>
      </c>
    </row>
    <row r="148" spans="1:5" s="3" customFormat="1" ht="18" customHeight="1" x14ac:dyDescent="0.2">
      <c r="A148" s="39">
        <v>13</v>
      </c>
      <c r="B148" s="35">
        <v>3</v>
      </c>
      <c r="C148" s="36">
        <v>6</v>
      </c>
      <c r="D148" s="36">
        <v>1</v>
      </c>
      <c r="E148" s="37">
        <v>3</v>
      </c>
    </row>
    <row r="149" spans="1:5" s="3" customFormat="1" ht="18" customHeight="1" x14ac:dyDescent="0.2">
      <c r="A149" s="39">
        <v>14</v>
      </c>
      <c r="B149" s="35">
        <v>3</v>
      </c>
      <c r="C149" s="36">
        <v>7</v>
      </c>
      <c r="D149" s="36">
        <v>1</v>
      </c>
      <c r="E149" s="37">
        <v>3</v>
      </c>
    </row>
    <row r="150" spans="1:5" s="3" customFormat="1" ht="18" customHeight="1" x14ac:dyDescent="0.2">
      <c r="A150" s="39">
        <v>15</v>
      </c>
      <c r="B150" s="35">
        <v>3</v>
      </c>
      <c r="C150" s="36">
        <v>9</v>
      </c>
      <c r="D150" s="36">
        <v>1</v>
      </c>
      <c r="E150" s="37">
        <v>3</v>
      </c>
    </row>
    <row r="151" spans="1:5" s="3" customFormat="1" ht="18" customHeight="1" x14ac:dyDescent="0.2">
      <c r="A151" s="39">
        <v>16</v>
      </c>
      <c r="B151" s="35">
        <v>4</v>
      </c>
      <c r="C151" s="36">
        <v>1</v>
      </c>
      <c r="D151" s="36">
        <v>37</v>
      </c>
      <c r="E151" s="37">
        <v>1</v>
      </c>
    </row>
    <row r="152" spans="1:5" s="3" customFormat="1" ht="18" customHeight="1" x14ac:dyDescent="0.2">
      <c r="A152" s="39">
        <v>17</v>
      </c>
      <c r="B152" s="35">
        <v>4</v>
      </c>
      <c r="C152" s="36">
        <v>2</v>
      </c>
      <c r="D152" s="36">
        <v>37</v>
      </c>
      <c r="E152" s="37">
        <v>1</v>
      </c>
    </row>
    <row r="153" spans="1:5" s="3" customFormat="1" ht="18" customHeight="1" x14ac:dyDescent="0.2">
      <c r="A153" s="39">
        <v>18</v>
      </c>
      <c r="B153" s="35">
        <v>4</v>
      </c>
      <c r="C153" s="36">
        <v>4</v>
      </c>
      <c r="D153" s="36">
        <v>37</v>
      </c>
      <c r="E153" s="37">
        <v>1</v>
      </c>
    </row>
    <row r="154" spans="1:5" s="3" customFormat="1" ht="18" customHeight="1" x14ac:dyDescent="0.2">
      <c r="A154" s="39">
        <v>19</v>
      </c>
      <c r="B154" s="35">
        <v>4</v>
      </c>
      <c r="C154" s="36">
        <v>5</v>
      </c>
      <c r="D154" s="36">
        <v>37</v>
      </c>
      <c r="E154" s="37">
        <v>1</v>
      </c>
    </row>
    <row r="155" spans="1:5" s="3" customFormat="1" ht="18" customHeight="1" x14ac:dyDescent="0.2">
      <c r="A155" s="39">
        <v>20</v>
      </c>
      <c r="B155" s="35">
        <v>4</v>
      </c>
      <c r="C155" s="36">
        <v>6</v>
      </c>
      <c r="D155" s="36">
        <v>37</v>
      </c>
      <c r="E155" s="37">
        <v>1</v>
      </c>
    </row>
    <row r="156" spans="1:5" s="3" customFormat="1" ht="18" customHeight="1" x14ac:dyDescent="0.2">
      <c r="A156" s="39">
        <v>21</v>
      </c>
      <c r="B156" s="35">
        <v>4</v>
      </c>
      <c r="C156" s="36">
        <v>7</v>
      </c>
      <c r="D156" s="36">
        <v>37</v>
      </c>
      <c r="E156" s="37">
        <v>1</v>
      </c>
    </row>
    <row r="157" spans="1:5" s="3" customFormat="1" ht="18" customHeight="1" x14ac:dyDescent="0.2">
      <c r="A157" s="39">
        <v>22</v>
      </c>
      <c r="B157" s="35">
        <v>4</v>
      </c>
      <c r="C157" s="36">
        <v>9</v>
      </c>
      <c r="D157" s="36">
        <v>37</v>
      </c>
      <c r="E157" s="37">
        <v>1</v>
      </c>
    </row>
    <row r="158" spans="1:5" s="3" customFormat="1" ht="18" customHeight="1" x14ac:dyDescent="0.2">
      <c r="A158" s="39">
        <v>23</v>
      </c>
      <c r="B158" s="35">
        <v>6</v>
      </c>
      <c r="C158" s="36">
        <v>1</v>
      </c>
      <c r="D158" s="36">
        <v>37</v>
      </c>
      <c r="E158" s="37">
        <v>3</v>
      </c>
    </row>
    <row r="159" spans="1:5" s="3" customFormat="1" ht="18" customHeight="1" x14ac:dyDescent="0.2">
      <c r="A159" s="39">
        <v>24</v>
      </c>
      <c r="B159" s="35">
        <v>6</v>
      </c>
      <c r="C159" s="36">
        <v>2</v>
      </c>
      <c r="D159" s="36">
        <v>37</v>
      </c>
      <c r="E159" s="37">
        <v>3</v>
      </c>
    </row>
    <row r="160" spans="1:5" s="3" customFormat="1" ht="18" customHeight="1" x14ac:dyDescent="0.2">
      <c r="A160" s="39">
        <v>25</v>
      </c>
      <c r="B160" s="35">
        <v>6</v>
      </c>
      <c r="C160" s="36">
        <v>4</v>
      </c>
      <c r="D160" s="36">
        <v>37</v>
      </c>
      <c r="E160" s="37">
        <v>3</v>
      </c>
    </row>
    <row r="161" spans="1:5" s="3" customFormat="1" ht="18" customHeight="1" x14ac:dyDescent="0.2">
      <c r="A161" s="39">
        <v>26</v>
      </c>
      <c r="B161" s="35">
        <v>6</v>
      </c>
      <c r="C161" s="36">
        <v>6</v>
      </c>
      <c r="D161" s="36">
        <v>37</v>
      </c>
      <c r="E161" s="37">
        <v>3</v>
      </c>
    </row>
    <row r="162" spans="1:5" s="3" customFormat="1" ht="18" customHeight="1" x14ac:dyDescent="0.2">
      <c r="A162" s="39">
        <v>27</v>
      </c>
      <c r="B162" s="35">
        <v>6</v>
      </c>
      <c r="C162" s="36">
        <v>7</v>
      </c>
      <c r="D162" s="36">
        <v>37</v>
      </c>
      <c r="E162" s="37">
        <v>3</v>
      </c>
    </row>
    <row r="163" spans="1:5" s="3" customFormat="1" ht="18" customHeight="1" x14ac:dyDescent="0.2">
      <c r="A163" s="39">
        <v>28</v>
      </c>
      <c r="B163" s="35">
        <v>6</v>
      </c>
      <c r="C163" s="36">
        <v>9</v>
      </c>
      <c r="D163" s="36">
        <v>37</v>
      </c>
      <c r="E163" s="37">
        <v>3</v>
      </c>
    </row>
    <row r="164" spans="1:5" s="3" customFormat="1" ht="18" customHeight="1" x14ac:dyDescent="0.2">
      <c r="A164" s="39">
        <v>29</v>
      </c>
      <c r="B164" s="35">
        <v>7</v>
      </c>
      <c r="C164" s="36">
        <v>1</v>
      </c>
      <c r="D164" s="36">
        <v>4</v>
      </c>
      <c r="E164" s="37">
        <v>13</v>
      </c>
    </row>
    <row r="165" spans="1:5" s="3" customFormat="1" ht="18" customHeight="1" x14ac:dyDescent="0.2">
      <c r="A165" s="39">
        <v>30</v>
      </c>
      <c r="B165" s="35">
        <v>7</v>
      </c>
      <c r="C165" s="36">
        <v>2</v>
      </c>
      <c r="D165" s="36">
        <v>4</v>
      </c>
      <c r="E165" s="37">
        <v>13</v>
      </c>
    </row>
    <row r="166" spans="1:5" s="3" customFormat="1" ht="18" customHeight="1" x14ac:dyDescent="0.2">
      <c r="A166" s="39">
        <v>31</v>
      </c>
      <c r="B166" s="35">
        <v>7</v>
      </c>
      <c r="C166" s="36">
        <v>3</v>
      </c>
      <c r="D166" s="36">
        <v>4</v>
      </c>
      <c r="E166" s="37">
        <v>13</v>
      </c>
    </row>
    <row r="167" spans="1:5" s="3" customFormat="1" ht="18" customHeight="1" x14ac:dyDescent="0.2">
      <c r="A167" s="39">
        <v>32</v>
      </c>
      <c r="B167" s="35">
        <v>7</v>
      </c>
      <c r="C167" s="36">
        <v>4</v>
      </c>
      <c r="D167" s="36">
        <v>4</v>
      </c>
      <c r="E167" s="37">
        <v>13</v>
      </c>
    </row>
    <row r="168" spans="1:5" s="3" customFormat="1" ht="18" customHeight="1" x14ac:dyDescent="0.2">
      <c r="A168" s="39">
        <v>33</v>
      </c>
      <c r="B168" s="35">
        <v>7</v>
      </c>
      <c r="C168" s="36">
        <v>5</v>
      </c>
      <c r="D168" s="36">
        <v>4</v>
      </c>
      <c r="E168" s="37">
        <v>13</v>
      </c>
    </row>
    <row r="169" spans="1:5" s="3" customFormat="1" ht="18" customHeight="1" x14ac:dyDescent="0.2">
      <c r="A169" s="39">
        <v>34</v>
      </c>
      <c r="B169" s="35">
        <v>7</v>
      </c>
      <c r="C169" s="36">
        <v>6</v>
      </c>
      <c r="D169" s="36">
        <v>4</v>
      </c>
      <c r="E169" s="37">
        <v>13</v>
      </c>
    </row>
    <row r="170" spans="1:5" s="3" customFormat="1" ht="18" customHeight="1" x14ac:dyDescent="0.2">
      <c r="A170" s="39">
        <v>35</v>
      </c>
      <c r="B170" s="35">
        <v>7</v>
      </c>
      <c r="C170" s="36">
        <v>7</v>
      </c>
      <c r="D170" s="36">
        <v>4</v>
      </c>
      <c r="E170" s="37">
        <v>13</v>
      </c>
    </row>
    <row r="171" spans="1:5" s="3" customFormat="1" ht="18" customHeight="1" x14ac:dyDescent="0.2">
      <c r="A171" s="39">
        <v>36</v>
      </c>
      <c r="B171" s="35">
        <v>7</v>
      </c>
      <c r="C171" s="36">
        <v>8</v>
      </c>
      <c r="D171" s="36">
        <v>4</v>
      </c>
      <c r="E171" s="37">
        <v>13</v>
      </c>
    </row>
    <row r="172" spans="1:5" s="3" customFormat="1" ht="18" customHeight="1" x14ac:dyDescent="0.2">
      <c r="A172" s="39">
        <v>37</v>
      </c>
      <c r="B172" s="35">
        <v>7</v>
      </c>
      <c r="C172" s="36">
        <v>9</v>
      </c>
      <c r="D172" s="36">
        <v>4</v>
      </c>
      <c r="E172" s="37">
        <v>13</v>
      </c>
    </row>
    <row r="173" spans="1:5" s="3" customFormat="1" ht="18" customHeight="1" x14ac:dyDescent="0.2">
      <c r="A173" s="39">
        <v>38</v>
      </c>
      <c r="B173" s="35">
        <v>7</v>
      </c>
      <c r="C173" s="36">
        <v>10</v>
      </c>
      <c r="D173" s="36">
        <v>4</v>
      </c>
      <c r="E173" s="37">
        <v>13</v>
      </c>
    </row>
    <row r="174" spans="1:5" s="3" customFormat="1" ht="18" customHeight="1" x14ac:dyDescent="0.2">
      <c r="A174" s="39">
        <v>39</v>
      </c>
      <c r="B174" s="35">
        <v>16</v>
      </c>
      <c r="C174" s="36">
        <v>1</v>
      </c>
      <c r="D174" s="36">
        <v>4</v>
      </c>
      <c r="E174" s="37">
        <v>1</v>
      </c>
    </row>
    <row r="175" spans="1:5" s="3" customFormat="1" ht="18" customHeight="1" x14ac:dyDescent="0.2">
      <c r="A175" s="39">
        <v>40</v>
      </c>
      <c r="B175" s="35">
        <v>16</v>
      </c>
      <c r="C175" s="36">
        <v>2</v>
      </c>
      <c r="D175" s="36">
        <v>4</v>
      </c>
      <c r="E175" s="37">
        <v>1</v>
      </c>
    </row>
    <row r="176" spans="1:5" s="3" customFormat="1" ht="18" customHeight="1" x14ac:dyDescent="0.2">
      <c r="A176" s="39">
        <v>41</v>
      </c>
      <c r="B176" s="35">
        <v>16</v>
      </c>
      <c r="C176" s="36">
        <v>4</v>
      </c>
      <c r="D176" s="36">
        <v>4</v>
      </c>
      <c r="E176" s="37">
        <v>1</v>
      </c>
    </row>
    <row r="177" spans="1:52" s="3" customFormat="1" ht="18" customHeight="1" x14ac:dyDescent="0.2">
      <c r="A177" s="39">
        <v>42</v>
      </c>
      <c r="B177" s="35">
        <v>16</v>
      </c>
      <c r="C177" s="36">
        <v>7</v>
      </c>
      <c r="D177" s="36">
        <v>4</v>
      </c>
      <c r="E177" s="37">
        <v>1</v>
      </c>
    </row>
    <row r="178" spans="1:52" s="3" customFormat="1" ht="18" customHeight="1" x14ac:dyDescent="0.2">
      <c r="A178" s="39">
        <v>43</v>
      </c>
      <c r="B178" s="35">
        <v>16</v>
      </c>
      <c r="C178" s="36">
        <v>9</v>
      </c>
      <c r="D178" s="36">
        <v>4</v>
      </c>
      <c r="E178" s="37">
        <v>1</v>
      </c>
    </row>
    <row r="179" spans="1:52" s="3" customFormat="1" ht="18" customHeight="1" x14ac:dyDescent="0.2">
      <c r="A179" s="39">
        <v>44</v>
      </c>
      <c r="B179" s="35">
        <v>25</v>
      </c>
      <c r="C179" s="36">
        <v>4</v>
      </c>
      <c r="D179" s="36">
        <v>37</v>
      </c>
      <c r="E179" s="37">
        <v>1</v>
      </c>
    </row>
    <row r="180" spans="1:52" s="3" customFormat="1" ht="18" customHeight="1" x14ac:dyDescent="0.2">
      <c r="A180" s="39">
        <v>45</v>
      </c>
      <c r="B180" s="35">
        <v>34</v>
      </c>
      <c r="C180" s="36">
        <v>4</v>
      </c>
      <c r="D180" s="36">
        <v>4</v>
      </c>
      <c r="E180" s="37">
        <v>2</v>
      </c>
    </row>
    <row r="181" spans="1:52" s="3" customFormat="1" ht="18" customHeight="1" x14ac:dyDescent="0.2">
      <c r="A181" s="39">
        <v>46</v>
      </c>
      <c r="B181" s="35">
        <v>34</v>
      </c>
      <c r="C181" s="36">
        <v>7</v>
      </c>
      <c r="D181" s="36">
        <v>4</v>
      </c>
      <c r="E181" s="37">
        <v>2</v>
      </c>
    </row>
    <row r="182" spans="1:52" s="3" customFormat="1" ht="18" customHeight="1" x14ac:dyDescent="0.2">
      <c r="A182" s="39">
        <v>47</v>
      </c>
      <c r="B182" s="35">
        <v>34</v>
      </c>
      <c r="C182" s="36">
        <v>9</v>
      </c>
      <c r="D182" s="36">
        <v>4</v>
      </c>
      <c r="E182" s="37">
        <v>2</v>
      </c>
    </row>
    <row r="183" spans="1:52" s="3" customFormat="1" ht="18.5" customHeight="1" x14ac:dyDescent="0.2">
      <c r="A183" s="56">
        <v>48</v>
      </c>
      <c r="B183" s="32">
        <v>82</v>
      </c>
      <c r="C183" s="33">
        <v>4</v>
      </c>
      <c r="D183" s="33">
        <v>4</v>
      </c>
      <c r="E183" s="34">
        <v>3</v>
      </c>
    </row>
    <row r="190" spans="1:52" s="3" customFormat="1" ht="19" customHeight="1" x14ac:dyDescent="0.2">
      <c r="B190" s="114" t="s">
        <v>198</v>
      </c>
    </row>
    <row r="191" spans="1:52" s="3" customFormat="1" ht="19" customHeight="1" x14ac:dyDescent="0.2">
      <c r="B191" s="122" t="s">
        <v>199</v>
      </c>
      <c r="AX191" s="8" t="s">
        <v>200</v>
      </c>
      <c r="AY191" s="6" t="s">
        <v>201</v>
      </c>
      <c r="AZ191" s="112"/>
    </row>
    <row r="192" spans="1:52" s="3" customFormat="1" ht="19" customHeight="1" x14ac:dyDescent="0.2">
      <c r="A192" s="191" t="s">
        <v>202</v>
      </c>
      <c r="B192" s="9">
        <v>1</v>
      </c>
      <c r="C192" s="10">
        <v>2</v>
      </c>
      <c r="D192" s="10">
        <v>3</v>
      </c>
      <c r="E192" s="10">
        <v>4</v>
      </c>
      <c r="F192" s="10">
        <v>5</v>
      </c>
      <c r="G192" s="10">
        <v>6</v>
      </c>
      <c r="H192" s="10">
        <v>7</v>
      </c>
      <c r="I192" s="10">
        <v>8</v>
      </c>
      <c r="J192" s="10">
        <v>9</v>
      </c>
      <c r="K192" s="10">
        <v>10</v>
      </c>
      <c r="L192" s="10">
        <v>11</v>
      </c>
      <c r="M192" s="10">
        <v>12</v>
      </c>
      <c r="N192" s="10">
        <v>13</v>
      </c>
      <c r="O192" s="10">
        <v>14</v>
      </c>
      <c r="P192" s="10">
        <v>15</v>
      </c>
      <c r="Q192" s="10">
        <v>16</v>
      </c>
      <c r="R192" s="10">
        <v>17</v>
      </c>
      <c r="S192" s="10">
        <v>18</v>
      </c>
      <c r="T192" s="10">
        <v>19</v>
      </c>
      <c r="U192" s="10">
        <v>20</v>
      </c>
      <c r="V192" s="10">
        <v>21</v>
      </c>
      <c r="W192" s="10">
        <v>22</v>
      </c>
      <c r="X192" s="10">
        <v>23</v>
      </c>
      <c r="Y192" s="10">
        <v>24</v>
      </c>
      <c r="Z192" s="10">
        <v>25</v>
      </c>
      <c r="AA192" s="10">
        <v>26</v>
      </c>
      <c r="AB192" s="10">
        <v>27</v>
      </c>
      <c r="AC192" s="10">
        <v>28</v>
      </c>
      <c r="AD192" s="10">
        <v>29</v>
      </c>
      <c r="AE192" s="10">
        <v>30</v>
      </c>
      <c r="AF192" s="10">
        <v>31</v>
      </c>
      <c r="AG192" s="10">
        <v>32</v>
      </c>
      <c r="AH192" s="10">
        <v>33</v>
      </c>
      <c r="AI192" s="10">
        <v>34</v>
      </c>
      <c r="AJ192" s="10">
        <v>35</v>
      </c>
      <c r="AK192" s="10">
        <v>36</v>
      </c>
      <c r="AL192" s="10">
        <v>37</v>
      </c>
      <c r="AM192" s="10">
        <v>38</v>
      </c>
      <c r="AN192" s="10">
        <v>39</v>
      </c>
      <c r="AO192" s="10">
        <v>40</v>
      </c>
      <c r="AP192" s="10">
        <v>41</v>
      </c>
      <c r="AQ192" s="10">
        <v>42</v>
      </c>
      <c r="AR192" s="10">
        <v>43</v>
      </c>
      <c r="AS192" s="10">
        <v>44</v>
      </c>
      <c r="AT192" s="10">
        <v>45</v>
      </c>
      <c r="AU192" s="10">
        <v>46</v>
      </c>
      <c r="AV192" s="10">
        <v>47</v>
      </c>
      <c r="AW192" s="11">
        <v>48</v>
      </c>
      <c r="AX192" s="8" t="s">
        <v>203</v>
      </c>
      <c r="AY192" s="8" t="s">
        <v>204</v>
      </c>
    </row>
    <row r="193" spans="1:51" s="3" customFormat="1" ht="18.5" customHeight="1" x14ac:dyDescent="0.2">
      <c r="A193" s="28">
        <v>1</v>
      </c>
      <c r="B193" s="23">
        <v>1</v>
      </c>
      <c r="C193" s="24">
        <v>1</v>
      </c>
      <c r="D193" s="24">
        <v>1</v>
      </c>
      <c r="E193" s="24">
        <v>1</v>
      </c>
      <c r="F193" s="24">
        <v>1</v>
      </c>
      <c r="G193" s="24">
        <v>1</v>
      </c>
      <c r="H193" s="24">
        <v>0</v>
      </c>
      <c r="I193" s="24">
        <v>0</v>
      </c>
      <c r="J193" s="24">
        <v>0</v>
      </c>
      <c r="K193" s="24">
        <v>0</v>
      </c>
      <c r="L193" s="24">
        <v>0</v>
      </c>
      <c r="M193" s="24">
        <v>0</v>
      </c>
      <c r="N193" s="24">
        <v>0</v>
      </c>
      <c r="O193" s="24">
        <v>0</v>
      </c>
      <c r="P193" s="24">
        <v>0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0</v>
      </c>
      <c r="AC193" s="24">
        <v>0</v>
      </c>
      <c r="AD193" s="24">
        <v>0</v>
      </c>
      <c r="AE193" s="24">
        <v>0</v>
      </c>
      <c r="AF193" s="24">
        <v>0</v>
      </c>
      <c r="AG193" s="24">
        <v>0</v>
      </c>
      <c r="AH193" s="24">
        <v>0</v>
      </c>
      <c r="AI193" s="24">
        <v>0</v>
      </c>
      <c r="AJ193" s="24">
        <v>0</v>
      </c>
      <c r="AK193" s="24">
        <v>0</v>
      </c>
      <c r="AL193" s="24">
        <v>0</v>
      </c>
      <c r="AM193" s="24">
        <v>0</v>
      </c>
      <c r="AN193" s="24">
        <v>0</v>
      </c>
      <c r="AO193" s="24">
        <v>0</v>
      </c>
      <c r="AP193" s="24">
        <v>0</v>
      </c>
      <c r="AQ193" s="24">
        <v>0</v>
      </c>
      <c r="AR193" s="24">
        <v>0</v>
      </c>
      <c r="AS193" s="24">
        <v>0</v>
      </c>
      <c r="AT193" s="24">
        <v>0</v>
      </c>
      <c r="AU193" s="24">
        <v>0</v>
      </c>
      <c r="AV193" s="24">
        <v>0</v>
      </c>
      <c r="AW193" s="25">
        <v>0</v>
      </c>
      <c r="AX193" s="28">
        <f t="shared" ref="AX193:AX202" si="3">SUM(B193:AW193)</f>
        <v>6</v>
      </c>
      <c r="AY193" s="262">
        <v>0.16666666666666671</v>
      </c>
    </row>
    <row r="194" spans="1:51" s="3" customFormat="1" ht="18" customHeight="1" x14ac:dyDescent="0.2">
      <c r="A194" s="39">
        <v>2</v>
      </c>
      <c r="B194" s="35">
        <v>0</v>
      </c>
      <c r="C194" s="36">
        <v>0</v>
      </c>
      <c r="D194" s="36">
        <v>0</v>
      </c>
      <c r="E194" s="36">
        <v>0</v>
      </c>
      <c r="F194" s="36">
        <v>0</v>
      </c>
      <c r="G194" s="36">
        <v>0</v>
      </c>
      <c r="H194" s="36">
        <v>1</v>
      </c>
      <c r="I194" s="36">
        <v>1</v>
      </c>
      <c r="J194" s="36">
        <v>1</v>
      </c>
      <c r="K194" s="36">
        <v>0</v>
      </c>
      <c r="L194" s="36">
        <v>0</v>
      </c>
      <c r="M194" s="36">
        <v>0</v>
      </c>
      <c r="N194" s="36">
        <v>0</v>
      </c>
      <c r="O194" s="36">
        <v>0</v>
      </c>
      <c r="P194" s="36">
        <v>0</v>
      </c>
      <c r="Q194" s="36">
        <v>0</v>
      </c>
      <c r="R194" s="36">
        <v>0</v>
      </c>
      <c r="S194" s="36">
        <v>0</v>
      </c>
      <c r="T194" s="36">
        <v>0</v>
      </c>
      <c r="U194" s="36">
        <v>0</v>
      </c>
      <c r="V194" s="36">
        <v>0</v>
      </c>
      <c r="W194" s="36">
        <v>0</v>
      </c>
      <c r="X194" s="36">
        <v>0</v>
      </c>
      <c r="Y194" s="36">
        <v>0</v>
      </c>
      <c r="Z194" s="36">
        <v>0</v>
      </c>
      <c r="AA194" s="36">
        <v>0</v>
      </c>
      <c r="AB194" s="36">
        <v>0</v>
      </c>
      <c r="AC194" s="36">
        <v>0</v>
      </c>
      <c r="AD194" s="36">
        <v>0</v>
      </c>
      <c r="AE194" s="36">
        <v>0</v>
      </c>
      <c r="AF194" s="36">
        <v>0</v>
      </c>
      <c r="AG194" s="36">
        <v>0</v>
      </c>
      <c r="AH194" s="36">
        <v>0</v>
      </c>
      <c r="AI194" s="36">
        <v>0</v>
      </c>
      <c r="AJ194" s="36">
        <v>0</v>
      </c>
      <c r="AK194" s="36">
        <v>0</v>
      </c>
      <c r="AL194" s="36">
        <v>0</v>
      </c>
      <c r="AM194" s="36">
        <v>0</v>
      </c>
      <c r="AN194" s="36">
        <v>0</v>
      </c>
      <c r="AO194" s="36">
        <v>0</v>
      </c>
      <c r="AP194" s="36">
        <v>0</v>
      </c>
      <c r="AQ194" s="36">
        <v>0</v>
      </c>
      <c r="AR194" s="36">
        <v>0</v>
      </c>
      <c r="AS194" s="36">
        <v>0</v>
      </c>
      <c r="AT194" s="36">
        <v>0</v>
      </c>
      <c r="AU194" s="36">
        <v>0</v>
      </c>
      <c r="AV194" s="36">
        <v>0</v>
      </c>
      <c r="AW194" s="37">
        <v>0</v>
      </c>
      <c r="AX194" s="39">
        <f t="shared" si="3"/>
        <v>3</v>
      </c>
      <c r="AY194" s="263">
        <v>0.33333333333333331</v>
      </c>
    </row>
    <row r="195" spans="1:51" s="3" customFormat="1" ht="18" customHeight="1" x14ac:dyDescent="0.2">
      <c r="A195" s="39">
        <v>3</v>
      </c>
      <c r="B195" s="35">
        <v>0</v>
      </c>
      <c r="C195" s="36">
        <v>0</v>
      </c>
      <c r="D195" s="36">
        <v>0</v>
      </c>
      <c r="E195" s="36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1</v>
      </c>
      <c r="L195" s="36">
        <v>1</v>
      </c>
      <c r="M195" s="36">
        <v>1</v>
      </c>
      <c r="N195" s="36">
        <v>1</v>
      </c>
      <c r="O195" s="36">
        <v>1</v>
      </c>
      <c r="P195" s="36">
        <v>1</v>
      </c>
      <c r="Q195" s="36">
        <v>0</v>
      </c>
      <c r="R195" s="36">
        <v>0</v>
      </c>
      <c r="S195" s="36">
        <v>0</v>
      </c>
      <c r="T195" s="36">
        <v>0</v>
      </c>
      <c r="U195" s="36">
        <v>0</v>
      </c>
      <c r="V195" s="36">
        <v>0</v>
      </c>
      <c r="W195" s="36">
        <v>0</v>
      </c>
      <c r="X195" s="36">
        <v>0</v>
      </c>
      <c r="Y195" s="36">
        <v>0</v>
      </c>
      <c r="Z195" s="36">
        <v>0</v>
      </c>
      <c r="AA195" s="36">
        <v>0</v>
      </c>
      <c r="AB195" s="36">
        <v>0</v>
      </c>
      <c r="AC195" s="36">
        <v>0</v>
      </c>
      <c r="AD195" s="36">
        <v>0</v>
      </c>
      <c r="AE195" s="36">
        <v>0</v>
      </c>
      <c r="AF195" s="36">
        <v>0</v>
      </c>
      <c r="AG195" s="36">
        <v>0</v>
      </c>
      <c r="AH195" s="36">
        <v>0</v>
      </c>
      <c r="AI195" s="36">
        <v>0</v>
      </c>
      <c r="AJ195" s="36">
        <v>0</v>
      </c>
      <c r="AK195" s="36">
        <v>0</v>
      </c>
      <c r="AL195" s="36">
        <v>0</v>
      </c>
      <c r="AM195" s="36">
        <v>0</v>
      </c>
      <c r="AN195" s="36">
        <v>0</v>
      </c>
      <c r="AO195" s="36">
        <v>0</v>
      </c>
      <c r="AP195" s="36">
        <v>0</v>
      </c>
      <c r="AQ195" s="36">
        <v>0</v>
      </c>
      <c r="AR195" s="36">
        <v>0</v>
      </c>
      <c r="AS195" s="36">
        <v>0</v>
      </c>
      <c r="AT195" s="36">
        <v>0</v>
      </c>
      <c r="AU195" s="36">
        <v>0</v>
      </c>
      <c r="AV195" s="36">
        <v>0</v>
      </c>
      <c r="AW195" s="37">
        <v>0</v>
      </c>
      <c r="AX195" s="39">
        <f t="shared" si="3"/>
        <v>6</v>
      </c>
      <c r="AY195" s="263">
        <v>0.16666666666666671</v>
      </c>
    </row>
    <row r="196" spans="1:51" s="3" customFormat="1" ht="18" customHeight="1" x14ac:dyDescent="0.2">
      <c r="A196" s="39">
        <v>4</v>
      </c>
      <c r="B196" s="35">
        <v>0</v>
      </c>
      <c r="C196" s="36">
        <v>0</v>
      </c>
      <c r="D196" s="36">
        <v>0</v>
      </c>
      <c r="E196" s="36">
        <v>0</v>
      </c>
      <c r="F196" s="36">
        <v>0</v>
      </c>
      <c r="G196" s="36">
        <v>0</v>
      </c>
      <c r="H196" s="36">
        <v>0</v>
      </c>
      <c r="I196" s="36">
        <v>0</v>
      </c>
      <c r="J196" s="36">
        <v>0</v>
      </c>
      <c r="K196" s="36">
        <v>0</v>
      </c>
      <c r="L196" s="36">
        <v>0</v>
      </c>
      <c r="M196" s="36">
        <v>0</v>
      </c>
      <c r="N196" s="36">
        <v>0</v>
      </c>
      <c r="O196" s="36">
        <v>0</v>
      </c>
      <c r="P196" s="36">
        <v>0</v>
      </c>
      <c r="Q196" s="36">
        <v>1</v>
      </c>
      <c r="R196" s="36">
        <v>1</v>
      </c>
      <c r="S196" s="36">
        <v>1</v>
      </c>
      <c r="T196" s="36">
        <v>1</v>
      </c>
      <c r="U196" s="36">
        <v>1</v>
      </c>
      <c r="V196" s="36">
        <v>1</v>
      </c>
      <c r="W196" s="36">
        <v>1</v>
      </c>
      <c r="X196" s="36">
        <v>0</v>
      </c>
      <c r="Y196" s="36">
        <v>0</v>
      </c>
      <c r="Z196" s="36">
        <v>0</v>
      </c>
      <c r="AA196" s="36">
        <v>0</v>
      </c>
      <c r="AB196" s="36">
        <v>0</v>
      </c>
      <c r="AC196" s="36">
        <v>0</v>
      </c>
      <c r="AD196" s="36">
        <v>0</v>
      </c>
      <c r="AE196" s="36">
        <v>0</v>
      </c>
      <c r="AF196" s="36">
        <v>0</v>
      </c>
      <c r="AG196" s="36">
        <v>0</v>
      </c>
      <c r="AH196" s="36">
        <v>0</v>
      </c>
      <c r="AI196" s="36">
        <v>0</v>
      </c>
      <c r="AJ196" s="36">
        <v>0</v>
      </c>
      <c r="AK196" s="36">
        <v>0</v>
      </c>
      <c r="AL196" s="36">
        <v>0</v>
      </c>
      <c r="AM196" s="36">
        <v>0</v>
      </c>
      <c r="AN196" s="36">
        <v>0</v>
      </c>
      <c r="AO196" s="36">
        <v>0</v>
      </c>
      <c r="AP196" s="36">
        <v>0</v>
      </c>
      <c r="AQ196" s="36">
        <v>0</v>
      </c>
      <c r="AR196" s="36">
        <v>0</v>
      </c>
      <c r="AS196" s="36">
        <v>0</v>
      </c>
      <c r="AT196" s="36">
        <v>0</v>
      </c>
      <c r="AU196" s="36">
        <v>0</v>
      </c>
      <c r="AV196" s="36">
        <v>0</v>
      </c>
      <c r="AW196" s="37">
        <v>0</v>
      </c>
      <c r="AX196" s="39">
        <f t="shared" si="3"/>
        <v>7</v>
      </c>
      <c r="AY196" s="263">
        <v>0.14285714285714279</v>
      </c>
    </row>
    <row r="197" spans="1:51" s="3" customFormat="1" ht="18" customHeight="1" x14ac:dyDescent="0.2">
      <c r="A197" s="39">
        <v>6</v>
      </c>
      <c r="B197" s="35">
        <v>0</v>
      </c>
      <c r="C197" s="36">
        <v>0</v>
      </c>
      <c r="D197" s="36">
        <v>0</v>
      </c>
      <c r="E197" s="36">
        <v>0</v>
      </c>
      <c r="F197" s="36">
        <v>0</v>
      </c>
      <c r="G197" s="36">
        <v>0</v>
      </c>
      <c r="H197" s="36">
        <v>0</v>
      </c>
      <c r="I197" s="36">
        <v>0</v>
      </c>
      <c r="J197" s="36">
        <v>0</v>
      </c>
      <c r="K197" s="36">
        <v>0</v>
      </c>
      <c r="L197" s="36">
        <v>0</v>
      </c>
      <c r="M197" s="36">
        <v>0</v>
      </c>
      <c r="N197" s="36">
        <v>0</v>
      </c>
      <c r="O197" s="36">
        <v>0</v>
      </c>
      <c r="P197" s="36">
        <v>0</v>
      </c>
      <c r="Q197" s="36">
        <v>0</v>
      </c>
      <c r="R197" s="36">
        <v>0</v>
      </c>
      <c r="S197" s="36">
        <v>0</v>
      </c>
      <c r="T197" s="36">
        <v>0</v>
      </c>
      <c r="U197" s="36">
        <v>0</v>
      </c>
      <c r="V197" s="36">
        <v>0</v>
      </c>
      <c r="W197" s="36">
        <v>0</v>
      </c>
      <c r="X197" s="36">
        <v>1</v>
      </c>
      <c r="Y197" s="36">
        <v>1</v>
      </c>
      <c r="Z197" s="36">
        <v>1</v>
      </c>
      <c r="AA197" s="36">
        <v>1</v>
      </c>
      <c r="AB197" s="36">
        <v>1</v>
      </c>
      <c r="AC197" s="36">
        <v>1</v>
      </c>
      <c r="AD197" s="36">
        <v>0</v>
      </c>
      <c r="AE197" s="36">
        <v>0</v>
      </c>
      <c r="AF197" s="36">
        <v>0</v>
      </c>
      <c r="AG197" s="36">
        <v>0</v>
      </c>
      <c r="AH197" s="36">
        <v>0</v>
      </c>
      <c r="AI197" s="36">
        <v>0</v>
      </c>
      <c r="AJ197" s="36">
        <v>0</v>
      </c>
      <c r="AK197" s="36">
        <v>0</v>
      </c>
      <c r="AL197" s="36">
        <v>0</v>
      </c>
      <c r="AM197" s="36">
        <v>0</v>
      </c>
      <c r="AN197" s="36">
        <v>0</v>
      </c>
      <c r="AO197" s="36">
        <v>0</v>
      </c>
      <c r="AP197" s="36">
        <v>0</v>
      </c>
      <c r="AQ197" s="36">
        <v>0</v>
      </c>
      <c r="AR197" s="36">
        <v>0</v>
      </c>
      <c r="AS197" s="36">
        <v>0</v>
      </c>
      <c r="AT197" s="36">
        <v>0</v>
      </c>
      <c r="AU197" s="36">
        <v>0</v>
      </c>
      <c r="AV197" s="36">
        <v>0</v>
      </c>
      <c r="AW197" s="37">
        <v>0</v>
      </c>
      <c r="AX197" s="39">
        <f t="shared" si="3"/>
        <v>6</v>
      </c>
      <c r="AY197" s="263">
        <v>0.16666666666666671</v>
      </c>
    </row>
    <row r="198" spans="1:51" s="3" customFormat="1" ht="18" customHeight="1" x14ac:dyDescent="0.2">
      <c r="A198" s="39">
        <v>7</v>
      </c>
      <c r="B198" s="35">
        <v>0</v>
      </c>
      <c r="C198" s="36">
        <v>0</v>
      </c>
      <c r="D198" s="36">
        <v>0</v>
      </c>
      <c r="E198" s="36">
        <v>0</v>
      </c>
      <c r="F198" s="36">
        <v>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>
        <v>0</v>
      </c>
      <c r="M198" s="36">
        <v>0</v>
      </c>
      <c r="N198" s="36">
        <v>0</v>
      </c>
      <c r="O198" s="36">
        <v>0</v>
      </c>
      <c r="P198" s="36">
        <v>0</v>
      </c>
      <c r="Q198" s="36">
        <v>0</v>
      </c>
      <c r="R198" s="36">
        <v>0</v>
      </c>
      <c r="S198" s="36">
        <v>0</v>
      </c>
      <c r="T198" s="36">
        <v>0</v>
      </c>
      <c r="U198" s="36">
        <v>0</v>
      </c>
      <c r="V198" s="36">
        <v>0</v>
      </c>
      <c r="W198" s="36">
        <v>0</v>
      </c>
      <c r="X198" s="36">
        <v>0</v>
      </c>
      <c r="Y198" s="36">
        <v>0</v>
      </c>
      <c r="Z198" s="36">
        <v>0</v>
      </c>
      <c r="AA198" s="36">
        <v>0</v>
      </c>
      <c r="AB198" s="36">
        <v>0</v>
      </c>
      <c r="AC198" s="36">
        <v>0</v>
      </c>
      <c r="AD198" s="36">
        <v>1</v>
      </c>
      <c r="AE198" s="36">
        <v>1</v>
      </c>
      <c r="AF198" s="36">
        <v>1</v>
      </c>
      <c r="AG198" s="36">
        <v>1</v>
      </c>
      <c r="AH198" s="36">
        <v>1</v>
      </c>
      <c r="AI198" s="36">
        <v>1</v>
      </c>
      <c r="AJ198" s="36">
        <v>1</v>
      </c>
      <c r="AK198" s="36">
        <v>1</v>
      </c>
      <c r="AL198" s="36">
        <v>1</v>
      </c>
      <c r="AM198" s="36">
        <v>1</v>
      </c>
      <c r="AN198" s="36">
        <v>0</v>
      </c>
      <c r="AO198" s="36">
        <v>0</v>
      </c>
      <c r="AP198" s="36">
        <v>0</v>
      </c>
      <c r="AQ198" s="36">
        <v>0</v>
      </c>
      <c r="AR198" s="36">
        <v>0</v>
      </c>
      <c r="AS198" s="36">
        <v>0</v>
      </c>
      <c r="AT198" s="36">
        <v>0</v>
      </c>
      <c r="AU198" s="36">
        <v>0</v>
      </c>
      <c r="AV198" s="36">
        <v>0</v>
      </c>
      <c r="AW198" s="37">
        <v>0</v>
      </c>
      <c r="AX198" s="39">
        <f t="shared" si="3"/>
        <v>10</v>
      </c>
      <c r="AY198" s="263">
        <v>0.1</v>
      </c>
    </row>
    <row r="199" spans="1:51" s="3" customFormat="1" ht="18" customHeight="1" x14ac:dyDescent="0.2">
      <c r="A199" s="39">
        <v>16</v>
      </c>
      <c r="B199" s="35">
        <v>0</v>
      </c>
      <c r="C199" s="36">
        <v>0</v>
      </c>
      <c r="D199" s="36">
        <v>0</v>
      </c>
      <c r="E199" s="36">
        <v>0</v>
      </c>
      <c r="F199" s="36">
        <v>0</v>
      </c>
      <c r="G199" s="36">
        <v>0</v>
      </c>
      <c r="H199" s="36">
        <v>0</v>
      </c>
      <c r="I199" s="36">
        <v>0</v>
      </c>
      <c r="J199" s="36">
        <v>0</v>
      </c>
      <c r="K199" s="36">
        <v>0</v>
      </c>
      <c r="L199" s="36">
        <v>0</v>
      </c>
      <c r="M199" s="36">
        <v>0</v>
      </c>
      <c r="N199" s="36">
        <v>0</v>
      </c>
      <c r="O199" s="36">
        <v>0</v>
      </c>
      <c r="P199" s="36">
        <v>0</v>
      </c>
      <c r="Q199" s="36">
        <v>0</v>
      </c>
      <c r="R199" s="36">
        <v>0</v>
      </c>
      <c r="S199" s="36">
        <v>0</v>
      </c>
      <c r="T199" s="36">
        <v>0</v>
      </c>
      <c r="U199" s="36">
        <v>0</v>
      </c>
      <c r="V199" s="36">
        <v>0</v>
      </c>
      <c r="W199" s="36">
        <v>0</v>
      </c>
      <c r="X199" s="36">
        <v>0</v>
      </c>
      <c r="Y199" s="36">
        <v>0</v>
      </c>
      <c r="Z199" s="36">
        <v>0</v>
      </c>
      <c r="AA199" s="36">
        <v>0</v>
      </c>
      <c r="AB199" s="36">
        <v>0</v>
      </c>
      <c r="AC199" s="36">
        <v>0</v>
      </c>
      <c r="AD199" s="36">
        <v>0</v>
      </c>
      <c r="AE199" s="36">
        <v>0</v>
      </c>
      <c r="AF199" s="36">
        <v>0</v>
      </c>
      <c r="AG199" s="36">
        <v>0</v>
      </c>
      <c r="AH199" s="36">
        <v>0</v>
      </c>
      <c r="AI199" s="36">
        <v>0</v>
      </c>
      <c r="AJ199" s="36">
        <v>0</v>
      </c>
      <c r="AK199" s="36">
        <v>0</v>
      </c>
      <c r="AL199" s="36">
        <v>0</v>
      </c>
      <c r="AM199" s="36">
        <v>0</v>
      </c>
      <c r="AN199" s="36">
        <v>1</v>
      </c>
      <c r="AO199" s="36">
        <v>1</v>
      </c>
      <c r="AP199" s="36">
        <v>1</v>
      </c>
      <c r="AQ199" s="36">
        <v>1</v>
      </c>
      <c r="AR199" s="36">
        <v>1</v>
      </c>
      <c r="AS199" s="36">
        <v>0</v>
      </c>
      <c r="AT199" s="36">
        <v>0</v>
      </c>
      <c r="AU199" s="36">
        <v>0</v>
      </c>
      <c r="AV199" s="36">
        <v>0</v>
      </c>
      <c r="AW199" s="37">
        <v>0</v>
      </c>
      <c r="AX199" s="39">
        <f t="shared" si="3"/>
        <v>5</v>
      </c>
      <c r="AY199" s="263">
        <v>0.2</v>
      </c>
    </row>
    <row r="200" spans="1:51" s="3" customFormat="1" ht="18" customHeight="1" x14ac:dyDescent="0.2">
      <c r="A200" s="39">
        <v>25</v>
      </c>
      <c r="B200" s="35">
        <v>0</v>
      </c>
      <c r="C200" s="36">
        <v>0</v>
      </c>
      <c r="D200" s="36">
        <v>0</v>
      </c>
      <c r="E200" s="36">
        <v>0</v>
      </c>
      <c r="F200" s="36">
        <v>0</v>
      </c>
      <c r="G200" s="36">
        <v>0</v>
      </c>
      <c r="H200" s="36">
        <v>0</v>
      </c>
      <c r="I200" s="36">
        <v>0</v>
      </c>
      <c r="J200" s="36">
        <v>0</v>
      </c>
      <c r="K200" s="36">
        <v>0</v>
      </c>
      <c r="L200" s="36">
        <v>0</v>
      </c>
      <c r="M200" s="36">
        <v>0</v>
      </c>
      <c r="N200" s="36">
        <v>0</v>
      </c>
      <c r="O200" s="36">
        <v>0</v>
      </c>
      <c r="P200" s="36">
        <v>0</v>
      </c>
      <c r="Q200" s="36">
        <v>0</v>
      </c>
      <c r="R200" s="36">
        <v>0</v>
      </c>
      <c r="S200" s="36">
        <v>0</v>
      </c>
      <c r="T200" s="36">
        <v>0</v>
      </c>
      <c r="U200" s="36">
        <v>0</v>
      </c>
      <c r="V200" s="36">
        <v>0</v>
      </c>
      <c r="W200" s="36">
        <v>0</v>
      </c>
      <c r="X200" s="36">
        <v>0</v>
      </c>
      <c r="Y200" s="36">
        <v>0</v>
      </c>
      <c r="Z200" s="36">
        <v>0</v>
      </c>
      <c r="AA200" s="36">
        <v>0</v>
      </c>
      <c r="AB200" s="36">
        <v>0</v>
      </c>
      <c r="AC200" s="36">
        <v>0</v>
      </c>
      <c r="AD200" s="36">
        <v>0</v>
      </c>
      <c r="AE200" s="36">
        <v>0</v>
      </c>
      <c r="AF200" s="36">
        <v>0</v>
      </c>
      <c r="AG200" s="36">
        <v>0</v>
      </c>
      <c r="AH200" s="36">
        <v>0</v>
      </c>
      <c r="AI200" s="36">
        <v>0</v>
      </c>
      <c r="AJ200" s="36">
        <v>0</v>
      </c>
      <c r="AK200" s="36">
        <v>0</v>
      </c>
      <c r="AL200" s="36">
        <v>0</v>
      </c>
      <c r="AM200" s="36">
        <v>0</v>
      </c>
      <c r="AN200" s="36">
        <v>0</v>
      </c>
      <c r="AO200" s="36">
        <v>0</v>
      </c>
      <c r="AP200" s="36">
        <v>0</v>
      </c>
      <c r="AQ200" s="36">
        <v>0</v>
      </c>
      <c r="AR200" s="36">
        <v>0</v>
      </c>
      <c r="AS200" s="36">
        <v>1</v>
      </c>
      <c r="AT200" s="36">
        <v>0</v>
      </c>
      <c r="AU200" s="36">
        <v>0</v>
      </c>
      <c r="AV200" s="36">
        <v>0</v>
      </c>
      <c r="AW200" s="37">
        <v>0</v>
      </c>
      <c r="AX200" s="39">
        <f t="shared" si="3"/>
        <v>1</v>
      </c>
      <c r="AY200" s="263">
        <v>1</v>
      </c>
    </row>
    <row r="201" spans="1:51" s="3" customFormat="1" ht="18" customHeight="1" x14ac:dyDescent="0.2">
      <c r="A201" s="39">
        <v>34</v>
      </c>
      <c r="B201" s="35">
        <v>0</v>
      </c>
      <c r="C201" s="36">
        <v>0</v>
      </c>
      <c r="D201" s="36">
        <v>0</v>
      </c>
      <c r="E201" s="36">
        <v>0</v>
      </c>
      <c r="F201" s="36">
        <v>0</v>
      </c>
      <c r="G201" s="36">
        <v>0</v>
      </c>
      <c r="H201" s="36">
        <v>0</v>
      </c>
      <c r="I201" s="36">
        <v>0</v>
      </c>
      <c r="J201" s="36">
        <v>0</v>
      </c>
      <c r="K201" s="36">
        <v>0</v>
      </c>
      <c r="L201" s="36">
        <v>0</v>
      </c>
      <c r="M201" s="36">
        <v>0</v>
      </c>
      <c r="N201" s="36">
        <v>0</v>
      </c>
      <c r="O201" s="36">
        <v>0</v>
      </c>
      <c r="P201" s="36">
        <v>0</v>
      </c>
      <c r="Q201" s="36">
        <v>0</v>
      </c>
      <c r="R201" s="36">
        <v>0</v>
      </c>
      <c r="S201" s="36">
        <v>0</v>
      </c>
      <c r="T201" s="36">
        <v>0</v>
      </c>
      <c r="U201" s="36">
        <v>0</v>
      </c>
      <c r="V201" s="36">
        <v>0</v>
      </c>
      <c r="W201" s="36">
        <v>0</v>
      </c>
      <c r="X201" s="36">
        <v>0</v>
      </c>
      <c r="Y201" s="36">
        <v>0</v>
      </c>
      <c r="Z201" s="36">
        <v>0</v>
      </c>
      <c r="AA201" s="36">
        <v>0</v>
      </c>
      <c r="AB201" s="36">
        <v>0</v>
      </c>
      <c r="AC201" s="36">
        <v>0</v>
      </c>
      <c r="AD201" s="36">
        <v>0</v>
      </c>
      <c r="AE201" s="36">
        <v>0</v>
      </c>
      <c r="AF201" s="36">
        <v>0</v>
      </c>
      <c r="AG201" s="36">
        <v>0</v>
      </c>
      <c r="AH201" s="36">
        <v>0</v>
      </c>
      <c r="AI201" s="36">
        <v>0</v>
      </c>
      <c r="AJ201" s="36">
        <v>0</v>
      </c>
      <c r="AK201" s="36">
        <v>0</v>
      </c>
      <c r="AL201" s="36">
        <v>0</v>
      </c>
      <c r="AM201" s="36">
        <v>0</v>
      </c>
      <c r="AN201" s="36">
        <v>0</v>
      </c>
      <c r="AO201" s="36">
        <v>0</v>
      </c>
      <c r="AP201" s="36">
        <v>0</v>
      </c>
      <c r="AQ201" s="36">
        <v>0</v>
      </c>
      <c r="AR201" s="36">
        <v>0</v>
      </c>
      <c r="AS201" s="36">
        <v>0</v>
      </c>
      <c r="AT201" s="36">
        <v>1</v>
      </c>
      <c r="AU201" s="36">
        <v>1</v>
      </c>
      <c r="AV201" s="36">
        <v>1</v>
      </c>
      <c r="AW201" s="37">
        <v>0</v>
      </c>
      <c r="AX201" s="39">
        <f t="shared" si="3"/>
        <v>3</v>
      </c>
      <c r="AY201" s="263">
        <v>0.33333333333333331</v>
      </c>
    </row>
    <row r="202" spans="1:51" s="3" customFormat="1" ht="18.5" customHeight="1" x14ac:dyDescent="0.2">
      <c r="A202" s="56">
        <v>82</v>
      </c>
      <c r="B202" s="32">
        <v>0</v>
      </c>
      <c r="C202" s="33">
        <v>0</v>
      </c>
      <c r="D202" s="33">
        <v>0</v>
      </c>
      <c r="E202" s="33">
        <v>0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3">
        <v>0</v>
      </c>
      <c r="O202" s="33">
        <v>0</v>
      </c>
      <c r="P202" s="33">
        <v>0</v>
      </c>
      <c r="Q202" s="33">
        <v>0</v>
      </c>
      <c r="R202" s="33">
        <v>0</v>
      </c>
      <c r="S202" s="33">
        <v>0</v>
      </c>
      <c r="T202" s="33">
        <v>0</v>
      </c>
      <c r="U202" s="33">
        <v>0</v>
      </c>
      <c r="V202" s="33">
        <v>0</v>
      </c>
      <c r="W202" s="33">
        <v>0</v>
      </c>
      <c r="X202" s="33">
        <v>0</v>
      </c>
      <c r="Y202" s="33">
        <v>0</v>
      </c>
      <c r="Z202" s="33">
        <v>0</v>
      </c>
      <c r="AA202" s="33">
        <v>0</v>
      </c>
      <c r="AB202" s="33">
        <v>0</v>
      </c>
      <c r="AC202" s="33">
        <v>0</v>
      </c>
      <c r="AD202" s="33">
        <v>0</v>
      </c>
      <c r="AE202" s="33">
        <v>0</v>
      </c>
      <c r="AF202" s="33">
        <v>0</v>
      </c>
      <c r="AG202" s="33">
        <v>0</v>
      </c>
      <c r="AH202" s="33">
        <v>0</v>
      </c>
      <c r="AI202" s="33">
        <v>0</v>
      </c>
      <c r="AJ202" s="33">
        <v>0</v>
      </c>
      <c r="AK202" s="33">
        <v>0</v>
      </c>
      <c r="AL202" s="33">
        <v>0</v>
      </c>
      <c r="AM202" s="33">
        <v>0</v>
      </c>
      <c r="AN202" s="33">
        <v>0</v>
      </c>
      <c r="AO202" s="33">
        <v>0</v>
      </c>
      <c r="AP202" s="33">
        <v>0</v>
      </c>
      <c r="AQ202" s="33">
        <v>0</v>
      </c>
      <c r="AR202" s="33">
        <v>0</v>
      </c>
      <c r="AS202" s="33">
        <v>0</v>
      </c>
      <c r="AT202" s="33">
        <v>0</v>
      </c>
      <c r="AU202" s="33">
        <v>0</v>
      </c>
      <c r="AV202" s="33">
        <v>0</v>
      </c>
      <c r="AW202" s="34">
        <v>1</v>
      </c>
      <c r="AX202" s="56">
        <f t="shared" si="3"/>
        <v>1</v>
      </c>
      <c r="AY202" s="264">
        <v>1</v>
      </c>
    </row>
    <row r="204" spans="1:51" s="3" customFormat="1" ht="19" customHeight="1" x14ac:dyDescent="0.2">
      <c r="A204" s="101" t="s">
        <v>205</v>
      </c>
      <c r="B204" s="117" t="s">
        <v>206</v>
      </c>
    </row>
    <row r="205" spans="1:51" s="3" customFormat="1" ht="19" customHeight="1" x14ac:dyDescent="0.2">
      <c r="A205" s="19" t="s">
        <v>202</v>
      </c>
      <c r="B205" s="9">
        <v>1</v>
      </c>
      <c r="C205" s="10">
        <v>2</v>
      </c>
      <c r="D205" s="10">
        <v>3</v>
      </c>
      <c r="E205" s="10">
        <v>4</v>
      </c>
      <c r="F205" s="10">
        <v>5</v>
      </c>
      <c r="G205" s="10">
        <v>6</v>
      </c>
      <c r="H205" s="10">
        <v>7</v>
      </c>
      <c r="I205" s="10">
        <v>8</v>
      </c>
      <c r="J205" s="10">
        <v>9</v>
      </c>
      <c r="K205" s="10">
        <v>10</v>
      </c>
      <c r="L205" s="10">
        <v>11</v>
      </c>
      <c r="M205" s="10">
        <v>12</v>
      </c>
      <c r="N205" s="10">
        <v>13</v>
      </c>
      <c r="O205" s="10">
        <v>14</v>
      </c>
      <c r="P205" s="10">
        <v>15</v>
      </c>
      <c r="Q205" s="10">
        <v>16</v>
      </c>
      <c r="R205" s="10">
        <v>17</v>
      </c>
      <c r="S205" s="10">
        <v>18</v>
      </c>
      <c r="T205" s="10">
        <v>19</v>
      </c>
      <c r="U205" s="10">
        <v>20</v>
      </c>
      <c r="V205" s="10">
        <v>21</v>
      </c>
      <c r="W205" s="10">
        <v>22</v>
      </c>
      <c r="X205" s="10">
        <v>23</v>
      </c>
      <c r="Y205" s="10">
        <v>24</v>
      </c>
      <c r="Z205" s="10">
        <v>25</v>
      </c>
      <c r="AA205" s="10">
        <v>26</v>
      </c>
      <c r="AB205" s="10">
        <v>27</v>
      </c>
      <c r="AC205" s="10">
        <v>28</v>
      </c>
      <c r="AD205" s="10">
        <v>29</v>
      </c>
      <c r="AE205" s="10">
        <v>30</v>
      </c>
      <c r="AF205" s="10">
        <v>31</v>
      </c>
      <c r="AG205" s="10">
        <v>32</v>
      </c>
      <c r="AH205" s="10">
        <v>33</v>
      </c>
      <c r="AI205" s="10">
        <v>34</v>
      </c>
      <c r="AJ205" s="10">
        <v>35</v>
      </c>
      <c r="AK205" s="10">
        <v>36</v>
      </c>
      <c r="AL205" s="10">
        <v>37</v>
      </c>
      <c r="AM205" s="10">
        <v>38</v>
      </c>
      <c r="AN205" s="10">
        <v>39</v>
      </c>
      <c r="AO205" s="10">
        <v>40</v>
      </c>
      <c r="AP205" s="10">
        <v>41</v>
      </c>
      <c r="AQ205" s="10">
        <v>42</v>
      </c>
      <c r="AR205" s="10">
        <v>43</v>
      </c>
      <c r="AS205" s="10">
        <v>44</v>
      </c>
      <c r="AT205" s="10">
        <v>45</v>
      </c>
      <c r="AU205" s="10">
        <v>46</v>
      </c>
      <c r="AV205" s="10">
        <v>47</v>
      </c>
      <c r="AW205" s="11">
        <v>48</v>
      </c>
    </row>
    <row r="206" spans="1:51" s="3" customFormat="1" ht="18.5" customHeight="1" x14ac:dyDescent="0.2">
      <c r="A206" s="28">
        <v>1</v>
      </c>
      <c r="B206" s="23">
        <v>0.16666666666666699</v>
      </c>
      <c r="C206" s="24">
        <v>0.16666666666666699</v>
      </c>
      <c r="D206" s="24">
        <v>0.16666666666666699</v>
      </c>
      <c r="E206" s="24">
        <v>0.16666666666666699</v>
      </c>
      <c r="F206" s="24">
        <v>0.16666666666666699</v>
      </c>
      <c r="G206" s="24">
        <v>0.16666666666666699</v>
      </c>
      <c r="H206" s="24">
        <v>0</v>
      </c>
      <c r="I206" s="24">
        <v>0</v>
      </c>
      <c r="J206" s="24">
        <v>0</v>
      </c>
      <c r="K206" s="24">
        <v>0</v>
      </c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  <c r="AF206" s="24">
        <v>0</v>
      </c>
      <c r="AG206" s="24">
        <v>0</v>
      </c>
      <c r="AH206" s="24">
        <v>0</v>
      </c>
      <c r="AI206" s="24">
        <v>0</v>
      </c>
      <c r="AJ206" s="24">
        <v>0</v>
      </c>
      <c r="AK206" s="24">
        <v>0</v>
      </c>
      <c r="AL206" s="24">
        <v>0</v>
      </c>
      <c r="AM206" s="24">
        <v>0</v>
      </c>
      <c r="AN206" s="24">
        <v>0</v>
      </c>
      <c r="AO206" s="24">
        <v>0</v>
      </c>
      <c r="AP206" s="24">
        <v>0</v>
      </c>
      <c r="AQ206" s="24">
        <v>0</v>
      </c>
      <c r="AR206" s="24">
        <v>0</v>
      </c>
      <c r="AS206" s="24">
        <v>0</v>
      </c>
      <c r="AT206" s="24">
        <v>0</v>
      </c>
      <c r="AU206" s="24">
        <v>0</v>
      </c>
      <c r="AV206" s="24">
        <v>0</v>
      </c>
      <c r="AW206" s="25">
        <v>0</v>
      </c>
    </row>
    <row r="207" spans="1:51" s="3" customFormat="1" ht="18" customHeight="1" x14ac:dyDescent="0.2">
      <c r="A207" s="39">
        <v>2</v>
      </c>
      <c r="B207" s="35">
        <v>0</v>
      </c>
      <c r="C207" s="36">
        <v>0</v>
      </c>
      <c r="D207" s="36">
        <v>0</v>
      </c>
      <c r="E207" s="36">
        <v>0</v>
      </c>
      <c r="F207" s="36">
        <v>0</v>
      </c>
      <c r="G207" s="36">
        <v>0</v>
      </c>
      <c r="H207" s="36">
        <v>0.33333333333333298</v>
      </c>
      <c r="I207" s="36">
        <v>0.33333333333333298</v>
      </c>
      <c r="J207" s="36">
        <v>0.33333333333333298</v>
      </c>
      <c r="K207" s="36">
        <v>0</v>
      </c>
      <c r="L207" s="36">
        <v>0</v>
      </c>
      <c r="M207" s="36">
        <v>0</v>
      </c>
      <c r="N207" s="36">
        <v>0</v>
      </c>
      <c r="O207" s="36">
        <v>0</v>
      </c>
      <c r="P207" s="36">
        <v>0</v>
      </c>
      <c r="Q207" s="36">
        <v>0</v>
      </c>
      <c r="R207" s="36">
        <v>0</v>
      </c>
      <c r="S207" s="36">
        <v>0</v>
      </c>
      <c r="T207" s="36">
        <v>0</v>
      </c>
      <c r="U207" s="36">
        <v>0</v>
      </c>
      <c r="V207" s="36">
        <v>0</v>
      </c>
      <c r="W207" s="36">
        <v>0</v>
      </c>
      <c r="X207" s="36">
        <v>0</v>
      </c>
      <c r="Y207" s="36">
        <v>0</v>
      </c>
      <c r="Z207" s="36">
        <v>0</v>
      </c>
      <c r="AA207" s="36">
        <v>0</v>
      </c>
      <c r="AB207" s="36">
        <v>0</v>
      </c>
      <c r="AC207" s="36">
        <v>0</v>
      </c>
      <c r="AD207" s="36">
        <v>0</v>
      </c>
      <c r="AE207" s="36">
        <v>0</v>
      </c>
      <c r="AF207" s="36">
        <v>0</v>
      </c>
      <c r="AG207" s="36">
        <v>0</v>
      </c>
      <c r="AH207" s="36">
        <v>0</v>
      </c>
      <c r="AI207" s="36">
        <v>0</v>
      </c>
      <c r="AJ207" s="36">
        <v>0</v>
      </c>
      <c r="AK207" s="36">
        <v>0</v>
      </c>
      <c r="AL207" s="36">
        <v>0</v>
      </c>
      <c r="AM207" s="36">
        <v>0</v>
      </c>
      <c r="AN207" s="36">
        <v>0</v>
      </c>
      <c r="AO207" s="36">
        <v>0</v>
      </c>
      <c r="AP207" s="36">
        <v>0</v>
      </c>
      <c r="AQ207" s="36">
        <v>0</v>
      </c>
      <c r="AR207" s="36">
        <v>0</v>
      </c>
      <c r="AS207" s="36">
        <v>0</v>
      </c>
      <c r="AT207" s="36">
        <v>0</v>
      </c>
      <c r="AU207" s="36">
        <v>0</v>
      </c>
      <c r="AV207" s="36">
        <v>0</v>
      </c>
      <c r="AW207" s="37">
        <v>0</v>
      </c>
    </row>
    <row r="208" spans="1:51" s="3" customFormat="1" ht="18" customHeight="1" x14ac:dyDescent="0.2">
      <c r="A208" s="39">
        <v>3</v>
      </c>
      <c r="B208" s="35">
        <v>0</v>
      </c>
      <c r="C208" s="36">
        <v>0</v>
      </c>
      <c r="D208" s="36">
        <v>0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0.16666666666666699</v>
      </c>
      <c r="L208" s="36">
        <v>0.16666666666666699</v>
      </c>
      <c r="M208" s="36">
        <v>0.16666666666666699</v>
      </c>
      <c r="N208" s="36">
        <v>0.16666666666666699</v>
      </c>
      <c r="O208" s="36">
        <v>0.16666666666666699</v>
      </c>
      <c r="P208" s="36">
        <v>0.16666666666666699</v>
      </c>
      <c r="Q208" s="36">
        <v>0</v>
      </c>
      <c r="R208" s="36">
        <v>0</v>
      </c>
      <c r="S208" s="36">
        <v>0</v>
      </c>
      <c r="T208" s="36">
        <v>0</v>
      </c>
      <c r="U208" s="36">
        <v>0</v>
      </c>
      <c r="V208" s="36">
        <v>0</v>
      </c>
      <c r="W208" s="36">
        <v>0</v>
      </c>
      <c r="X208" s="36">
        <v>0</v>
      </c>
      <c r="Y208" s="36">
        <v>0</v>
      </c>
      <c r="Z208" s="36">
        <v>0</v>
      </c>
      <c r="AA208" s="36">
        <v>0</v>
      </c>
      <c r="AB208" s="36">
        <v>0</v>
      </c>
      <c r="AC208" s="36">
        <v>0</v>
      </c>
      <c r="AD208" s="36">
        <v>0</v>
      </c>
      <c r="AE208" s="36">
        <v>0</v>
      </c>
      <c r="AF208" s="36">
        <v>0</v>
      </c>
      <c r="AG208" s="36">
        <v>0</v>
      </c>
      <c r="AH208" s="36">
        <v>0</v>
      </c>
      <c r="AI208" s="36">
        <v>0</v>
      </c>
      <c r="AJ208" s="36">
        <v>0</v>
      </c>
      <c r="AK208" s="36">
        <v>0</v>
      </c>
      <c r="AL208" s="36">
        <v>0</v>
      </c>
      <c r="AM208" s="36">
        <v>0</v>
      </c>
      <c r="AN208" s="36">
        <v>0</v>
      </c>
      <c r="AO208" s="36">
        <v>0</v>
      </c>
      <c r="AP208" s="36">
        <v>0</v>
      </c>
      <c r="AQ208" s="36">
        <v>0</v>
      </c>
      <c r="AR208" s="36">
        <v>0</v>
      </c>
      <c r="AS208" s="36">
        <v>0</v>
      </c>
      <c r="AT208" s="36">
        <v>0</v>
      </c>
      <c r="AU208" s="36">
        <v>0</v>
      </c>
      <c r="AV208" s="36">
        <v>0</v>
      </c>
      <c r="AW208" s="37">
        <v>0</v>
      </c>
    </row>
    <row r="209" spans="1:49" s="3" customFormat="1" ht="18" customHeight="1" x14ac:dyDescent="0.2">
      <c r="A209" s="39">
        <v>4</v>
      </c>
      <c r="B209" s="35">
        <v>0</v>
      </c>
      <c r="C209" s="36">
        <v>0</v>
      </c>
      <c r="D209" s="36">
        <v>0</v>
      </c>
      <c r="E209" s="36">
        <v>0</v>
      </c>
      <c r="F209" s="36">
        <v>0</v>
      </c>
      <c r="G209" s="36">
        <v>0</v>
      </c>
      <c r="H209" s="36">
        <v>0</v>
      </c>
      <c r="I209" s="36">
        <v>0</v>
      </c>
      <c r="J209" s="36">
        <v>0</v>
      </c>
      <c r="K209" s="36">
        <v>0</v>
      </c>
      <c r="L209" s="36">
        <v>0</v>
      </c>
      <c r="M209" s="36">
        <v>0</v>
      </c>
      <c r="N209" s="36">
        <v>0</v>
      </c>
      <c r="O209" s="36">
        <v>0</v>
      </c>
      <c r="P209" s="36">
        <v>0</v>
      </c>
      <c r="Q209" s="36">
        <v>0.14285714285714299</v>
      </c>
      <c r="R209" s="36">
        <v>0.14285714285714299</v>
      </c>
      <c r="S209" s="36">
        <v>0.14285714285714299</v>
      </c>
      <c r="T209" s="36">
        <v>0.14285714285714299</v>
      </c>
      <c r="U209" s="36">
        <v>0.14285714285714299</v>
      </c>
      <c r="V209" s="36">
        <v>0.14285714285714299</v>
      </c>
      <c r="W209" s="36">
        <v>0.14285714285714299</v>
      </c>
      <c r="X209" s="36">
        <v>0</v>
      </c>
      <c r="Y209" s="36">
        <v>0</v>
      </c>
      <c r="Z209" s="36">
        <v>0</v>
      </c>
      <c r="AA209" s="36">
        <v>0</v>
      </c>
      <c r="AB209" s="36">
        <v>0</v>
      </c>
      <c r="AC209" s="36">
        <v>0</v>
      </c>
      <c r="AD209" s="36">
        <v>0</v>
      </c>
      <c r="AE209" s="36">
        <v>0</v>
      </c>
      <c r="AF209" s="36">
        <v>0</v>
      </c>
      <c r="AG209" s="36">
        <v>0</v>
      </c>
      <c r="AH209" s="36">
        <v>0</v>
      </c>
      <c r="AI209" s="36">
        <v>0</v>
      </c>
      <c r="AJ209" s="36">
        <v>0</v>
      </c>
      <c r="AK209" s="36">
        <v>0</v>
      </c>
      <c r="AL209" s="36">
        <v>0</v>
      </c>
      <c r="AM209" s="36">
        <v>0</v>
      </c>
      <c r="AN209" s="36">
        <v>0</v>
      </c>
      <c r="AO209" s="36">
        <v>0</v>
      </c>
      <c r="AP209" s="36">
        <v>0</v>
      </c>
      <c r="AQ209" s="36">
        <v>0</v>
      </c>
      <c r="AR209" s="36">
        <v>0</v>
      </c>
      <c r="AS209" s="36">
        <v>0</v>
      </c>
      <c r="AT209" s="36">
        <v>0</v>
      </c>
      <c r="AU209" s="36">
        <v>0</v>
      </c>
      <c r="AV209" s="36">
        <v>0</v>
      </c>
      <c r="AW209" s="37">
        <v>0</v>
      </c>
    </row>
    <row r="210" spans="1:49" s="3" customFormat="1" ht="18" customHeight="1" x14ac:dyDescent="0.2">
      <c r="A210" s="39">
        <v>6</v>
      </c>
      <c r="B210" s="35">
        <v>0</v>
      </c>
      <c r="C210" s="36">
        <v>0</v>
      </c>
      <c r="D210" s="36">
        <v>0</v>
      </c>
      <c r="E210" s="36">
        <v>0</v>
      </c>
      <c r="F210" s="36">
        <v>0</v>
      </c>
      <c r="G210" s="36">
        <v>0</v>
      </c>
      <c r="H210" s="36">
        <v>0</v>
      </c>
      <c r="I210" s="36">
        <v>0</v>
      </c>
      <c r="J210" s="36">
        <v>0</v>
      </c>
      <c r="K210" s="36">
        <v>0</v>
      </c>
      <c r="L210" s="36">
        <v>0</v>
      </c>
      <c r="M210" s="36">
        <v>0</v>
      </c>
      <c r="N210" s="36">
        <v>0</v>
      </c>
      <c r="O210" s="36">
        <v>0</v>
      </c>
      <c r="P210" s="36">
        <v>0</v>
      </c>
      <c r="Q210" s="36">
        <v>0</v>
      </c>
      <c r="R210" s="36">
        <v>0</v>
      </c>
      <c r="S210" s="36">
        <v>0</v>
      </c>
      <c r="T210" s="36">
        <v>0</v>
      </c>
      <c r="U210" s="36">
        <v>0</v>
      </c>
      <c r="V210" s="36">
        <v>0</v>
      </c>
      <c r="W210" s="36">
        <v>0</v>
      </c>
      <c r="X210" s="36">
        <v>0.16666666666666699</v>
      </c>
      <c r="Y210" s="36">
        <v>0.16666666666666699</v>
      </c>
      <c r="Z210" s="36">
        <v>0.16666666666666699</v>
      </c>
      <c r="AA210" s="36">
        <v>0.16666666666666699</v>
      </c>
      <c r="AB210" s="36">
        <v>0.16666666666666699</v>
      </c>
      <c r="AC210" s="36">
        <v>0.16666666666666699</v>
      </c>
      <c r="AD210" s="36">
        <v>0</v>
      </c>
      <c r="AE210" s="36">
        <v>0</v>
      </c>
      <c r="AF210" s="36">
        <v>0</v>
      </c>
      <c r="AG210" s="36">
        <v>0</v>
      </c>
      <c r="AH210" s="36">
        <v>0</v>
      </c>
      <c r="AI210" s="36">
        <v>0</v>
      </c>
      <c r="AJ210" s="36">
        <v>0</v>
      </c>
      <c r="AK210" s="36">
        <v>0</v>
      </c>
      <c r="AL210" s="36">
        <v>0</v>
      </c>
      <c r="AM210" s="36">
        <v>0</v>
      </c>
      <c r="AN210" s="36">
        <v>0</v>
      </c>
      <c r="AO210" s="36">
        <v>0</v>
      </c>
      <c r="AP210" s="36">
        <v>0</v>
      </c>
      <c r="AQ210" s="36">
        <v>0</v>
      </c>
      <c r="AR210" s="36">
        <v>0</v>
      </c>
      <c r="AS210" s="36">
        <v>0</v>
      </c>
      <c r="AT210" s="36">
        <v>0</v>
      </c>
      <c r="AU210" s="36">
        <v>0</v>
      </c>
      <c r="AV210" s="36">
        <v>0</v>
      </c>
      <c r="AW210" s="37">
        <v>0</v>
      </c>
    </row>
    <row r="211" spans="1:49" s="3" customFormat="1" ht="18" customHeight="1" x14ac:dyDescent="0.2">
      <c r="A211" s="39">
        <v>7</v>
      </c>
      <c r="B211" s="35">
        <v>0</v>
      </c>
      <c r="C211" s="36">
        <v>0</v>
      </c>
      <c r="D211" s="36">
        <v>0</v>
      </c>
      <c r="E211" s="36">
        <v>0</v>
      </c>
      <c r="F211" s="36">
        <v>0</v>
      </c>
      <c r="G211" s="36">
        <v>0</v>
      </c>
      <c r="H211" s="36">
        <v>0</v>
      </c>
      <c r="I211" s="36">
        <v>0</v>
      </c>
      <c r="J211" s="36">
        <v>0</v>
      </c>
      <c r="K211" s="36">
        <v>0</v>
      </c>
      <c r="L211" s="36">
        <v>0</v>
      </c>
      <c r="M211" s="36">
        <v>0</v>
      </c>
      <c r="N211" s="36">
        <v>0</v>
      </c>
      <c r="O211" s="36">
        <v>0</v>
      </c>
      <c r="P211" s="36">
        <v>0</v>
      </c>
      <c r="Q211" s="36">
        <v>0</v>
      </c>
      <c r="R211" s="36">
        <v>0</v>
      </c>
      <c r="S211" s="36">
        <v>0</v>
      </c>
      <c r="T211" s="36">
        <v>0</v>
      </c>
      <c r="U211" s="36">
        <v>0</v>
      </c>
      <c r="V211" s="36">
        <v>0</v>
      </c>
      <c r="W211" s="36">
        <v>0</v>
      </c>
      <c r="X211" s="36">
        <v>0</v>
      </c>
      <c r="Y211" s="36">
        <v>0</v>
      </c>
      <c r="Z211" s="36">
        <v>0</v>
      </c>
      <c r="AA211" s="36">
        <v>0</v>
      </c>
      <c r="AB211" s="36">
        <v>0</v>
      </c>
      <c r="AC211" s="36">
        <v>0</v>
      </c>
      <c r="AD211" s="36">
        <v>0.1</v>
      </c>
      <c r="AE211" s="36">
        <v>0.1</v>
      </c>
      <c r="AF211" s="36">
        <v>0.1</v>
      </c>
      <c r="AG211" s="36">
        <v>0.1</v>
      </c>
      <c r="AH211" s="36">
        <v>0.1</v>
      </c>
      <c r="AI211" s="36">
        <v>0.1</v>
      </c>
      <c r="AJ211" s="36">
        <v>0.1</v>
      </c>
      <c r="AK211" s="36">
        <v>0.1</v>
      </c>
      <c r="AL211" s="36">
        <v>0.1</v>
      </c>
      <c r="AM211" s="36">
        <v>0.1</v>
      </c>
      <c r="AN211" s="36">
        <v>0</v>
      </c>
      <c r="AO211" s="36">
        <v>0</v>
      </c>
      <c r="AP211" s="36">
        <v>0</v>
      </c>
      <c r="AQ211" s="36">
        <v>0</v>
      </c>
      <c r="AR211" s="36">
        <v>0</v>
      </c>
      <c r="AS211" s="36">
        <v>0</v>
      </c>
      <c r="AT211" s="36">
        <v>0</v>
      </c>
      <c r="AU211" s="36">
        <v>0</v>
      </c>
      <c r="AV211" s="36">
        <v>0</v>
      </c>
      <c r="AW211" s="37">
        <v>0</v>
      </c>
    </row>
    <row r="212" spans="1:49" s="3" customFormat="1" ht="18" customHeight="1" x14ac:dyDescent="0.2">
      <c r="A212" s="39">
        <v>16</v>
      </c>
      <c r="B212" s="35">
        <v>0</v>
      </c>
      <c r="C212" s="36">
        <v>0</v>
      </c>
      <c r="D212" s="36">
        <v>0</v>
      </c>
      <c r="E212" s="36">
        <v>0</v>
      </c>
      <c r="F212" s="36">
        <v>0</v>
      </c>
      <c r="G212" s="36">
        <v>0</v>
      </c>
      <c r="H212" s="36">
        <v>0</v>
      </c>
      <c r="I212" s="36">
        <v>0</v>
      </c>
      <c r="J212" s="36">
        <v>0</v>
      </c>
      <c r="K212" s="36">
        <v>0</v>
      </c>
      <c r="L212" s="36">
        <v>0</v>
      </c>
      <c r="M212" s="36">
        <v>0</v>
      </c>
      <c r="N212" s="36">
        <v>0</v>
      </c>
      <c r="O212" s="36">
        <v>0</v>
      </c>
      <c r="P212" s="36">
        <v>0</v>
      </c>
      <c r="Q212" s="36">
        <v>0</v>
      </c>
      <c r="R212" s="36">
        <v>0</v>
      </c>
      <c r="S212" s="36">
        <v>0</v>
      </c>
      <c r="T212" s="36">
        <v>0</v>
      </c>
      <c r="U212" s="36">
        <v>0</v>
      </c>
      <c r="V212" s="36">
        <v>0</v>
      </c>
      <c r="W212" s="36">
        <v>0</v>
      </c>
      <c r="X212" s="36">
        <v>0</v>
      </c>
      <c r="Y212" s="36">
        <v>0</v>
      </c>
      <c r="Z212" s="36">
        <v>0</v>
      </c>
      <c r="AA212" s="36">
        <v>0</v>
      </c>
      <c r="AB212" s="36">
        <v>0</v>
      </c>
      <c r="AC212" s="36">
        <v>0</v>
      </c>
      <c r="AD212" s="36">
        <v>0</v>
      </c>
      <c r="AE212" s="36">
        <v>0</v>
      </c>
      <c r="AF212" s="36">
        <v>0</v>
      </c>
      <c r="AG212" s="36">
        <v>0</v>
      </c>
      <c r="AH212" s="36">
        <v>0</v>
      </c>
      <c r="AI212" s="36">
        <v>0</v>
      </c>
      <c r="AJ212" s="36">
        <v>0</v>
      </c>
      <c r="AK212" s="36">
        <v>0</v>
      </c>
      <c r="AL212" s="36">
        <v>0</v>
      </c>
      <c r="AM212" s="36">
        <v>0</v>
      </c>
      <c r="AN212" s="36">
        <v>0.2</v>
      </c>
      <c r="AO212" s="36">
        <v>0.2</v>
      </c>
      <c r="AP212" s="36">
        <v>0.2</v>
      </c>
      <c r="AQ212" s="36">
        <v>0.2</v>
      </c>
      <c r="AR212" s="36">
        <v>0.2</v>
      </c>
      <c r="AS212" s="36">
        <v>0</v>
      </c>
      <c r="AT212" s="36">
        <v>0</v>
      </c>
      <c r="AU212" s="36">
        <v>0</v>
      </c>
      <c r="AV212" s="36">
        <v>0</v>
      </c>
      <c r="AW212" s="37">
        <v>0</v>
      </c>
    </row>
    <row r="213" spans="1:49" s="3" customFormat="1" ht="18" customHeight="1" x14ac:dyDescent="0.2">
      <c r="A213" s="39">
        <v>25</v>
      </c>
      <c r="B213" s="35">
        <v>0</v>
      </c>
      <c r="C213" s="36">
        <v>0</v>
      </c>
      <c r="D213" s="36">
        <v>0</v>
      </c>
      <c r="E213" s="36">
        <v>0</v>
      </c>
      <c r="F213" s="36">
        <v>0</v>
      </c>
      <c r="G213" s="36">
        <v>0</v>
      </c>
      <c r="H213" s="36">
        <v>0</v>
      </c>
      <c r="I213" s="36">
        <v>0</v>
      </c>
      <c r="J213" s="36">
        <v>0</v>
      </c>
      <c r="K213" s="36">
        <v>0</v>
      </c>
      <c r="L213" s="36">
        <v>0</v>
      </c>
      <c r="M213" s="36">
        <v>0</v>
      </c>
      <c r="N213" s="36">
        <v>0</v>
      </c>
      <c r="O213" s="36">
        <v>0</v>
      </c>
      <c r="P213" s="36">
        <v>0</v>
      </c>
      <c r="Q213" s="36">
        <v>0</v>
      </c>
      <c r="R213" s="36">
        <v>0</v>
      </c>
      <c r="S213" s="36">
        <v>0</v>
      </c>
      <c r="T213" s="36">
        <v>0</v>
      </c>
      <c r="U213" s="36">
        <v>0</v>
      </c>
      <c r="V213" s="36">
        <v>0</v>
      </c>
      <c r="W213" s="36">
        <v>0</v>
      </c>
      <c r="X213" s="36">
        <v>0</v>
      </c>
      <c r="Y213" s="36">
        <v>0</v>
      </c>
      <c r="Z213" s="36">
        <v>0</v>
      </c>
      <c r="AA213" s="36">
        <v>0</v>
      </c>
      <c r="AB213" s="36">
        <v>0</v>
      </c>
      <c r="AC213" s="36">
        <v>0</v>
      </c>
      <c r="AD213" s="36">
        <v>0</v>
      </c>
      <c r="AE213" s="36">
        <v>0</v>
      </c>
      <c r="AF213" s="36">
        <v>0</v>
      </c>
      <c r="AG213" s="36">
        <v>0</v>
      </c>
      <c r="AH213" s="36">
        <v>0</v>
      </c>
      <c r="AI213" s="36">
        <v>0</v>
      </c>
      <c r="AJ213" s="36">
        <v>0</v>
      </c>
      <c r="AK213" s="36">
        <v>0</v>
      </c>
      <c r="AL213" s="36">
        <v>0</v>
      </c>
      <c r="AM213" s="36">
        <v>0</v>
      </c>
      <c r="AN213" s="36">
        <v>0</v>
      </c>
      <c r="AO213" s="36">
        <v>0</v>
      </c>
      <c r="AP213" s="36">
        <v>0</v>
      </c>
      <c r="AQ213" s="36">
        <v>0</v>
      </c>
      <c r="AR213" s="36">
        <v>0</v>
      </c>
      <c r="AS213" s="36">
        <v>1</v>
      </c>
      <c r="AT213" s="36">
        <v>0</v>
      </c>
      <c r="AU213" s="36">
        <v>0</v>
      </c>
      <c r="AV213" s="36">
        <v>0</v>
      </c>
      <c r="AW213" s="37">
        <v>0</v>
      </c>
    </row>
    <row r="214" spans="1:49" s="3" customFormat="1" ht="18" customHeight="1" x14ac:dyDescent="0.2">
      <c r="A214" s="39">
        <v>34</v>
      </c>
      <c r="B214" s="35">
        <v>0</v>
      </c>
      <c r="C214" s="36">
        <v>0</v>
      </c>
      <c r="D214" s="36">
        <v>0</v>
      </c>
      <c r="E214" s="36">
        <v>0</v>
      </c>
      <c r="F214" s="36">
        <v>0</v>
      </c>
      <c r="G214" s="36">
        <v>0</v>
      </c>
      <c r="H214" s="36">
        <v>0</v>
      </c>
      <c r="I214" s="36">
        <v>0</v>
      </c>
      <c r="J214" s="36">
        <v>0</v>
      </c>
      <c r="K214" s="36">
        <v>0</v>
      </c>
      <c r="L214" s="36">
        <v>0</v>
      </c>
      <c r="M214" s="36">
        <v>0</v>
      </c>
      <c r="N214" s="36">
        <v>0</v>
      </c>
      <c r="O214" s="36">
        <v>0</v>
      </c>
      <c r="P214" s="36">
        <v>0</v>
      </c>
      <c r="Q214" s="36">
        <v>0</v>
      </c>
      <c r="R214" s="36">
        <v>0</v>
      </c>
      <c r="S214" s="36">
        <v>0</v>
      </c>
      <c r="T214" s="36">
        <v>0</v>
      </c>
      <c r="U214" s="36">
        <v>0</v>
      </c>
      <c r="V214" s="36">
        <v>0</v>
      </c>
      <c r="W214" s="36">
        <v>0</v>
      </c>
      <c r="X214" s="36">
        <v>0</v>
      </c>
      <c r="Y214" s="36">
        <v>0</v>
      </c>
      <c r="Z214" s="36">
        <v>0</v>
      </c>
      <c r="AA214" s="36">
        <v>0</v>
      </c>
      <c r="AB214" s="36">
        <v>0</v>
      </c>
      <c r="AC214" s="36">
        <v>0</v>
      </c>
      <c r="AD214" s="36">
        <v>0</v>
      </c>
      <c r="AE214" s="36">
        <v>0</v>
      </c>
      <c r="AF214" s="36">
        <v>0</v>
      </c>
      <c r="AG214" s="36">
        <v>0</v>
      </c>
      <c r="AH214" s="36">
        <v>0</v>
      </c>
      <c r="AI214" s="36">
        <v>0</v>
      </c>
      <c r="AJ214" s="36">
        <v>0</v>
      </c>
      <c r="AK214" s="36">
        <v>0</v>
      </c>
      <c r="AL214" s="36">
        <v>0</v>
      </c>
      <c r="AM214" s="36">
        <v>0</v>
      </c>
      <c r="AN214" s="36">
        <v>0</v>
      </c>
      <c r="AO214" s="36">
        <v>0</v>
      </c>
      <c r="AP214" s="36">
        <v>0</v>
      </c>
      <c r="AQ214" s="36">
        <v>0</v>
      </c>
      <c r="AR214" s="36">
        <v>0</v>
      </c>
      <c r="AS214" s="36">
        <v>0</v>
      </c>
      <c r="AT214" s="36">
        <v>0.33333333333333298</v>
      </c>
      <c r="AU214" s="36">
        <v>0.33333333333333298</v>
      </c>
      <c r="AV214" s="36">
        <v>0.33333333333333298</v>
      </c>
      <c r="AW214" s="37">
        <v>0</v>
      </c>
    </row>
    <row r="215" spans="1:49" s="3" customFormat="1" ht="18.5" customHeight="1" x14ac:dyDescent="0.2">
      <c r="A215" s="56">
        <v>82</v>
      </c>
      <c r="B215" s="32">
        <v>0</v>
      </c>
      <c r="C215" s="33">
        <v>0</v>
      </c>
      <c r="D215" s="33">
        <v>0</v>
      </c>
      <c r="E215" s="33">
        <v>0</v>
      </c>
      <c r="F215" s="33">
        <v>0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3">
        <v>0</v>
      </c>
      <c r="O215" s="33">
        <v>0</v>
      </c>
      <c r="P215" s="33">
        <v>0</v>
      </c>
      <c r="Q215" s="33">
        <v>0</v>
      </c>
      <c r="R215" s="33">
        <v>0</v>
      </c>
      <c r="S215" s="33">
        <v>0</v>
      </c>
      <c r="T215" s="33">
        <v>0</v>
      </c>
      <c r="U215" s="33">
        <v>0</v>
      </c>
      <c r="V215" s="33">
        <v>0</v>
      </c>
      <c r="W215" s="33">
        <v>0</v>
      </c>
      <c r="X215" s="33">
        <v>0</v>
      </c>
      <c r="Y215" s="33">
        <v>0</v>
      </c>
      <c r="Z215" s="33">
        <v>0</v>
      </c>
      <c r="AA215" s="33">
        <v>0</v>
      </c>
      <c r="AB215" s="33">
        <v>0</v>
      </c>
      <c r="AC215" s="33">
        <v>0</v>
      </c>
      <c r="AD215" s="33">
        <v>0</v>
      </c>
      <c r="AE215" s="33">
        <v>0</v>
      </c>
      <c r="AF215" s="33">
        <v>0</v>
      </c>
      <c r="AG215" s="33">
        <v>0</v>
      </c>
      <c r="AH215" s="33">
        <v>0</v>
      </c>
      <c r="AI215" s="33">
        <v>0</v>
      </c>
      <c r="AJ215" s="33">
        <v>0</v>
      </c>
      <c r="AK215" s="33">
        <v>0</v>
      </c>
      <c r="AL215" s="33">
        <v>0</v>
      </c>
      <c r="AM215" s="33">
        <v>0</v>
      </c>
      <c r="AN215" s="33">
        <v>0</v>
      </c>
      <c r="AO215" s="33">
        <v>0</v>
      </c>
      <c r="AP215" s="33">
        <v>0</v>
      </c>
      <c r="AQ215" s="33">
        <v>0</v>
      </c>
      <c r="AR215" s="33">
        <v>0</v>
      </c>
      <c r="AS215" s="33">
        <v>0</v>
      </c>
      <c r="AT215" s="33">
        <v>0</v>
      </c>
      <c r="AU215" s="33">
        <v>0</v>
      </c>
      <c r="AV215" s="33">
        <v>0</v>
      </c>
      <c r="AW215" s="34">
        <v>1</v>
      </c>
    </row>
    <row r="216" spans="1:49" s="3" customFormat="1" ht="19" customHeight="1" x14ac:dyDescent="0.2">
      <c r="A216" s="265" t="s">
        <v>202</v>
      </c>
      <c r="B216" s="18" t="s">
        <v>207</v>
      </c>
    </row>
    <row r="217" spans="1:49" s="3" customFormat="1" ht="18.5" customHeight="1" x14ac:dyDescent="0.2">
      <c r="A217" s="28">
        <v>1</v>
      </c>
      <c r="B217" s="134" t="s">
        <v>140</v>
      </c>
      <c r="C217" s="135" t="s">
        <v>124</v>
      </c>
      <c r="D217" s="135" t="s">
        <v>124</v>
      </c>
      <c r="E217" s="135" t="s">
        <v>124</v>
      </c>
      <c r="F217" s="135" t="s">
        <v>124</v>
      </c>
      <c r="G217" s="135" t="s">
        <v>124</v>
      </c>
      <c r="H217" s="135" t="s">
        <v>123</v>
      </c>
      <c r="I217" s="135" t="s">
        <v>123</v>
      </c>
      <c r="J217" s="135" t="s">
        <v>123</v>
      </c>
      <c r="K217" s="135" t="s">
        <v>123</v>
      </c>
      <c r="L217" s="135" t="s">
        <v>123</v>
      </c>
      <c r="M217" s="135" t="s">
        <v>123</v>
      </c>
      <c r="N217" s="135" t="s">
        <v>123</v>
      </c>
      <c r="O217" s="135" t="s">
        <v>123</v>
      </c>
      <c r="P217" s="135" t="s">
        <v>123</v>
      </c>
      <c r="Q217" s="135" t="s">
        <v>123</v>
      </c>
      <c r="R217" s="135" t="s">
        <v>123</v>
      </c>
      <c r="S217" s="135" t="s">
        <v>123</v>
      </c>
      <c r="T217" s="135" t="s">
        <v>123</v>
      </c>
      <c r="U217" s="135" t="s">
        <v>123</v>
      </c>
      <c r="V217" s="135" t="s">
        <v>123</v>
      </c>
      <c r="W217" s="135" t="s">
        <v>123</v>
      </c>
      <c r="X217" s="135" t="s">
        <v>123</v>
      </c>
      <c r="Y217" s="135" t="s">
        <v>123</v>
      </c>
      <c r="Z217" s="135" t="s">
        <v>123</v>
      </c>
      <c r="AA217" s="135" t="s">
        <v>123</v>
      </c>
      <c r="AB217" s="135" t="s">
        <v>123</v>
      </c>
      <c r="AC217" s="135" t="s">
        <v>123</v>
      </c>
      <c r="AD217" s="135" t="s">
        <v>123</v>
      </c>
      <c r="AE217" s="135" t="s">
        <v>123</v>
      </c>
      <c r="AF217" s="135" t="s">
        <v>123</v>
      </c>
      <c r="AG217" s="135" t="s">
        <v>123</v>
      </c>
      <c r="AH217" s="135" t="s">
        <v>123</v>
      </c>
      <c r="AI217" s="135" t="s">
        <v>123</v>
      </c>
      <c r="AJ217" s="135" t="s">
        <v>123</v>
      </c>
      <c r="AK217" s="135" t="s">
        <v>123</v>
      </c>
      <c r="AL217" s="135" t="s">
        <v>123</v>
      </c>
      <c r="AM217" s="135" t="s">
        <v>123</v>
      </c>
      <c r="AN217" s="135" t="s">
        <v>123</v>
      </c>
      <c r="AO217" s="135" t="s">
        <v>123</v>
      </c>
      <c r="AP217" s="135" t="s">
        <v>123</v>
      </c>
      <c r="AQ217" s="135" t="s">
        <v>123</v>
      </c>
      <c r="AR217" s="135" t="s">
        <v>123</v>
      </c>
      <c r="AS217" s="135" t="s">
        <v>123</v>
      </c>
      <c r="AT217" s="135" t="s">
        <v>123</v>
      </c>
      <c r="AU217" s="135" t="s">
        <v>123</v>
      </c>
      <c r="AV217" s="135" t="s">
        <v>123</v>
      </c>
      <c r="AW217" s="27" t="s">
        <v>208</v>
      </c>
    </row>
    <row r="218" spans="1:49" s="3" customFormat="1" ht="18" customHeight="1" x14ac:dyDescent="0.2">
      <c r="A218" s="39">
        <v>2</v>
      </c>
      <c r="B218" s="146" t="s">
        <v>122</v>
      </c>
      <c r="C218" s="99" t="s">
        <v>123</v>
      </c>
      <c r="D218" s="99" t="s">
        <v>123</v>
      </c>
      <c r="E218" s="99" t="s">
        <v>123</v>
      </c>
      <c r="F218" s="99" t="s">
        <v>123</v>
      </c>
      <c r="G218" s="99" t="s">
        <v>123</v>
      </c>
      <c r="H218" s="99" t="s">
        <v>124</v>
      </c>
      <c r="I218" s="99" t="s">
        <v>124</v>
      </c>
      <c r="J218" s="99" t="s">
        <v>124</v>
      </c>
      <c r="K218" s="99" t="s">
        <v>123</v>
      </c>
      <c r="L218" s="99" t="s">
        <v>123</v>
      </c>
      <c r="M218" s="99" t="s">
        <v>123</v>
      </c>
      <c r="N218" s="99" t="s">
        <v>123</v>
      </c>
      <c r="O218" s="99" t="s">
        <v>123</v>
      </c>
      <c r="P218" s="99" t="s">
        <v>123</v>
      </c>
      <c r="Q218" s="99" t="s">
        <v>123</v>
      </c>
      <c r="R218" s="99" t="s">
        <v>123</v>
      </c>
      <c r="S218" s="99" t="s">
        <v>123</v>
      </c>
      <c r="T218" s="99" t="s">
        <v>123</v>
      </c>
      <c r="U218" s="99" t="s">
        <v>123</v>
      </c>
      <c r="V218" s="99" t="s">
        <v>123</v>
      </c>
      <c r="W218" s="99" t="s">
        <v>123</v>
      </c>
      <c r="X218" s="99" t="s">
        <v>123</v>
      </c>
      <c r="Y218" s="99" t="s">
        <v>123</v>
      </c>
      <c r="Z218" s="99" t="s">
        <v>123</v>
      </c>
      <c r="AA218" s="99" t="s">
        <v>123</v>
      </c>
      <c r="AB218" s="99" t="s">
        <v>123</v>
      </c>
      <c r="AC218" s="99" t="s">
        <v>123</v>
      </c>
      <c r="AD218" s="99" t="s">
        <v>123</v>
      </c>
      <c r="AE218" s="99" t="s">
        <v>123</v>
      </c>
      <c r="AF218" s="99" t="s">
        <v>123</v>
      </c>
      <c r="AG218" s="99" t="s">
        <v>123</v>
      </c>
      <c r="AH218" s="99" t="s">
        <v>123</v>
      </c>
      <c r="AI218" s="99" t="s">
        <v>123</v>
      </c>
      <c r="AJ218" s="99" t="s">
        <v>123</v>
      </c>
      <c r="AK218" s="99" t="s">
        <v>123</v>
      </c>
      <c r="AL218" s="99" t="s">
        <v>123</v>
      </c>
      <c r="AM218" s="99" t="s">
        <v>123</v>
      </c>
      <c r="AN218" s="99" t="s">
        <v>123</v>
      </c>
      <c r="AO218" s="99" t="s">
        <v>123</v>
      </c>
      <c r="AP218" s="99" t="s">
        <v>123</v>
      </c>
      <c r="AQ218" s="99" t="s">
        <v>123</v>
      </c>
      <c r="AR218" s="99" t="s">
        <v>123</v>
      </c>
      <c r="AS218" s="99" t="s">
        <v>123</v>
      </c>
      <c r="AT218" s="99" t="s">
        <v>123</v>
      </c>
      <c r="AU218" s="99" t="s">
        <v>123</v>
      </c>
      <c r="AV218" s="99" t="s">
        <v>123</v>
      </c>
      <c r="AW218" s="147" t="s">
        <v>208</v>
      </c>
    </row>
    <row r="219" spans="1:49" s="3" customFormat="1" ht="18" customHeight="1" x14ac:dyDescent="0.2">
      <c r="A219" s="39">
        <v>3</v>
      </c>
      <c r="B219" s="146" t="s">
        <v>122</v>
      </c>
      <c r="C219" s="99" t="s">
        <v>123</v>
      </c>
      <c r="D219" s="99" t="s">
        <v>123</v>
      </c>
      <c r="E219" s="99" t="s">
        <v>123</v>
      </c>
      <c r="F219" s="99" t="s">
        <v>123</v>
      </c>
      <c r="G219" s="99" t="s">
        <v>123</v>
      </c>
      <c r="H219" s="99" t="s">
        <v>123</v>
      </c>
      <c r="I219" s="99" t="s">
        <v>123</v>
      </c>
      <c r="J219" s="99" t="s">
        <v>123</v>
      </c>
      <c r="K219" s="99" t="s">
        <v>124</v>
      </c>
      <c r="L219" s="99" t="s">
        <v>124</v>
      </c>
      <c r="M219" s="99" t="s">
        <v>124</v>
      </c>
      <c r="N219" s="99" t="s">
        <v>124</v>
      </c>
      <c r="O219" s="99" t="s">
        <v>124</v>
      </c>
      <c r="P219" s="99" t="s">
        <v>124</v>
      </c>
      <c r="Q219" s="99" t="s">
        <v>123</v>
      </c>
      <c r="R219" s="99" t="s">
        <v>123</v>
      </c>
      <c r="S219" s="99" t="s">
        <v>123</v>
      </c>
      <c r="T219" s="99" t="s">
        <v>123</v>
      </c>
      <c r="U219" s="99" t="s">
        <v>123</v>
      </c>
      <c r="V219" s="99" t="s">
        <v>123</v>
      </c>
      <c r="W219" s="99" t="s">
        <v>123</v>
      </c>
      <c r="X219" s="99" t="s">
        <v>123</v>
      </c>
      <c r="Y219" s="99" t="s">
        <v>123</v>
      </c>
      <c r="Z219" s="99" t="s">
        <v>123</v>
      </c>
      <c r="AA219" s="99" t="s">
        <v>123</v>
      </c>
      <c r="AB219" s="99" t="s">
        <v>123</v>
      </c>
      <c r="AC219" s="99" t="s">
        <v>123</v>
      </c>
      <c r="AD219" s="99" t="s">
        <v>123</v>
      </c>
      <c r="AE219" s="99" t="s">
        <v>123</v>
      </c>
      <c r="AF219" s="99" t="s">
        <v>123</v>
      </c>
      <c r="AG219" s="99" t="s">
        <v>123</v>
      </c>
      <c r="AH219" s="99" t="s">
        <v>123</v>
      </c>
      <c r="AI219" s="99" t="s">
        <v>123</v>
      </c>
      <c r="AJ219" s="99" t="s">
        <v>123</v>
      </c>
      <c r="AK219" s="99" t="s">
        <v>123</v>
      </c>
      <c r="AL219" s="99" t="s">
        <v>123</v>
      </c>
      <c r="AM219" s="99" t="s">
        <v>123</v>
      </c>
      <c r="AN219" s="99" t="s">
        <v>123</v>
      </c>
      <c r="AO219" s="99" t="s">
        <v>123</v>
      </c>
      <c r="AP219" s="99" t="s">
        <v>123</v>
      </c>
      <c r="AQ219" s="99" t="s">
        <v>123</v>
      </c>
      <c r="AR219" s="99" t="s">
        <v>123</v>
      </c>
      <c r="AS219" s="99" t="s">
        <v>123</v>
      </c>
      <c r="AT219" s="99" t="s">
        <v>123</v>
      </c>
      <c r="AU219" s="99" t="s">
        <v>123</v>
      </c>
      <c r="AV219" s="99" t="s">
        <v>123</v>
      </c>
      <c r="AW219" s="147" t="s">
        <v>208</v>
      </c>
    </row>
    <row r="220" spans="1:49" s="3" customFormat="1" ht="18" customHeight="1" x14ac:dyDescent="0.2">
      <c r="A220" s="39">
        <v>4</v>
      </c>
      <c r="B220" s="146" t="s">
        <v>122</v>
      </c>
      <c r="C220" s="99" t="s">
        <v>123</v>
      </c>
      <c r="D220" s="99" t="s">
        <v>123</v>
      </c>
      <c r="E220" s="99" t="s">
        <v>123</v>
      </c>
      <c r="F220" s="99" t="s">
        <v>123</v>
      </c>
      <c r="G220" s="99" t="s">
        <v>123</v>
      </c>
      <c r="H220" s="99" t="s">
        <v>123</v>
      </c>
      <c r="I220" s="99" t="s">
        <v>123</v>
      </c>
      <c r="J220" s="99" t="s">
        <v>123</v>
      </c>
      <c r="K220" s="99" t="s">
        <v>123</v>
      </c>
      <c r="L220" s="99" t="s">
        <v>123</v>
      </c>
      <c r="M220" s="99" t="s">
        <v>123</v>
      </c>
      <c r="N220" s="99" t="s">
        <v>123</v>
      </c>
      <c r="O220" s="99" t="s">
        <v>123</v>
      </c>
      <c r="P220" s="99" t="s">
        <v>123</v>
      </c>
      <c r="Q220" s="99" t="s">
        <v>124</v>
      </c>
      <c r="R220" s="99" t="s">
        <v>124</v>
      </c>
      <c r="S220" s="99" t="s">
        <v>124</v>
      </c>
      <c r="T220" s="99" t="s">
        <v>124</v>
      </c>
      <c r="U220" s="99" t="s">
        <v>124</v>
      </c>
      <c r="V220" s="99" t="s">
        <v>124</v>
      </c>
      <c r="W220" s="99" t="s">
        <v>124</v>
      </c>
      <c r="X220" s="99" t="s">
        <v>123</v>
      </c>
      <c r="Y220" s="99" t="s">
        <v>123</v>
      </c>
      <c r="Z220" s="99" t="s">
        <v>123</v>
      </c>
      <c r="AA220" s="99" t="s">
        <v>123</v>
      </c>
      <c r="AB220" s="99" t="s">
        <v>123</v>
      </c>
      <c r="AC220" s="99" t="s">
        <v>123</v>
      </c>
      <c r="AD220" s="99" t="s">
        <v>123</v>
      </c>
      <c r="AE220" s="99" t="s">
        <v>123</v>
      </c>
      <c r="AF220" s="99" t="s">
        <v>123</v>
      </c>
      <c r="AG220" s="99" t="s">
        <v>123</v>
      </c>
      <c r="AH220" s="99" t="s">
        <v>123</v>
      </c>
      <c r="AI220" s="99" t="s">
        <v>123</v>
      </c>
      <c r="AJ220" s="99" t="s">
        <v>123</v>
      </c>
      <c r="AK220" s="99" t="s">
        <v>123</v>
      </c>
      <c r="AL220" s="99" t="s">
        <v>123</v>
      </c>
      <c r="AM220" s="99" t="s">
        <v>123</v>
      </c>
      <c r="AN220" s="99" t="s">
        <v>123</v>
      </c>
      <c r="AO220" s="99" t="s">
        <v>123</v>
      </c>
      <c r="AP220" s="99" t="s">
        <v>123</v>
      </c>
      <c r="AQ220" s="99" t="s">
        <v>123</v>
      </c>
      <c r="AR220" s="99" t="s">
        <v>123</v>
      </c>
      <c r="AS220" s="99" t="s">
        <v>123</v>
      </c>
      <c r="AT220" s="99" t="s">
        <v>123</v>
      </c>
      <c r="AU220" s="99" t="s">
        <v>123</v>
      </c>
      <c r="AV220" s="99" t="s">
        <v>123</v>
      </c>
      <c r="AW220" s="147" t="s">
        <v>208</v>
      </c>
    </row>
    <row r="221" spans="1:49" s="3" customFormat="1" ht="18" customHeight="1" x14ac:dyDescent="0.2">
      <c r="A221" s="39">
        <v>6</v>
      </c>
      <c r="B221" s="146" t="s">
        <v>122</v>
      </c>
      <c r="C221" s="99" t="s">
        <v>123</v>
      </c>
      <c r="D221" s="99" t="s">
        <v>123</v>
      </c>
      <c r="E221" s="99" t="s">
        <v>123</v>
      </c>
      <c r="F221" s="99" t="s">
        <v>123</v>
      </c>
      <c r="G221" s="99" t="s">
        <v>123</v>
      </c>
      <c r="H221" s="99" t="s">
        <v>123</v>
      </c>
      <c r="I221" s="99" t="s">
        <v>123</v>
      </c>
      <c r="J221" s="99" t="s">
        <v>123</v>
      </c>
      <c r="K221" s="99" t="s">
        <v>123</v>
      </c>
      <c r="L221" s="99" t="s">
        <v>123</v>
      </c>
      <c r="M221" s="99" t="s">
        <v>123</v>
      </c>
      <c r="N221" s="99" t="s">
        <v>123</v>
      </c>
      <c r="O221" s="99" t="s">
        <v>123</v>
      </c>
      <c r="P221" s="99" t="s">
        <v>123</v>
      </c>
      <c r="Q221" s="99" t="s">
        <v>123</v>
      </c>
      <c r="R221" s="99" t="s">
        <v>123</v>
      </c>
      <c r="S221" s="99" t="s">
        <v>123</v>
      </c>
      <c r="T221" s="99" t="s">
        <v>123</v>
      </c>
      <c r="U221" s="99" t="s">
        <v>123</v>
      </c>
      <c r="V221" s="99" t="s">
        <v>123</v>
      </c>
      <c r="W221" s="99" t="s">
        <v>123</v>
      </c>
      <c r="X221" s="99" t="s">
        <v>124</v>
      </c>
      <c r="Y221" s="99" t="s">
        <v>124</v>
      </c>
      <c r="Z221" s="99" t="s">
        <v>124</v>
      </c>
      <c r="AA221" s="99" t="s">
        <v>124</v>
      </c>
      <c r="AB221" s="99" t="s">
        <v>124</v>
      </c>
      <c r="AC221" s="99" t="s">
        <v>124</v>
      </c>
      <c r="AD221" s="99" t="s">
        <v>123</v>
      </c>
      <c r="AE221" s="99" t="s">
        <v>123</v>
      </c>
      <c r="AF221" s="99" t="s">
        <v>123</v>
      </c>
      <c r="AG221" s="99" t="s">
        <v>123</v>
      </c>
      <c r="AH221" s="99" t="s">
        <v>123</v>
      </c>
      <c r="AI221" s="99" t="s">
        <v>123</v>
      </c>
      <c r="AJ221" s="99" t="s">
        <v>123</v>
      </c>
      <c r="AK221" s="99" t="s">
        <v>123</v>
      </c>
      <c r="AL221" s="99" t="s">
        <v>123</v>
      </c>
      <c r="AM221" s="99" t="s">
        <v>123</v>
      </c>
      <c r="AN221" s="99" t="s">
        <v>123</v>
      </c>
      <c r="AO221" s="99" t="s">
        <v>123</v>
      </c>
      <c r="AP221" s="99" t="s">
        <v>123</v>
      </c>
      <c r="AQ221" s="99" t="s">
        <v>123</v>
      </c>
      <c r="AR221" s="99" t="s">
        <v>123</v>
      </c>
      <c r="AS221" s="99" t="s">
        <v>123</v>
      </c>
      <c r="AT221" s="99" t="s">
        <v>123</v>
      </c>
      <c r="AU221" s="99" t="s">
        <v>123</v>
      </c>
      <c r="AV221" s="99" t="s">
        <v>123</v>
      </c>
      <c r="AW221" s="147" t="s">
        <v>208</v>
      </c>
    </row>
    <row r="222" spans="1:49" s="3" customFormat="1" ht="18" customHeight="1" x14ac:dyDescent="0.2">
      <c r="A222" s="39">
        <v>7</v>
      </c>
      <c r="B222" s="146" t="s">
        <v>122</v>
      </c>
      <c r="C222" s="99" t="s">
        <v>123</v>
      </c>
      <c r="D222" s="99" t="s">
        <v>123</v>
      </c>
      <c r="E222" s="99" t="s">
        <v>123</v>
      </c>
      <c r="F222" s="99" t="s">
        <v>123</v>
      </c>
      <c r="G222" s="99" t="s">
        <v>123</v>
      </c>
      <c r="H222" s="99" t="s">
        <v>123</v>
      </c>
      <c r="I222" s="99" t="s">
        <v>123</v>
      </c>
      <c r="J222" s="99" t="s">
        <v>123</v>
      </c>
      <c r="K222" s="99" t="s">
        <v>123</v>
      </c>
      <c r="L222" s="99" t="s">
        <v>123</v>
      </c>
      <c r="M222" s="99" t="s">
        <v>123</v>
      </c>
      <c r="N222" s="99" t="s">
        <v>123</v>
      </c>
      <c r="O222" s="99" t="s">
        <v>123</v>
      </c>
      <c r="P222" s="99" t="s">
        <v>123</v>
      </c>
      <c r="Q222" s="99" t="s">
        <v>123</v>
      </c>
      <c r="R222" s="99" t="s">
        <v>123</v>
      </c>
      <c r="S222" s="99" t="s">
        <v>123</v>
      </c>
      <c r="T222" s="99" t="s">
        <v>123</v>
      </c>
      <c r="U222" s="99" t="s">
        <v>123</v>
      </c>
      <c r="V222" s="99" t="s">
        <v>123</v>
      </c>
      <c r="W222" s="99" t="s">
        <v>123</v>
      </c>
      <c r="X222" s="99" t="s">
        <v>123</v>
      </c>
      <c r="Y222" s="99" t="s">
        <v>123</v>
      </c>
      <c r="Z222" s="99" t="s">
        <v>123</v>
      </c>
      <c r="AA222" s="99" t="s">
        <v>123</v>
      </c>
      <c r="AB222" s="99" t="s">
        <v>123</v>
      </c>
      <c r="AC222" s="99" t="s">
        <v>123</v>
      </c>
      <c r="AD222" s="99" t="s">
        <v>124</v>
      </c>
      <c r="AE222" s="99" t="s">
        <v>124</v>
      </c>
      <c r="AF222" s="99" t="s">
        <v>124</v>
      </c>
      <c r="AG222" s="99" t="s">
        <v>124</v>
      </c>
      <c r="AH222" s="99" t="s">
        <v>124</v>
      </c>
      <c r="AI222" s="99" t="s">
        <v>124</v>
      </c>
      <c r="AJ222" s="99" t="s">
        <v>124</v>
      </c>
      <c r="AK222" s="99" t="s">
        <v>124</v>
      </c>
      <c r="AL222" s="99" t="s">
        <v>124</v>
      </c>
      <c r="AM222" s="99" t="s">
        <v>124</v>
      </c>
      <c r="AN222" s="99" t="s">
        <v>123</v>
      </c>
      <c r="AO222" s="99" t="s">
        <v>123</v>
      </c>
      <c r="AP222" s="99" t="s">
        <v>123</v>
      </c>
      <c r="AQ222" s="99" t="s">
        <v>123</v>
      </c>
      <c r="AR222" s="99" t="s">
        <v>123</v>
      </c>
      <c r="AS222" s="99" t="s">
        <v>123</v>
      </c>
      <c r="AT222" s="99" t="s">
        <v>123</v>
      </c>
      <c r="AU222" s="99" t="s">
        <v>123</v>
      </c>
      <c r="AV222" s="99" t="s">
        <v>123</v>
      </c>
      <c r="AW222" s="147" t="s">
        <v>208</v>
      </c>
    </row>
    <row r="223" spans="1:49" s="3" customFormat="1" ht="18" customHeight="1" x14ac:dyDescent="0.2">
      <c r="A223" s="39">
        <v>16</v>
      </c>
      <c r="B223" s="146" t="s">
        <v>122</v>
      </c>
      <c r="C223" s="99" t="s">
        <v>123</v>
      </c>
      <c r="D223" s="99" t="s">
        <v>123</v>
      </c>
      <c r="E223" s="99" t="s">
        <v>123</v>
      </c>
      <c r="F223" s="99" t="s">
        <v>123</v>
      </c>
      <c r="G223" s="99" t="s">
        <v>123</v>
      </c>
      <c r="H223" s="99" t="s">
        <v>123</v>
      </c>
      <c r="I223" s="99" t="s">
        <v>123</v>
      </c>
      <c r="J223" s="99" t="s">
        <v>123</v>
      </c>
      <c r="K223" s="99" t="s">
        <v>123</v>
      </c>
      <c r="L223" s="99" t="s">
        <v>123</v>
      </c>
      <c r="M223" s="99" t="s">
        <v>123</v>
      </c>
      <c r="N223" s="99" t="s">
        <v>123</v>
      </c>
      <c r="O223" s="99" t="s">
        <v>123</v>
      </c>
      <c r="P223" s="99" t="s">
        <v>123</v>
      </c>
      <c r="Q223" s="99" t="s">
        <v>123</v>
      </c>
      <c r="R223" s="99" t="s">
        <v>123</v>
      </c>
      <c r="S223" s="99" t="s">
        <v>123</v>
      </c>
      <c r="T223" s="99" t="s">
        <v>123</v>
      </c>
      <c r="U223" s="99" t="s">
        <v>123</v>
      </c>
      <c r="V223" s="99" t="s">
        <v>123</v>
      </c>
      <c r="W223" s="99" t="s">
        <v>123</v>
      </c>
      <c r="X223" s="99" t="s">
        <v>123</v>
      </c>
      <c r="Y223" s="99" t="s">
        <v>123</v>
      </c>
      <c r="Z223" s="99" t="s">
        <v>123</v>
      </c>
      <c r="AA223" s="99" t="s">
        <v>123</v>
      </c>
      <c r="AB223" s="99" t="s">
        <v>123</v>
      </c>
      <c r="AC223" s="99" t="s">
        <v>123</v>
      </c>
      <c r="AD223" s="99" t="s">
        <v>123</v>
      </c>
      <c r="AE223" s="99" t="s">
        <v>123</v>
      </c>
      <c r="AF223" s="99" t="s">
        <v>123</v>
      </c>
      <c r="AG223" s="99" t="s">
        <v>123</v>
      </c>
      <c r="AH223" s="99" t="s">
        <v>123</v>
      </c>
      <c r="AI223" s="99" t="s">
        <v>123</v>
      </c>
      <c r="AJ223" s="99" t="s">
        <v>123</v>
      </c>
      <c r="AK223" s="99" t="s">
        <v>123</v>
      </c>
      <c r="AL223" s="99" t="s">
        <v>123</v>
      </c>
      <c r="AM223" s="99" t="s">
        <v>123</v>
      </c>
      <c r="AN223" s="99" t="s">
        <v>124</v>
      </c>
      <c r="AO223" s="99" t="s">
        <v>124</v>
      </c>
      <c r="AP223" s="99" t="s">
        <v>124</v>
      </c>
      <c r="AQ223" s="99" t="s">
        <v>124</v>
      </c>
      <c r="AR223" s="99" t="s">
        <v>124</v>
      </c>
      <c r="AS223" s="99" t="s">
        <v>123</v>
      </c>
      <c r="AT223" s="99" t="s">
        <v>123</v>
      </c>
      <c r="AU223" s="99" t="s">
        <v>123</v>
      </c>
      <c r="AV223" s="99" t="s">
        <v>123</v>
      </c>
      <c r="AW223" s="147" t="s">
        <v>208</v>
      </c>
    </row>
    <row r="224" spans="1:49" s="3" customFormat="1" ht="18" customHeight="1" x14ac:dyDescent="0.2">
      <c r="A224" s="39">
        <v>25</v>
      </c>
      <c r="B224" s="146" t="s">
        <v>122</v>
      </c>
      <c r="C224" s="99" t="s">
        <v>123</v>
      </c>
      <c r="D224" s="99" t="s">
        <v>123</v>
      </c>
      <c r="E224" s="99" t="s">
        <v>123</v>
      </c>
      <c r="F224" s="99" t="s">
        <v>123</v>
      </c>
      <c r="G224" s="99" t="s">
        <v>123</v>
      </c>
      <c r="H224" s="99" t="s">
        <v>123</v>
      </c>
      <c r="I224" s="99" t="s">
        <v>123</v>
      </c>
      <c r="J224" s="99" t="s">
        <v>123</v>
      </c>
      <c r="K224" s="99" t="s">
        <v>123</v>
      </c>
      <c r="L224" s="99" t="s">
        <v>123</v>
      </c>
      <c r="M224" s="99" t="s">
        <v>123</v>
      </c>
      <c r="N224" s="99" t="s">
        <v>123</v>
      </c>
      <c r="O224" s="99" t="s">
        <v>123</v>
      </c>
      <c r="P224" s="99" t="s">
        <v>123</v>
      </c>
      <c r="Q224" s="99" t="s">
        <v>123</v>
      </c>
      <c r="R224" s="99" t="s">
        <v>123</v>
      </c>
      <c r="S224" s="99" t="s">
        <v>123</v>
      </c>
      <c r="T224" s="99" t="s">
        <v>123</v>
      </c>
      <c r="U224" s="99" t="s">
        <v>123</v>
      </c>
      <c r="V224" s="99" t="s">
        <v>123</v>
      </c>
      <c r="W224" s="99" t="s">
        <v>123</v>
      </c>
      <c r="X224" s="99" t="s">
        <v>123</v>
      </c>
      <c r="Y224" s="99" t="s">
        <v>123</v>
      </c>
      <c r="Z224" s="99" t="s">
        <v>123</v>
      </c>
      <c r="AA224" s="99" t="s">
        <v>123</v>
      </c>
      <c r="AB224" s="99" t="s">
        <v>123</v>
      </c>
      <c r="AC224" s="99" t="s">
        <v>123</v>
      </c>
      <c r="AD224" s="99" t="s">
        <v>123</v>
      </c>
      <c r="AE224" s="99" t="s">
        <v>123</v>
      </c>
      <c r="AF224" s="99" t="s">
        <v>123</v>
      </c>
      <c r="AG224" s="99" t="s">
        <v>123</v>
      </c>
      <c r="AH224" s="99" t="s">
        <v>123</v>
      </c>
      <c r="AI224" s="99" t="s">
        <v>123</v>
      </c>
      <c r="AJ224" s="99" t="s">
        <v>123</v>
      </c>
      <c r="AK224" s="99" t="s">
        <v>123</v>
      </c>
      <c r="AL224" s="99" t="s">
        <v>123</v>
      </c>
      <c r="AM224" s="99" t="s">
        <v>123</v>
      </c>
      <c r="AN224" s="99" t="s">
        <v>123</v>
      </c>
      <c r="AO224" s="99" t="s">
        <v>123</v>
      </c>
      <c r="AP224" s="99" t="s">
        <v>123</v>
      </c>
      <c r="AQ224" s="99" t="s">
        <v>123</v>
      </c>
      <c r="AR224" s="99" t="s">
        <v>123</v>
      </c>
      <c r="AS224" s="99" t="s">
        <v>124</v>
      </c>
      <c r="AT224" s="99" t="s">
        <v>123</v>
      </c>
      <c r="AU224" s="99" t="s">
        <v>123</v>
      </c>
      <c r="AV224" s="99" t="s">
        <v>123</v>
      </c>
      <c r="AW224" s="147" t="s">
        <v>208</v>
      </c>
    </row>
    <row r="225" spans="1:65" s="3" customFormat="1" ht="18" customHeight="1" x14ac:dyDescent="0.2">
      <c r="A225" s="39">
        <v>34</v>
      </c>
      <c r="B225" s="146" t="s">
        <v>122</v>
      </c>
      <c r="C225" s="99" t="s">
        <v>123</v>
      </c>
      <c r="D225" s="99" t="s">
        <v>123</v>
      </c>
      <c r="E225" s="99" t="s">
        <v>123</v>
      </c>
      <c r="F225" s="99" t="s">
        <v>123</v>
      </c>
      <c r="G225" s="99" t="s">
        <v>123</v>
      </c>
      <c r="H225" s="99" t="s">
        <v>123</v>
      </c>
      <c r="I225" s="99" t="s">
        <v>123</v>
      </c>
      <c r="J225" s="99" t="s">
        <v>123</v>
      </c>
      <c r="K225" s="99" t="s">
        <v>123</v>
      </c>
      <c r="L225" s="99" t="s">
        <v>123</v>
      </c>
      <c r="M225" s="99" t="s">
        <v>123</v>
      </c>
      <c r="N225" s="99" t="s">
        <v>123</v>
      </c>
      <c r="O225" s="99" t="s">
        <v>123</v>
      </c>
      <c r="P225" s="99" t="s">
        <v>123</v>
      </c>
      <c r="Q225" s="99" t="s">
        <v>123</v>
      </c>
      <c r="R225" s="99" t="s">
        <v>123</v>
      </c>
      <c r="S225" s="99" t="s">
        <v>123</v>
      </c>
      <c r="T225" s="99" t="s">
        <v>123</v>
      </c>
      <c r="U225" s="99" t="s">
        <v>123</v>
      </c>
      <c r="V225" s="99" t="s">
        <v>123</v>
      </c>
      <c r="W225" s="99" t="s">
        <v>123</v>
      </c>
      <c r="X225" s="99" t="s">
        <v>123</v>
      </c>
      <c r="Y225" s="99" t="s">
        <v>123</v>
      </c>
      <c r="Z225" s="99" t="s">
        <v>123</v>
      </c>
      <c r="AA225" s="99" t="s">
        <v>123</v>
      </c>
      <c r="AB225" s="99" t="s">
        <v>123</v>
      </c>
      <c r="AC225" s="99" t="s">
        <v>123</v>
      </c>
      <c r="AD225" s="99" t="s">
        <v>123</v>
      </c>
      <c r="AE225" s="99" t="s">
        <v>123</v>
      </c>
      <c r="AF225" s="99" t="s">
        <v>123</v>
      </c>
      <c r="AG225" s="99" t="s">
        <v>123</v>
      </c>
      <c r="AH225" s="99" t="s">
        <v>123</v>
      </c>
      <c r="AI225" s="99" t="s">
        <v>123</v>
      </c>
      <c r="AJ225" s="99" t="s">
        <v>123</v>
      </c>
      <c r="AK225" s="99" t="s">
        <v>123</v>
      </c>
      <c r="AL225" s="99" t="s">
        <v>123</v>
      </c>
      <c r="AM225" s="99" t="s">
        <v>123</v>
      </c>
      <c r="AN225" s="99" t="s">
        <v>123</v>
      </c>
      <c r="AO225" s="99" t="s">
        <v>123</v>
      </c>
      <c r="AP225" s="99" t="s">
        <v>123</v>
      </c>
      <c r="AQ225" s="99" t="s">
        <v>123</v>
      </c>
      <c r="AR225" s="99" t="s">
        <v>123</v>
      </c>
      <c r="AS225" s="99" t="s">
        <v>123</v>
      </c>
      <c r="AT225" s="99" t="s">
        <v>124</v>
      </c>
      <c r="AU225" s="99" t="s">
        <v>124</v>
      </c>
      <c r="AV225" s="99" t="s">
        <v>124</v>
      </c>
      <c r="AW225" s="147" t="s">
        <v>208</v>
      </c>
    </row>
    <row r="226" spans="1:65" s="3" customFormat="1" ht="18.5" customHeight="1" x14ac:dyDescent="0.2">
      <c r="A226" s="56">
        <v>82</v>
      </c>
      <c r="B226" s="190" t="s">
        <v>122</v>
      </c>
      <c r="C226" s="163" t="s">
        <v>123</v>
      </c>
      <c r="D226" s="163" t="s">
        <v>123</v>
      </c>
      <c r="E226" s="163" t="s">
        <v>123</v>
      </c>
      <c r="F226" s="163" t="s">
        <v>123</v>
      </c>
      <c r="G226" s="163" t="s">
        <v>123</v>
      </c>
      <c r="H226" s="163" t="s">
        <v>123</v>
      </c>
      <c r="I226" s="163" t="s">
        <v>123</v>
      </c>
      <c r="J226" s="163" t="s">
        <v>123</v>
      </c>
      <c r="K226" s="163" t="s">
        <v>123</v>
      </c>
      <c r="L226" s="163" t="s">
        <v>123</v>
      </c>
      <c r="M226" s="163" t="s">
        <v>123</v>
      </c>
      <c r="N226" s="163" t="s">
        <v>123</v>
      </c>
      <c r="O226" s="163" t="s">
        <v>123</v>
      </c>
      <c r="P226" s="163" t="s">
        <v>123</v>
      </c>
      <c r="Q226" s="163" t="s">
        <v>123</v>
      </c>
      <c r="R226" s="163" t="s">
        <v>123</v>
      </c>
      <c r="S226" s="163" t="s">
        <v>123</v>
      </c>
      <c r="T226" s="163" t="s">
        <v>123</v>
      </c>
      <c r="U226" s="163" t="s">
        <v>123</v>
      </c>
      <c r="V226" s="163" t="s">
        <v>123</v>
      </c>
      <c r="W226" s="163" t="s">
        <v>123</v>
      </c>
      <c r="X226" s="163" t="s">
        <v>123</v>
      </c>
      <c r="Y226" s="163" t="s">
        <v>123</v>
      </c>
      <c r="Z226" s="163" t="s">
        <v>123</v>
      </c>
      <c r="AA226" s="163" t="s">
        <v>123</v>
      </c>
      <c r="AB226" s="163" t="s">
        <v>123</v>
      </c>
      <c r="AC226" s="163" t="s">
        <v>123</v>
      </c>
      <c r="AD226" s="163" t="s">
        <v>123</v>
      </c>
      <c r="AE226" s="163" t="s">
        <v>123</v>
      </c>
      <c r="AF226" s="163" t="s">
        <v>123</v>
      </c>
      <c r="AG226" s="163" t="s">
        <v>123</v>
      </c>
      <c r="AH226" s="163" t="s">
        <v>123</v>
      </c>
      <c r="AI226" s="163" t="s">
        <v>123</v>
      </c>
      <c r="AJ226" s="163" t="s">
        <v>123</v>
      </c>
      <c r="AK226" s="163" t="s">
        <v>123</v>
      </c>
      <c r="AL226" s="163" t="s">
        <v>123</v>
      </c>
      <c r="AM226" s="163" t="s">
        <v>123</v>
      </c>
      <c r="AN226" s="163" t="s">
        <v>123</v>
      </c>
      <c r="AO226" s="163" t="s">
        <v>123</v>
      </c>
      <c r="AP226" s="163" t="s">
        <v>123</v>
      </c>
      <c r="AQ226" s="163" t="s">
        <v>123</v>
      </c>
      <c r="AR226" s="163" t="s">
        <v>123</v>
      </c>
      <c r="AS226" s="163" t="s">
        <v>123</v>
      </c>
      <c r="AT226" s="163" t="s">
        <v>123</v>
      </c>
      <c r="AU226" s="163" t="s">
        <v>123</v>
      </c>
      <c r="AV226" s="163" t="s">
        <v>123</v>
      </c>
      <c r="AW226" s="191" t="s">
        <v>125</v>
      </c>
    </row>
    <row r="228" spans="1:65" s="3" customFormat="1" ht="19" customHeight="1" x14ac:dyDescent="0.2">
      <c r="B228" s="4" t="s">
        <v>209</v>
      </c>
      <c r="C228" s="5"/>
      <c r="P228" s="6" t="s">
        <v>210</v>
      </c>
      <c r="R228" s="4" t="s">
        <v>211</v>
      </c>
      <c r="S228" s="19" t="s">
        <v>212</v>
      </c>
    </row>
    <row r="229" spans="1:65" s="3" customFormat="1" ht="19" customHeight="1" x14ac:dyDescent="0.2">
      <c r="A229" s="6" t="s">
        <v>213</v>
      </c>
      <c r="B229" s="4" t="s">
        <v>214</v>
      </c>
      <c r="C229" s="5"/>
      <c r="P229" s="8" t="s">
        <v>107</v>
      </c>
      <c r="Q229" s="8" t="s">
        <v>215</v>
      </c>
      <c r="R229" s="9">
        <v>1</v>
      </c>
      <c r="S229" s="10">
        <v>2</v>
      </c>
      <c r="T229" s="10">
        <v>3</v>
      </c>
      <c r="U229" s="10">
        <v>4</v>
      </c>
      <c r="V229" s="10">
        <v>5</v>
      </c>
      <c r="W229" s="10">
        <v>6</v>
      </c>
      <c r="X229" s="10">
        <v>7</v>
      </c>
      <c r="Y229" s="10">
        <v>8</v>
      </c>
      <c r="Z229" s="10">
        <v>9</v>
      </c>
      <c r="AA229" s="10">
        <v>10</v>
      </c>
      <c r="AB229" s="10">
        <v>11</v>
      </c>
      <c r="AC229" s="10">
        <v>12</v>
      </c>
      <c r="AD229" s="10">
        <v>13</v>
      </c>
      <c r="AE229" s="10">
        <v>14</v>
      </c>
      <c r="AF229" s="10">
        <v>15</v>
      </c>
      <c r="AG229" s="10">
        <v>16</v>
      </c>
      <c r="AH229" s="10">
        <v>17</v>
      </c>
      <c r="AI229" s="10">
        <v>18</v>
      </c>
      <c r="AJ229" s="10">
        <v>19</v>
      </c>
      <c r="AK229" s="10">
        <v>20</v>
      </c>
      <c r="AL229" s="10">
        <v>21</v>
      </c>
      <c r="AM229" s="10">
        <v>22</v>
      </c>
      <c r="AN229" s="10">
        <v>23</v>
      </c>
      <c r="AO229" s="10">
        <v>24</v>
      </c>
      <c r="AP229" s="10">
        <v>25</v>
      </c>
      <c r="AQ229" s="10">
        <v>26</v>
      </c>
      <c r="AR229" s="10">
        <v>27</v>
      </c>
      <c r="AS229" s="10">
        <v>28</v>
      </c>
      <c r="AT229" s="10">
        <v>29</v>
      </c>
      <c r="AU229" s="10">
        <v>30</v>
      </c>
      <c r="AV229" s="10">
        <v>31</v>
      </c>
      <c r="AW229" s="10">
        <v>32</v>
      </c>
      <c r="AX229" s="10">
        <v>33</v>
      </c>
      <c r="AY229" s="10">
        <v>34</v>
      </c>
      <c r="AZ229" s="10">
        <v>35</v>
      </c>
      <c r="BA229" s="10">
        <v>36</v>
      </c>
      <c r="BB229" s="10">
        <v>37</v>
      </c>
      <c r="BC229" s="10">
        <v>38</v>
      </c>
      <c r="BD229" s="10">
        <v>39</v>
      </c>
      <c r="BE229" s="10">
        <v>40</v>
      </c>
      <c r="BF229" s="10">
        <v>41</v>
      </c>
      <c r="BG229" s="10">
        <v>42</v>
      </c>
      <c r="BH229" s="10">
        <v>43</v>
      </c>
      <c r="BI229" s="10">
        <v>44</v>
      </c>
      <c r="BJ229" s="10">
        <v>45</v>
      </c>
      <c r="BK229" s="10">
        <v>46</v>
      </c>
      <c r="BL229" s="10">
        <v>47</v>
      </c>
      <c r="BM229" s="11">
        <v>48</v>
      </c>
    </row>
    <row r="230" spans="1:65" s="3" customFormat="1" ht="19" customHeight="1" x14ac:dyDescent="0.2">
      <c r="A230" s="19" t="s">
        <v>202</v>
      </c>
      <c r="B230" s="17" t="s">
        <v>216</v>
      </c>
      <c r="C230" s="19" t="s">
        <v>217</v>
      </c>
      <c r="P230" s="28">
        <v>1</v>
      </c>
      <c r="Q230" s="28">
        <v>1</v>
      </c>
      <c r="R230" s="23">
        <v>0.2</v>
      </c>
      <c r="S230" s="24">
        <v>0.2</v>
      </c>
      <c r="T230" s="24">
        <v>0.2</v>
      </c>
      <c r="U230" s="24">
        <v>0.2</v>
      </c>
      <c r="V230" s="24">
        <v>0.2</v>
      </c>
      <c r="W230" s="24">
        <v>0.2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  <c r="AF230" s="24">
        <v>0</v>
      </c>
      <c r="AG230" s="24">
        <v>0</v>
      </c>
      <c r="AH230" s="24">
        <v>0</v>
      </c>
      <c r="AI230" s="24">
        <v>0</v>
      </c>
      <c r="AJ230" s="24">
        <v>0</v>
      </c>
      <c r="AK230" s="24">
        <v>0</v>
      </c>
      <c r="AL230" s="24">
        <v>0</v>
      </c>
      <c r="AM230" s="24">
        <v>0</v>
      </c>
      <c r="AN230" s="24">
        <v>0</v>
      </c>
      <c r="AO230" s="24">
        <v>0</v>
      </c>
      <c r="AP230" s="24">
        <v>0</v>
      </c>
      <c r="AQ230" s="24">
        <v>0</v>
      </c>
      <c r="AR230" s="24">
        <v>0</v>
      </c>
      <c r="AS230" s="24">
        <v>0</v>
      </c>
      <c r="AT230" s="24">
        <v>0</v>
      </c>
      <c r="AU230" s="24">
        <v>0</v>
      </c>
      <c r="AV230" s="24">
        <v>0</v>
      </c>
      <c r="AW230" s="24">
        <v>0</v>
      </c>
      <c r="AX230" s="24">
        <v>0</v>
      </c>
      <c r="AY230" s="24">
        <v>0</v>
      </c>
      <c r="AZ230" s="24">
        <v>0</v>
      </c>
      <c r="BA230" s="24">
        <v>0</v>
      </c>
      <c r="BB230" s="24">
        <v>0</v>
      </c>
      <c r="BC230" s="24">
        <v>0</v>
      </c>
      <c r="BD230" s="24">
        <v>0</v>
      </c>
      <c r="BE230" s="24">
        <v>0</v>
      </c>
      <c r="BF230" s="24">
        <v>0</v>
      </c>
      <c r="BG230" s="24">
        <v>0</v>
      </c>
      <c r="BH230" s="24">
        <v>0</v>
      </c>
      <c r="BI230" s="24">
        <v>0</v>
      </c>
      <c r="BJ230" s="24">
        <v>0</v>
      </c>
      <c r="BK230" s="24">
        <v>0</v>
      </c>
      <c r="BL230" s="24">
        <v>0</v>
      </c>
      <c r="BM230" s="25">
        <v>0</v>
      </c>
    </row>
    <row r="231" spans="1:65" s="3" customFormat="1" ht="18.5" customHeight="1" x14ac:dyDescent="0.2">
      <c r="A231" s="28">
        <v>1</v>
      </c>
      <c r="B231" s="136">
        <v>5</v>
      </c>
      <c r="C231" s="262">
        <f t="shared" ref="C231:C240" si="4">1/B231</f>
        <v>0.2</v>
      </c>
      <c r="E231" s="266"/>
      <c r="F231" s="267"/>
      <c r="P231" s="39">
        <v>1</v>
      </c>
      <c r="Q231" s="39">
        <v>2</v>
      </c>
      <c r="R231" s="35">
        <v>0.2</v>
      </c>
      <c r="S231" s="36">
        <v>0.2</v>
      </c>
      <c r="T231" s="36">
        <v>0.2</v>
      </c>
      <c r="U231" s="36">
        <v>0.2</v>
      </c>
      <c r="V231" s="36">
        <v>0.2</v>
      </c>
      <c r="W231" s="36">
        <v>0.2</v>
      </c>
      <c r="X231" s="36">
        <v>0</v>
      </c>
      <c r="Y231" s="36">
        <v>0</v>
      </c>
      <c r="Z231" s="36">
        <v>0</v>
      </c>
      <c r="AA231" s="36">
        <v>0</v>
      </c>
      <c r="AB231" s="36">
        <v>0</v>
      </c>
      <c r="AC231" s="36">
        <v>0</v>
      </c>
      <c r="AD231" s="36">
        <v>0</v>
      </c>
      <c r="AE231" s="36">
        <v>0</v>
      </c>
      <c r="AF231" s="36">
        <v>0</v>
      </c>
      <c r="AG231" s="36">
        <v>0</v>
      </c>
      <c r="AH231" s="36">
        <v>0</v>
      </c>
      <c r="AI231" s="36">
        <v>0</v>
      </c>
      <c r="AJ231" s="36">
        <v>0</v>
      </c>
      <c r="AK231" s="36">
        <v>0</v>
      </c>
      <c r="AL231" s="36">
        <v>0</v>
      </c>
      <c r="AM231" s="36">
        <v>0</v>
      </c>
      <c r="AN231" s="36">
        <v>0</v>
      </c>
      <c r="AO231" s="36">
        <v>0</v>
      </c>
      <c r="AP231" s="36">
        <v>0</v>
      </c>
      <c r="AQ231" s="36">
        <v>0</v>
      </c>
      <c r="AR231" s="36">
        <v>0</v>
      </c>
      <c r="AS231" s="36">
        <v>0</v>
      </c>
      <c r="AT231" s="36">
        <v>0</v>
      </c>
      <c r="AU231" s="36">
        <v>0</v>
      </c>
      <c r="AV231" s="36">
        <v>0</v>
      </c>
      <c r="AW231" s="36">
        <v>0</v>
      </c>
      <c r="AX231" s="36">
        <v>0</v>
      </c>
      <c r="AY231" s="36">
        <v>0</v>
      </c>
      <c r="AZ231" s="36">
        <v>0</v>
      </c>
      <c r="BA231" s="36">
        <v>0</v>
      </c>
      <c r="BB231" s="36">
        <v>0</v>
      </c>
      <c r="BC231" s="36">
        <v>0</v>
      </c>
      <c r="BD231" s="36">
        <v>0</v>
      </c>
      <c r="BE231" s="36">
        <v>0</v>
      </c>
      <c r="BF231" s="36">
        <v>0</v>
      </c>
      <c r="BG231" s="36">
        <v>0</v>
      </c>
      <c r="BH231" s="36">
        <v>0</v>
      </c>
      <c r="BI231" s="36">
        <v>0</v>
      </c>
      <c r="BJ231" s="36">
        <v>0</v>
      </c>
      <c r="BK231" s="36">
        <v>0</v>
      </c>
      <c r="BL231" s="36">
        <v>0</v>
      </c>
      <c r="BM231" s="37">
        <v>0</v>
      </c>
    </row>
    <row r="232" spans="1:65" s="3" customFormat="1" ht="18" customHeight="1" x14ac:dyDescent="0.2">
      <c r="A232" s="39">
        <v>2</v>
      </c>
      <c r="B232" s="148">
        <v>1</v>
      </c>
      <c r="C232" s="263">
        <f t="shared" si="4"/>
        <v>1</v>
      </c>
      <c r="E232" s="266"/>
      <c r="F232" s="267"/>
      <c r="P232" s="39">
        <v>1</v>
      </c>
      <c r="Q232" s="39">
        <v>3</v>
      </c>
      <c r="R232" s="35">
        <v>0.2</v>
      </c>
      <c r="S232" s="36">
        <v>0.2</v>
      </c>
      <c r="T232" s="36">
        <v>0.2</v>
      </c>
      <c r="U232" s="36">
        <v>0.2</v>
      </c>
      <c r="V232" s="36">
        <v>0.2</v>
      </c>
      <c r="W232" s="36">
        <v>0.2</v>
      </c>
      <c r="X232" s="36">
        <v>0</v>
      </c>
      <c r="Y232" s="36">
        <v>0</v>
      </c>
      <c r="Z232" s="36">
        <v>0</v>
      </c>
      <c r="AA232" s="36">
        <v>0</v>
      </c>
      <c r="AB232" s="36">
        <v>0</v>
      </c>
      <c r="AC232" s="36">
        <v>0</v>
      </c>
      <c r="AD232" s="36">
        <v>0</v>
      </c>
      <c r="AE232" s="36">
        <v>0</v>
      </c>
      <c r="AF232" s="36">
        <v>0</v>
      </c>
      <c r="AG232" s="36">
        <v>0</v>
      </c>
      <c r="AH232" s="36">
        <v>0</v>
      </c>
      <c r="AI232" s="36">
        <v>0</v>
      </c>
      <c r="AJ232" s="36">
        <v>0</v>
      </c>
      <c r="AK232" s="36">
        <v>0</v>
      </c>
      <c r="AL232" s="36">
        <v>0</v>
      </c>
      <c r="AM232" s="36">
        <v>0</v>
      </c>
      <c r="AN232" s="36">
        <v>0</v>
      </c>
      <c r="AO232" s="36">
        <v>0</v>
      </c>
      <c r="AP232" s="36">
        <v>0</v>
      </c>
      <c r="AQ232" s="36">
        <v>0</v>
      </c>
      <c r="AR232" s="36">
        <v>0</v>
      </c>
      <c r="AS232" s="36">
        <v>0</v>
      </c>
      <c r="AT232" s="36">
        <v>0</v>
      </c>
      <c r="AU232" s="36">
        <v>0</v>
      </c>
      <c r="AV232" s="36">
        <v>0</v>
      </c>
      <c r="AW232" s="36">
        <v>0</v>
      </c>
      <c r="AX232" s="36">
        <v>0</v>
      </c>
      <c r="AY232" s="36">
        <v>0</v>
      </c>
      <c r="AZ232" s="36">
        <v>0</v>
      </c>
      <c r="BA232" s="36">
        <v>0</v>
      </c>
      <c r="BB232" s="36">
        <v>0</v>
      </c>
      <c r="BC232" s="36">
        <v>0</v>
      </c>
      <c r="BD232" s="36">
        <v>0</v>
      </c>
      <c r="BE232" s="36">
        <v>0</v>
      </c>
      <c r="BF232" s="36">
        <v>0</v>
      </c>
      <c r="BG232" s="36">
        <v>0</v>
      </c>
      <c r="BH232" s="36">
        <v>0</v>
      </c>
      <c r="BI232" s="36">
        <v>0</v>
      </c>
      <c r="BJ232" s="36">
        <v>0</v>
      </c>
      <c r="BK232" s="36">
        <v>0</v>
      </c>
      <c r="BL232" s="36">
        <v>0</v>
      </c>
      <c r="BM232" s="37">
        <v>0</v>
      </c>
    </row>
    <row r="233" spans="1:65" s="3" customFormat="1" ht="18" customHeight="1" x14ac:dyDescent="0.2">
      <c r="A233" s="39">
        <v>3</v>
      </c>
      <c r="B233" s="148">
        <v>3</v>
      </c>
      <c r="C233" s="263">
        <f t="shared" si="4"/>
        <v>0.33333333333333331</v>
      </c>
      <c r="E233" s="266"/>
      <c r="F233" s="267"/>
      <c r="P233" s="39">
        <v>1</v>
      </c>
      <c r="Q233" s="39">
        <v>4</v>
      </c>
      <c r="R233" s="35">
        <v>0.2</v>
      </c>
      <c r="S233" s="36">
        <v>0.2</v>
      </c>
      <c r="T233" s="36">
        <v>0.2</v>
      </c>
      <c r="U233" s="36">
        <v>0.2</v>
      </c>
      <c r="V233" s="36">
        <v>0.2</v>
      </c>
      <c r="W233" s="36">
        <v>0.2</v>
      </c>
      <c r="X233" s="36">
        <v>0</v>
      </c>
      <c r="Y233" s="36">
        <v>0</v>
      </c>
      <c r="Z233" s="36">
        <v>0</v>
      </c>
      <c r="AA233" s="36">
        <v>0</v>
      </c>
      <c r="AB233" s="36">
        <v>0</v>
      </c>
      <c r="AC233" s="36">
        <v>0</v>
      </c>
      <c r="AD233" s="36">
        <v>0</v>
      </c>
      <c r="AE233" s="36">
        <v>0</v>
      </c>
      <c r="AF233" s="36">
        <v>0</v>
      </c>
      <c r="AG233" s="36">
        <v>0</v>
      </c>
      <c r="AH233" s="36">
        <v>0</v>
      </c>
      <c r="AI233" s="36">
        <v>0</v>
      </c>
      <c r="AJ233" s="36">
        <v>0</v>
      </c>
      <c r="AK233" s="36">
        <v>0</v>
      </c>
      <c r="AL233" s="36">
        <v>0</v>
      </c>
      <c r="AM233" s="36">
        <v>0</v>
      </c>
      <c r="AN233" s="36">
        <v>0</v>
      </c>
      <c r="AO233" s="36">
        <v>0</v>
      </c>
      <c r="AP233" s="36">
        <v>0</v>
      </c>
      <c r="AQ233" s="36">
        <v>0</v>
      </c>
      <c r="AR233" s="36">
        <v>0</v>
      </c>
      <c r="AS233" s="36">
        <v>0</v>
      </c>
      <c r="AT233" s="36">
        <v>0</v>
      </c>
      <c r="AU233" s="36">
        <v>0</v>
      </c>
      <c r="AV233" s="36">
        <v>0</v>
      </c>
      <c r="AW233" s="36">
        <v>0</v>
      </c>
      <c r="AX233" s="36">
        <v>0</v>
      </c>
      <c r="AY233" s="36">
        <v>0</v>
      </c>
      <c r="AZ233" s="36">
        <v>0</v>
      </c>
      <c r="BA233" s="36">
        <v>0</v>
      </c>
      <c r="BB233" s="36">
        <v>0</v>
      </c>
      <c r="BC233" s="36">
        <v>0</v>
      </c>
      <c r="BD233" s="36">
        <v>0</v>
      </c>
      <c r="BE233" s="36">
        <v>0</v>
      </c>
      <c r="BF233" s="36">
        <v>0</v>
      </c>
      <c r="BG233" s="36">
        <v>0</v>
      </c>
      <c r="BH233" s="36">
        <v>0</v>
      </c>
      <c r="BI233" s="36">
        <v>0</v>
      </c>
      <c r="BJ233" s="36">
        <v>0</v>
      </c>
      <c r="BK233" s="36">
        <v>0</v>
      </c>
      <c r="BL233" s="36">
        <v>0</v>
      </c>
      <c r="BM233" s="37">
        <v>0</v>
      </c>
    </row>
    <row r="234" spans="1:65" s="3" customFormat="1" ht="18" customHeight="1" x14ac:dyDescent="0.2">
      <c r="A234" s="39">
        <v>4</v>
      </c>
      <c r="B234" s="148">
        <v>1</v>
      </c>
      <c r="C234" s="263">
        <f t="shared" si="4"/>
        <v>1</v>
      </c>
      <c r="E234" s="266"/>
      <c r="F234" s="267"/>
      <c r="P234" s="39">
        <v>1</v>
      </c>
      <c r="Q234" s="39">
        <v>5</v>
      </c>
      <c r="R234" s="35">
        <v>0.2</v>
      </c>
      <c r="S234" s="36">
        <v>0.2</v>
      </c>
      <c r="T234" s="36">
        <v>0.2</v>
      </c>
      <c r="U234" s="36">
        <v>0.2</v>
      </c>
      <c r="V234" s="36">
        <v>0.2</v>
      </c>
      <c r="W234" s="36">
        <v>0.2</v>
      </c>
      <c r="X234" s="36">
        <v>0</v>
      </c>
      <c r="Y234" s="36">
        <v>0</v>
      </c>
      <c r="Z234" s="36">
        <v>0</v>
      </c>
      <c r="AA234" s="36">
        <v>0</v>
      </c>
      <c r="AB234" s="36">
        <v>0</v>
      </c>
      <c r="AC234" s="36">
        <v>0</v>
      </c>
      <c r="AD234" s="36">
        <v>0</v>
      </c>
      <c r="AE234" s="36">
        <v>0</v>
      </c>
      <c r="AF234" s="36">
        <v>0</v>
      </c>
      <c r="AG234" s="36">
        <v>0</v>
      </c>
      <c r="AH234" s="36">
        <v>0</v>
      </c>
      <c r="AI234" s="36">
        <v>0</v>
      </c>
      <c r="AJ234" s="36">
        <v>0</v>
      </c>
      <c r="AK234" s="36">
        <v>0</v>
      </c>
      <c r="AL234" s="36">
        <v>0</v>
      </c>
      <c r="AM234" s="36">
        <v>0</v>
      </c>
      <c r="AN234" s="36">
        <v>0</v>
      </c>
      <c r="AO234" s="36">
        <v>0</v>
      </c>
      <c r="AP234" s="36">
        <v>0</v>
      </c>
      <c r="AQ234" s="36">
        <v>0</v>
      </c>
      <c r="AR234" s="36">
        <v>0</v>
      </c>
      <c r="AS234" s="36">
        <v>0</v>
      </c>
      <c r="AT234" s="36">
        <v>0</v>
      </c>
      <c r="AU234" s="36">
        <v>0</v>
      </c>
      <c r="AV234" s="36">
        <v>0</v>
      </c>
      <c r="AW234" s="36">
        <v>0</v>
      </c>
      <c r="AX234" s="36">
        <v>0</v>
      </c>
      <c r="AY234" s="36">
        <v>0</v>
      </c>
      <c r="AZ234" s="36">
        <v>0</v>
      </c>
      <c r="BA234" s="36">
        <v>0</v>
      </c>
      <c r="BB234" s="36">
        <v>0</v>
      </c>
      <c r="BC234" s="36">
        <v>0</v>
      </c>
      <c r="BD234" s="36">
        <v>0</v>
      </c>
      <c r="BE234" s="36">
        <v>0</v>
      </c>
      <c r="BF234" s="36">
        <v>0</v>
      </c>
      <c r="BG234" s="36">
        <v>0</v>
      </c>
      <c r="BH234" s="36">
        <v>0</v>
      </c>
      <c r="BI234" s="36">
        <v>0</v>
      </c>
      <c r="BJ234" s="36">
        <v>0</v>
      </c>
      <c r="BK234" s="36">
        <v>0</v>
      </c>
      <c r="BL234" s="36">
        <v>0</v>
      </c>
      <c r="BM234" s="37">
        <v>0</v>
      </c>
    </row>
    <row r="235" spans="1:65" s="3" customFormat="1" ht="18.5" customHeight="1" x14ac:dyDescent="0.2">
      <c r="A235" s="39">
        <v>6</v>
      </c>
      <c r="B235" s="148">
        <v>3</v>
      </c>
      <c r="C235" s="263">
        <f t="shared" si="4"/>
        <v>0.33333333333333331</v>
      </c>
      <c r="E235" s="266"/>
      <c r="F235" s="267"/>
      <c r="P235" s="56">
        <v>1</v>
      </c>
      <c r="Q235" s="56">
        <v>6</v>
      </c>
      <c r="R235" s="35">
        <v>0.2</v>
      </c>
      <c r="S235" s="36">
        <v>0.2</v>
      </c>
      <c r="T235" s="36">
        <v>0.2</v>
      </c>
      <c r="U235" s="36">
        <v>0.2</v>
      </c>
      <c r="V235" s="36">
        <v>0.2</v>
      </c>
      <c r="W235" s="36">
        <v>0.2</v>
      </c>
      <c r="X235" s="36">
        <v>0</v>
      </c>
      <c r="Y235" s="36">
        <v>0</v>
      </c>
      <c r="Z235" s="36">
        <v>0</v>
      </c>
      <c r="AA235" s="36">
        <v>0</v>
      </c>
      <c r="AB235" s="36">
        <v>0</v>
      </c>
      <c r="AC235" s="36">
        <v>0</v>
      </c>
      <c r="AD235" s="36">
        <v>0</v>
      </c>
      <c r="AE235" s="36">
        <v>0</v>
      </c>
      <c r="AF235" s="36">
        <v>0</v>
      </c>
      <c r="AG235" s="36">
        <v>0</v>
      </c>
      <c r="AH235" s="36">
        <v>0</v>
      </c>
      <c r="AI235" s="36">
        <v>0</v>
      </c>
      <c r="AJ235" s="36">
        <v>0</v>
      </c>
      <c r="AK235" s="36">
        <v>0</v>
      </c>
      <c r="AL235" s="36">
        <v>0</v>
      </c>
      <c r="AM235" s="36">
        <v>0</v>
      </c>
      <c r="AN235" s="36">
        <v>0</v>
      </c>
      <c r="AO235" s="36">
        <v>0</v>
      </c>
      <c r="AP235" s="36">
        <v>0</v>
      </c>
      <c r="AQ235" s="36">
        <v>0</v>
      </c>
      <c r="AR235" s="36">
        <v>0</v>
      </c>
      <c r="AS235" s="36">
        <v>0</v>
      </c>
      <c r="AT235" s="36">
        <v>0</v>
      </c>
      <c r="AU235" s="36">
        <v>0</v>
      </c>
      <c r="AV235" s="36">
        <v>0</v>
      </c>
      <c r="AW235" s="36">
        <v>0</v>
      </c>
      <c r="AX235" s="36">
        <v>0</v>
      </c>
      <c r="AY235" s="36">
        <v>0</v>
      </c>
      <c r="AZ235" s="36">
        <v>0</v>
      </c>
      <c r="BA235" s="36">
        <v>0</v>
      </c>
      <c r="BB235" s="36">
        <v>0</v>
      </c>
      <c r="BC235" s="36">
        <v>0</v>
      </c>
      <c r="BD235" s="36">
        <v>0</v>
      </c>
      <c r="BE235" s="36">
        <v>0</v>
      </c>
      <c r="BF235" s="36">
        <v>0</v>
      </c>
      <c r="BG235" s="36">
        <v>0</v>
      </c>
      <c r="BH235" s="36">
        <v>0</v>
      </c>
      <c r="BI235" s="36">
        <v>0</v>
      </c>
      <c r="BJ235" s="36">
        <v>0</v>
      </c>
      <c r="BK235" s="36">
        <v>0</v>
      </c>
      <c r="BL235" s="36">
        <v>0</v>
      </c>
      <c r="BM235" s="37">
        <v>0</v>
      </c>
    </row>
    <row r="236" spans="1:65" s="3" customFormat="1" ht="18.5" customHeight="1" x14ac:dyDescent="0.2">
      <c r="A236" s="39">
        <v>7</v>
      </c>
      <c r="B236" s="148">
        <v>13</v>
      </c>
      <c r="C236" s="263">
        <f t="shared" si="4"/>
        <v>7.6923076923076927E-2</v>
      </c>
      <c r="E236" s="266"/>
      <c r="F236" s="267"/>
      <c r="P236" s="28">
        <v>2</v>
      </c>
      <c r="Q236" s="28">
        <v>7</v>
      </c>
      <c r="R236" s="35">
        <v>0</v>
      </c>
      <c r="S236" s="36">
        <v>0</v>
      </c>
      <c r="T236" s="36">
        <v>0</v>
      </c>
      <c r="U236" s="36">
        <v>0</v>
      </c>
      <c r="V236" s="36">
        <v>0</v>
      </c>
      <c r="W236" s="36">
        <v>0</v>
      </c>
      <c r="X236" s="36">
        <v>1</v>
      </c>
      <c r="Y236" s="36">
        <v>1</v>
      </c>
      <c r="Z236" s="36">
        <v>1</v>
      </c>
      <c r="AA236" s="36">
        <v>0</v>
      </c>
      <c r="AB236" s="36">
        <v>0</v>
      </c>
      <c r="AC236" s="36">
        <v>0</v>
      </c>
      <c r="AD236" s="36">
        <v>0</v>
      </c>
      <c r="AE236" s="36">
        <v>0</v>
      </c>
      <c r="AF236" s="36">
        <v>0</v>
      </c>
      <c r="AG236" s="36">
        <v>0</v>
      </c>
      <c r="AH236" s="36">
        <v>0</v>
      </c>
      <c r="AI236" s="36">
        <v>0</v>
      </c>
      <c r="AJ236" s="36">
        <v>0</v>
      </c>
      <c r="AK236" s="36">
        <v>0</v>
      </c>
      <c r="AL236" s="36">
        <v>0</v>
      </c>
      <c r="AM236" s="36">
        <v>0</v>
      </c>
      <c r="AN236" s="36">
        <v>0</v>
      </c>
      <c r="AO236" s="36">
        <v>0</v>
      </c>
      <c r="AP236" s="36">
        <v>0</v>
      </c>
      <c r="AQ236" s="36">
        <v>0</v>
      </c>
      <c r="AR236" s="36">
        <v>0</v>
      </c>
      <c r="AS236" s="36">
        <v>0</v>
      </c>
      <c r="AT236" s="36">
        <v>0</v>
      </c>
      <c r="AU236" s="36">
        <v>0</v>
      </c>
      <c r="AV236" s="36">
        <v>0</v>
      </c>
      <c r="AW236" s="36">
        <v>0</v>
      </c>
      <c r="AX236" s="36">
        <v>0</v>
      </c>
      <c r="AY236" s="36">
        <v>0</v>
      </c>
      <c r="AZ236" s="36">
        <v>0</v>
      </c>
      <c r="BA236" s="36">
        <v>0</v>
      </c>
      <c r="BB236" s="36">
        <v>0</v>
      </c>
      <c r="BC236" s="36">
        <v>0</v>
      </c>
      <c r="BD236" s="36">
        <v>0</v>
      </c>
      <c r="BE236" s="36">
        <v>0</v>
      </c>
      <c r="BF236" s="36">
        <v>0</v>
      </c>
      <c r="BG236" s="36">
        <v>0</v>
      </c>
      <c r="BH236" s="36">
        <v>0</v>
      </c>
      <c r="BI236" s="36">
        <v>0</v>
      </c>
      <c r="BJ236" s="36">
        <v>0</v>
      </c>
      <c r="BK236" s="36">
        <v>0</v>
      </c>
      <c r="BL236" s="36">
        <v>0</v>
      </c>
      <c r="BM236" s="37">
        <v>0</v>
      </c>
    </row>
    <row r="237" spans="1:65" s="3" customFormat="1" ht="18" customHeight="1" x14ac:dyDescent="0.2">
      <c r="A237" s="39">
        <v>16</v>
      </c>
      <c r="B237" s="148">
        <v>1</v>
      </c>
      <c r="C237" s="263">
        <f t="shared" si="4"/>
        <v>1</v>
      </c>
      <c r="E237" s="266"/>
      <c r="F237" s="267"/>
      <c r="P237" s="39">
        <v>2</v>
      </c>
      <c r="Q237" s="39">
        <v>8</v>
      </c>
      <c r="R237" s="35">
        <v>0</v>
      </c>
      <c r="S237" s="36">
        <v>0</v>
      </c>
      <c r="T237" s="36">
        <v>0</v>
      </c>
      <c r="U237" s="36">
        <v>0</v>
      </c>
      <c r="V237" s="36">
        <v>0</v>
      </c>
      <c r="W237" s="36">
        <v>0</v>
      </c>
      <c r="X237" s="36">
        <v>1</v>
      </c>
      <c r="Y237" s="36">
        <v>1</v>
      </c>
      <c r="Z237" s="36">
        <v>1</v>
      </c>
      <c r="AA237" s="36">
        <v>0</v>
      </c>
      <c r="AB237" s="36">
        <v>0</v>
      </c>
      <c r="AC237" s="36">
        <v>0</v>
      </c>
      <c r="AD237" s="36">
        <v>0</v>
      </c>
      <c r="AE237" s="36">
        <v>0</v>
      </c>
      <c r="AF237" s="36">
        <v>0</v>
      </c>
      <c r="AG237" s="36">
        <v>0</v>
      </c>
      <c r="AH237" s="36">
        <v>0</v>
      </c>
      <c r="AI237" s="36">
        <v>0</v>
      </c>
      <c r="AJ237" s="36">
        <v>0</v>
      </c>
      <c r="AK237" s="36">
        <v>0</v>
      </c>
      <c r="AL237" s="36">
        <v>0</v>
      </c>
      <c r="AM237" s="36">
        <v>0</v>
      </c>
      <c r="AN237" s="36">
        <v>0</v>
      </c>
      <c r="AO237" s="36">
        <v>0</v>
      </c>
      <c r="AP237" s="36">
        <v>0</v>
      </c>
      <c r="AQ237" s="36">
        <v>0</v>
      </c>
      <c r="AR237" s="36">
        <v>0</v>
      </c>
      <c r="AS237" s="36">
        <v>0</v>
      </c>
      <c r="AT237" s="36">
        <v>0</v>
      </c>
      <c r="AU237" s="36">
        <v>0</v>
      </c>
      <c r="AV237" s="36">
        <v>0</v>
      </c>
      <c r="AW237" s="36">
        <v>0</v>
      </c>
      <c r="AX237" s="36">
        <v>0</v>
      </c>
      <c r="AY237" s="36">
        <v>0</v>
      </c>
      <c r="AZ237" s="36">
        <v>0</v>
      </c>
      <c r="BA237" s="36">
        <v>0</v>
      </c>
      <c r="BB237" s="36">
        <v>0</v>
      </c>
      <c r="BC237" s="36">
        <v>0</v>
      </c>
      <c r="BD237" s="36">
        <v>0</v>
      </c>
      <c r="BE237" s="36">
        <v>0</v>
      </c>
      <c r="BF237" s="36">
        <v>0</v>
      </c>
      <c r="BG237" s="36">
        <v>0</v>
      </c>
      <c r="BH237" s="36">
        <v>0</v>
      </c>
      <c r="BI237" s="36">
        <v>0</v>
      </c>
      <c r="BJ237" s="36">
        <v>0</v>
      </c>
      <c r="BK237" s="36">
        <v>0</v>
      </c>
      <c r="BL237" s="36">
        <v>0</v>
      </c>
      <c r="BM237" s="37">
        <v>0</v>
      </c>
    </row>
    <row r="238" spans="1:65" s="3" customFormat="1" ht="18.5" customHeight="1" x14ac:dyDescent="0.2">
      <c r="A238" s="39">
        <v>25</v>
      </c>
      <c r="B238" s="148">
        <v>1</v>
      </c>
      <c r="C238" s="263">
        <f t="shared" si="4"/>
        <v>1</v>
      </c>
      <c r="E238" s="266"/>
      <c r="F238" s="267"/>
      <c r="P238" s="56">
        <v>2</v>
      </c>
      <c r="Q238" s="56">
        <v>9</v>
      </c>
      <c r="R238" s="35">
        <v>0</v>
      </c>
      <c r="S238" s="36">
        <v>0</v>
      </c>
      <c r="T238" s="36">
        <v>0</v>
      </c>
      <c r="U238" s="36">
        <v>0</v>
      </c>
      <c r="V238" s="36">
        <v>0</v>
      </c>
      <c r="W238" s="36">
        <v>0</v>
      </c>
      <c r="X238" s="36">
        <v>1</v>
      </c>
      <c r="Y238" s="36">
        <v>1</v>
      </c>
      <c r="Z238" s="36">
        <v>1</v>
      </c>
      <c r="AA238" s="36">
        <v>0</v>
      </c>
      <c r="AB238" s="36">
        <v>0</v>
      </c>
      <c r="AC238" s="36">
        <v>0</v>
      </c>
      <c r="AD238" s="36">
        <v>0</v>
      </c>
      <c r="AE238" s="36">
        <v>0</v>
      </c>
      <c r="AF238" s="36">
        <v>0</v>
      </c>
      <c r="AG238" s="36">
        <v>0</v>
      </c>
      <c r="AH238" s="36">
        <v>0</v>
      </c>
      <c r="AI238" s="36">
        <v>0</v>
      </c>
      <c r="AJ238" s="36">
        <v>0</v>
      </c>
      <c r="AK238" s="36">
        <v>0</v>
      </c>
      <c r="AL238" s="36">
        <v>0</v>
      </c>
      <c r="AM238" s="36">
        <v>0</v>
      </c>
      <c r="AN238" s="36">
        <v>0</v>
      </c>
      <c r="AO238" s="36">
        <v>0</v>
      </c>
      <c r="AP238" s="36">
        <v>0</v>
      </c>
      <c r="AQ238" s="36">
        <v>0</v>
      </c>
      <c r="AR238" s="36">
        <v>0</v>
      </c>
      <c r="AS238" s="36">
        <v>0</v>
      </c>
      <c r="AT238" s="36">
        <v>0</v>
      </c>
      <c r="AU238" s="36">
        <v>0</v>
      </c>
      <c r="AV238" s="36">
        <v>0</v>
      </c>
      <c r="AW238" s="36">
        <v>0</v>
      </c>
      <c r="AX238" s="36">
        <v>0</v>
      </c>
      <c r="AY238" s="36">
        <v>0</v>
      </c>
      <c r="AZ238" s="36">
        <v>0</v>
      </c>
      <c r="BA238" s="36">
        <v>0</v>
      </c>
      <c r="BB238" s="36">
        <v>0</v>
      </c>
      <c r="BC238" s="36">
        <v>0</v>
      </c>
      <c r="BD238" s="36">
        <v>0</v>
      </c>
      <c r="BE238" s="36">
        <v>0</v>
      </c>
      <c r="BF238" s="36">
        <v>0</v>
      </c>
      <c r="BG238" s="36">
        <v>0</v>
      </c>
      <c r="BH238" s="36">
        <v>0</v>
      </c>
      <c r="BI238" s="36">
        <v>0</v>
      </c>
      <c r="BJ238" s="36">
        <v>0</v>
      </c>
      <c r="BK238" s="36">
        <v>0</v>
      </c>
      <c r="BL238" s="36">
        <v>0</v>
      </c>
      <c r="BM238" s="37">
        <v>0</v>
      </c>
    </row>
    <row r="239" spans="1:65" s="3" customFormat="1" ht="18.5" customHeight="1" x14ac:dyDescent="0.2">
      <c r="A239" s="39">
        <v>34</v>
      </c>
      <c r="B239" s="148">
        <v>2</v>
      </c>
      <c r="C239" s="263">
        <f t="shared" si="4"/>
        <v>0.5</v>
      </c>
      <c r="E239" s="266"/>
      <c r="F239" s="267"/>
      <c r="P239" s="28">
        <v>3</v>
      </c>
      <c r="Q239" s="28">
        <v>10</v>
      </c>
      <c r="R239" s="35">
        <v>0</v>
      </c>
      <c r="S239" s="36">
        <v>0</v>
      </c>
      <c r="T239" s="36">
        <v>0</v>
      </c>
      <c r="U239" s="36">
        <v>0</v>
      </c>
      <c r="V239" s="36">
        <v>0</v>
      </c>
      <c r="W239" s="36">
        <v>0</v>
      </c>
      <c r="X239" s="36">
        <v>0</v>
      </c>
      <c r="Y239" s="36">
        <v>0</v>
      </c>
      <c r="Z239" s="36">
        <v>0</v>
      </c>
      <c r="AA239" s="36">
        <v>0.33333333333333298</v>
      </c>
      <c r="AB239" s="36">
        <v>0.33333333333333298</v>
      </c>
      <c r="AC239" s="36">
        <v>0.33333333333333298</v>
      </c>
      <c r="AD239" s="36">
        <v>0.33333333333333298</v>
      </c>
      <c r="AE239" s="36">
        <v>0.33333333333333298</v>
      </c>
      <c r="AF239" s="36">
        <v>0.33333333333333298</v>
      </c>
      <c r="AG239" s="36">
        <v>0</v>
      </c>
      <c r="AH239" s="36">
        <v>0</v>
      </c>
      <c r="AI239" s="36">
        <v>0</v>
      </c>
      <c r="AJ239" s="36">
        <v>0</v>
      </c>
      <c r="AK239" s="36">
        <v>0</v>
      </c>
      <c r="AL239" s="36">
        <v>0</v>
      </c>
      <c r="AM239" s="36">
        <v>0</v>
      </c>
      <c r="AN239" s="36">
        <v>0</v>
      </c>
      <c r="AO239" s="36">
        <v>0</v>
      </c>
      <c r="AP239" s="36">
        <v>0</v>
      </c>
      <c r="AQ239" s="36">
        <v>0</v>
      </c>
      <c r="AR239" s="36">
        <v>0</v>
      </c>
      <c r="AS239" s="36">
        <v>0</v>
      </c>
      <c r="AT239" s="36">
        <v>0</v>
      </c>
      <c r="AU239" s="36">
        <v>0</v>
      </c>
      <c r="AV239" s="36">
        <v>0</v>
      </c>
      <c r="AW239" s="36">
        <v>0</v>
      </c>
      <c r="AX239" s="36">
        <v>0</v>
      </c>
      <c r="AY239" s="36">
        <v>0</v>
      </c>
      <c r="AZ239" s="36">
        <v>0</v>
      </c>
      <c r="BA239" s="36">
        <v>0</v>
      </c>
      <c r="BB239" s="36">
        <v>0</v>
      </c>
      <c r="BC239" s="36">
        <v>0</v>
      </c>
      <c r="BD239" s="36">
        <v>0</v>
      </c>
      <c r="BE239" s="36">
        <v>0</v>
      </c>
      <c r="BF239" s="36">
        <v>0</v>
      </c>
      <c r="BG239" s="36">
        <v>0</v>
      </c>
      <c r="BH239" s="36">
        <v>0</v>
      </c>
      <c r="BI239" s="36">
        <v>0</v>
      </c>
      <c r="BJ239" s="36">
        <v>0</v>
      </c>
      <c r="BK239" s="36">
        <v>0</v>
      </c>
      <c r="BL239" s="36">
        <v>0</v>
      </c>
      <c r="BM239" s="37">
        <v>0</v>
      </c>
    </row>
    <row r="240" spans="1:65" s="3" customFormat="1" ht="18.5" customHeight="1" x14ac:dyDescent="0.2">
      <c r="A240" s="56">
        <v>82</v>
      </c>
      <c r="B240" s="157">
        <v>3</v>
      </c>
      <c r="C240" s="264">
        <f t="shared" si="4"/>
        <v>0.33333333333333331</v>
      </c>
      <c r="E240" s="266"/>
      <c r="F240" s="267"/>
      <c r="P240" s="39">
        <v>3</v>
      </c>
      <c r="Q240" s="39">
        <v>11</v>
      </c>
      <c r="R240" s="35">
        <v>0</v>
      </c>
      <c r="S240" s="36">
        <v>0</v>
      </c>
      <c r="T240" s="36">
        <v>0</v>
      </c>
      <c r="U240" s="36">
        <v>0</v>
      </c>
      <c r="V240" s="36">
        <v>0</v>
      </c>
      <c r="W240" s="36">
        <v>0</v>
      </c>
      <c r="X240" s="36">
        <v>0</v>
      </c>
      <c r="Y240" s="36">
        <v>0</v>
      </c>
      <c r="Z240" s="36">
        <v>0</v>
      </c>
      <c r="AA240" s="36">
        <v>0.33333333333333298</v>
      </c>
      <c r="AB240" s="36">
        <v>0.33333333333333298</v>
      </c>
      <c r="AC240" s="36">
        <v>0.33333333333333298</v>
      </c>
      <c r="AD240" s="36">
        <v>0.33333333333333298</v>
      </c>
      <c r="AE240" s="36">
        <v>0.33333333333333298</v>
      </c>
      <c r="AF240" s="36">
        <v>0.33333333333333298</v>
      </c>
      <c r="AG240" s="36">
        <v>0</v>
      </c>
      <c r="AH240" s="36">
        <v>0</v>
      </c>
      <c r="AI240" s="36">
        <v>0</v>
      </c>
      <c r="AJ240" s="36">
        <v>0</v>
      </c>
      <c r="AK240" s="36">
        <v>0</v>
      </c>
      <c r="AL240" s="36">
        <v>0</v>
      </c>
      <c r="AM240" s="36">
        <v>0</v>
      </c>
      <c r="AN240" s="36">
        <v>0</v>
      </c>
      <c r="AO240" s="36">
        <v>0</v>
      </c>
      <c r="AP240" s="36">
        <v>0</v>
      </c>
      <c r="AQ240" s="36">
        <v>0</v>
      </c>
      <c r="AR240" s="36">
        <v>0</v>
      </c>
      <c r="AS240" s="36">
        <v>0</v>
      </c>
      <c r="AT240" s="36">
        <v>0</v>
      </c>
      <c r="AU240" s="36">
        <v>0</v>
      </c>
      <c r="AV240" s="36">
        <v>0</v>
      </c>
      <c r="AW240" s="36">
        <v>0</v>
      </c>
      <c r="AX240" s="36">
        <v>0</v>
      </c>
      <c r="AY240" s="36">
        <v>0</v>
      </c>
      <c r="AZ240" s="36">
        <v>0</v>
      </c>
      <c r="BA240" s="36">
        <v>0</v>
      </c>
      <c r="BB240" s="36">
        <v>0</v>
      </c>
      <c r="BC240" s="36">
        <v>0</v>
      </c>
      <c r="BD240" s="36">
        <v>0</v>
      </c>
      <c r="BE240" s="36">
        <v>0</v>
      </c>
      <c r="BF240" s="36">
        <v>0</v>
      </c>
      <c r="BG240" s="36">
        <v>0</v>
      </c>
      <c r="BH240" s="36">
        <v>0</v>
      </c>
      <c r="BI240" s="36">
        <v>0</v>
      </c>
      <c r="BJ240" s="36">
        <v>0</v>
      </c>
      <c r="BK240" s="36">
        <v>0</v>
      </c>
      <c r="BL240" s="36">
        <v>0</v>
      </c>
      <c r="BM240" s="37">
        <v>0</v>
      </c>
    </row>
    <row r="241" spans="1:65" s="3" customFormat="1" ht="18.5" customHeight="1" x14ac:dyDescent="0.2">
      <c r="A241" s="26" t="s">
        <v>218</v>
      </c>
      <c r="B241" s="28">
        <v>33</v>
      </c>
      <c r="P241" s="39">
        <v>3</v>
      </c>
      <c r="Q241" s="39">
        <v>12</v>
      </c>
      <c r="R241" s="35">
        <v>0</v>
      </c>
      <c r="S241" s="36">
        <v>0</v>
      </c>
      <c r="T241" s="36">
        <v>0</v>
      </c>
      <c r="U241" s="36">
        <v>0</v>
      </c>
      <c r="V241" s="36">
        <v>0</v>
      </c>
      <c r="W241" s="36">
        <v>0</v>
      </c>
      <c r="X241" s="36">
        <v>0</v>
      </c>
      <c r="Y241" s="36">
        <v>0</v>
      </c>
      <c r="Z241" s="36">
        <v>0</v>
      </c>
      <c r="AA241" s="36">
        <v>0.33333333333333298</v>
      </c>
      <c r="AB241" s="36">
        <v>0.33333333333333298</v>
      </c>
      <c r="AC241" s="36">
        <v>0.33333333333333298</v>
      </c>
      <c r="AD241" s="36">
        <v>0.33333333333333298</v>
      </c>
      <c r="AE241" s="36">
        <v>0.33333333333333298</v>
      </c>
      <c r="AF241" s="36">
        <v>0.33333333333333298</v>
      </c>
      <c r="AG241" s="36">
        <v>0</v>
      </c>
      <c r="AH241" s="36">
        <v>0</v>
      </c>
      <c r="AI241" s="36">
        <v>0</v>
      </c>
      <c r="AJ241" s="36">
        <v>0</v>
      </c>
      <c r="AK241" s="36">
        <v>0</v>
      </c>
      <c r="AL241" s="36">
        <v>0</v>
      </c>
      <c r="AM241" s="36">
        <v>0</v>
      </c>
      <c r="AN241" s="36">
        <v>0</v>
      </c>
      <c r="AO241" s="36">
        <v>0</v>
      </c>
      <c r="AP241" s="36">
        <v>0</v>
      </c>
      <c r="AQ241" s="36">
        <v>0</v>
      </c>
      <c r="AR241" s="36">
        <v>0</v>
      </c>
      <c r="AS241" s="36">
        <v>0</v>
      </c>
      <c r="AT241" s="36">
        <v>0</v>
      </c>
      <c r="AU241" s="36">
        <v>0</v>
      </c>
      <c r="AV241" s="36">
        <v>0</v>
      </c>
      <c r="AW241" s="36">
        <v>0</v>
      </c>
      <c r="AX241" s="36">
        <v>0</v>
      </c>
      <c r="AY241" s="36">
        <v>0</v>
      </c>
      <c r="AZ241" s="36">
        <v>0</v>
      </c>
      <c r="BA241" s="36">
        <v>0</v>
      </c>
      <c r="BB241" s="36">
        <v>0</v>
      </c>
      <c r="BC241" s="36">
        <v>0</v>
      </c>
      <c r="BD241" s="36">
        <v>0</v>
      </c>
      <c r="BE241" s="36">
        <v>0</v>
      </c>
      <c r="BF241" s="36">
        <v>0</v>
      </c>
      <c r="BG241" s="36">
        <v>0</v>
      </c>
      <c r="BH241" s="36">
        <v>0</v>
      </c>
      <c r="BI241" s="36">
        <v>0</v>
      </c>
      <c r="BJ241" s="36">
        <v>0</v>
      </c>
      <c r="BK241" s="36">
        <v>0</v>
      </c>
      <c r="BL241" s="36">
        <v>0</v>
      </c>
      <c r="BM241" s="37">
        <v>0</v>
      </c>
    </row>
    <row r="242" spans="1:65" s="3" customFormat="1" ht="18.5" customHeight="1" x14ac:dyDescent="0.2">
      <c r="A242" s="31" t="s">
        <v>219</v>
      </c>
      <c r="B242" s="56">
        <v>3.03030303030303E-2</v>
      </c>
      <c r="P242" s="39">
        <v>3</v>
      </c>
      <c r="Q242" s="39">
        <v>13</v>
      </c>
      <c r="R242" s="35">
        <v>0</v>
      </c>
      <c r="S242" s="36">
        <v>0</v>
      </c>
      <c r="T242" s="36">
        <v>0</v>
      </c>
      <c r="U242" s="36">
        <v>0</v>
      </c>
      <c r="V242" s="36">
        <v>0</v>
      </c>
      <c r="W242" s="36">
        <v>0</v>
      </c>
      <c r="X242" s="36">
        <v>0</v>
      </c>
      <c r="Y242" s="36">
        <v>0</v>
      </c>
      <c r="Z242" s="36">
        <v>0</v>
      </c>
      <c r="AA242" s="36">
        <v>0.33333333333333298</v>
      </c>
      <c r="AB242" s="36">
        <v>0.33333333333333298</v>
      </c>
      <c r="AC242" s="36">
        <v>0.33333333333333298</v>
      </c>
      <c r="AD242" s="36">
        <v>0.33333333333333298</v>
      </c>
      <c r="AE242" s="36">
        <v>0.33333333333333298</v>
      </c>
      <c r="AF242" s="36">
        <v>0.33333333333333298</v>
      </c>
      <c r="AG242" s="36">
        <v>0</v>
      </c>
      <c r="AH242" s="36">
        <v>0</v>
      </c>
      <c r="AI242" s="36">
        <v>0</v>
      </c>
      <c r="AJ242" s="36">
        <v>0</v>
      </c>
      <c r="AK242" s="36">
        <v>0</v>
      </c>
      <c r="AL242" s="36">
        <v>0</v>
      </c>
      <c r="AM242" s="36">
        <v>0</v>
      </c>
      <c r="AN242" s="36">
        <v>0</v>
      </c>
      <c r="AO242" s="36">
        <v>0</v>
      </c>
      <c r="AP242" s="36">
        <v>0</v>
      </c>
      <c r="AQ242" s="36">
        <v>0</v>
      </c>
      <c r="AR242" s="36">
        <v>0</v>
      </c>
      <c r="AS242" s="36">
        <v>0</v>
      </c>
      <c r="AT242" s="36">
        <v>0</v>
      </c>
      <c r="AU242" s="36">
        <v>0</v>
      </c>
      <c r="AV242" s="36">
        <v>0</v>
      </c>
      <c r="AW242" s="36">
        <v>0</v>
      </c>
      <c r="AX242" s="36">
        <v>0</v>
      </c>
      <c r="AY242" s="36">
        <v>0</v>
      </c>
      <c r="AZ242" s="36">
        <v>0</v>
      </c>
      <c r="BA242" s="36">
        <v>0</v>
      </c>
      <c r="BB242" s="36">
        <v>0</v>
      </c>
      <c r="BC242" s="36">
        <v>0</v>
      </c>
      <c r="BD242" s="36">
        <v>0</v>
      </c>
      <c r="BE242" s="36">
        <v>0</v>
      </c>
      <c r="BF242" s="36">
        <v>0</v>
      </c>
      <c r="BG242" s="36">
        <v>0</v>
      </c>
      <c r="BH242" s="36">
        <v>0</v>
      </c>
      <c r="BI242" s="36">
        <v>0</v>
      </c>
      <c r="BJ242" s="36">
        <v>0</v>
      </c>
      <c r="BK242" s="36">
        <v>0</v>
      </c>
      <c r="BL242" s="36">
        <v>0</v>
      </c>
      <c r="BM242" s="37">
        <v>0</v>
      </c>
    </row>
    <row r="243" spans="1:65" s="3" customFormat="1" ht="18.5" customHeight="1" x14ac:dyDescent="0.2">
      <c r="P243" s="39">
        <v>3</v>
      </c>
      <c r="Q243" s="39">
        <v>14</v>
      </c>
      <c r="R243" s="35">
        <v>0</v>
      </c>
      <c r="S243" s="36">
        <v>0</v>
      </c>
      <c r="T243" s="36">
        <v>0</v>
      </c>
      <c r="U243" s="36">
        <v>0</v>
      </c>
      <c r="V243" s="36">
        <v>0</v>
      </c>
      <c r="W243" s="36">
        <v>0</v>
      </c>
      <c r="X243" s="36">
        <v>0</v>
      </c>
      <c r="Y243" s="36">
        <v>0</v>
      </c>
      <c r="Z243" s="36">
        <v>0</v>
      </c>
      <c r="AA243" s="36">
        <v>0.33333333333333298</v>
      </c>
      <c r="AB243" s="36">
        <v>0.33333333333333298</v>
      </c>
      <c r="AC243" s="36">
        <v>0.33333333333333298</v>
      </c>
      <c r="AD243" s="36">
        <v>0.33333333333333298</v>
      </c>
      <c r="AE243" s="36">
        <v>0.33333333333333298</v>
      </c>
      <c r="AF243" s="36">
        <v>0.33333333333333298</v>
      </c>
      <c r="AG243" s="36">
        <v>0</v>
      </c>
      <c r="AH243" s="36">
        <v>0</v>
      </c>
      <c r="AI243" s="36">
        <v>0</v>
      </c>
      <c r="AJ243" s="36">
        <v>0</v>
      </c>
      <c r="AK243" s="36">
        <v>0</v>
      </c>
      <c r="AL243" s="36">
        <v>0</v>
      </c>
      <c r="AM243" s="36">
        <v>0</v>
      </c>
      <c r="AN243" s="36">
        <v>0</v>
      </c>
      <c r="AO243" s="36">
        <v>0</v>
      </c>
      <c r="AP243" s="36">
        <v>0</v>
      </c>
      <c r="AQ243" s="36">
        <v>0</v>
      </c>
      <c r="AR243" s="36">
        <v>0</v>
      </c>
      <c r="AS243" s="36">
        <v>0</v>
      </c>
      <c r="AT243" s="36">
        <v>0</v>
      </c>
      <c r="AU243" s="36">
        <v>0</v>
      </c>
      <c r="AV243" s="36">
        <v>0</v>
      </c>
      <c r="AW243" s="36">
        <v>0</v>
      </c>
      <c r="AX243" s="36">
        <v>0</v>
      </c>
      <c r="AY243" s="36">
        <v>0</v>
      </c>
      <c r="AZ243" s="36">
        <v>0</v>
      </c>
      <c r="BA243" s="36">
        <v>0</v>
      </c>
      <c r="BB243" s="36">
        <v>0</v>
      </c>
      <c r="BC243" s="36">
        <v>0</v>
      </c>
      <c r="BD243" s="36">
        <v>0</v>
      </c>
      <c r="BE243" s="36">
        <v>0</v>
      </c>
      <c r="BF243" s="36">
        <v>0</v>
      </c>
      <c r="BG243" s="36">
        <v>0</v>
      </c>
      <c r="BH243" s="36">
        <v>0</v>
      </c>
      <c r="BI243" s="36">
        <v>0</v>
      </c>
      <c r="BJ243" s="36">
        <v>0</v>
      </c>
      <c r="BK243" s="36">
        <v>0</v>
      </c>
      <c r="BL243" s="36">
        <v>0</v>
      </c>
      <c r="BM243" s="37">
        <v>0</v>
      </c>
    </row>
    <row r="244" spans="1:65" s="3" customFormat="1" ht="18.5" customHeight="1" x14ac:dyDescent="0.2">
      <c r="P244" s="56">
        <v>3</v>
      </c>
      <c r="Q244" s="56">
        <v>15</v>
      </c>
      <c r="R244" s="35">
        <v>0</v>
      </c>
      <c r="S244" s="36">
        <v>0</v>
      </c>
      <c r="T244" s="36">
        <v>0</v>
      </c>
      <c r="U244" s="36">
        <v>0</v>
      </c>
      <c r="V244" s="36">
        <v>0</v>
      </c>
      <c r="W244" s="36">
        <v>0</v>
      </c>
      <c r="X244" s="36">
        <v>0</v>
      </c>
      <c r="Y244" s="36">
        <v>0</v>
      </c>
      <c r="Z244" s="36">
        <v>0</v>
      </c>
      <c r="AA244" s="36">
        <v>0.33333333333333298</v>
      </c>
      <c r="AB244" s="36">
        <v>0.33333333333333298</v>
      </c>
      <c r="AC244" s="36">
        <v>0.33333333333333298</v>
      </c>
      <c r="AD244" s="36">
        <v>0.33333333333333298</v>
      </c>
      <c r="AE244" s="36">
        <v>0.33333333333333298</v>
      </c>
      <c r="AF244" s="36">
        <v>0.33333333333333298</v>
      </c>
      <c r="AG244" s="36">
        <v>0</v>
      </c>
      <c r="AH244" s="36">
        <v>0</v>
      </c>
      <c r="AI244" s="36">
        <v>0</v>
      </c>
      <c r="AJ244" s="36">
        <v>0</v>
      </c>
      <c r="AK244" s="36">
        <v>0</v>
      </c>
      <c r="AL244" s="36">
        <v>0</v>
      </c>
      <c r="AM244" s="36">
        <v>0</v>
      </c>
      <c r="AN244" s="36">
        <v>0</v>
      </c>
      <c r="AO244" s="36">
        <v>0</v>
      </c>
      <c r="AP244" s="36">
        <v>0</v>
      </c>
      <c r="AQ244" s="36">
        <v>0</v>
      </c>
      <c r="AR244" s="36">
        <v>0</v>
      </c>
      <c r="AS244" s="36">
        <v>0</v>
      </c>
      <c r="AT244" s="36">
        <v>0</v>
      </c>
      <c r="AU244" s="36">
        <v>0</v>
      </c>
      <c r="AV244" s="36">
        <v>0</v>
      </c>
      <c r="AW244" s="36">
        <v>0</v>
      </c>
      <c r="AX244" s="36">
        <v>0</v>
      </c>
      <c r="AY244" s="36">
        <v>0</v>
      </c>
      <c r="AZ244" s="36">
        <v>0</v>
      </c>
      <c r="BA244" s="36">
        <v>0</v>
      </c>
      <c r="BB244" s="36">
        <v>0</v>
      </c>
      <c r="BC244" s="36">
        <v>0</v>
      </c>
      <c r="BD244" s="36">
        <v>0</v>
      </c>
      <c r="BE244" s="36">
        <v>0</v>
      </c>
      <c r="BF244" s="36">
        <v>0</v>
      </c>
      <c r="BG244" s="36">
        <v>0</v>
      </c>
      <c r="BH244" s="36">
        <v>0</v>
      </c>
      <c r="BI244" s="36">
        <v>0</v>
      </c>
      <c r="BJ244" s="36">
        <v>0</v>
      </c>
      <c r="BK244" s="36">
        <v>0</v>
      </c>
      <c r="BL244" s="36">
        <v>0</v>
      </c>
      <c r="BM244" s="37">
        <v>0</v>
      </c>
    </row>
    <row r="245" spans="1:65" s="3" customFormat="1" ht="18.5" customHeight="1" x14ac:dyDescent="0.2">
      <c r="P245" s="28">
        <v>4</v>
      </c>
      <c r="Q245" s="28">
        <v>16</v>
      </c>
      <c r="R245" s="35">
        <v>0</v>
      </c>
      <c r="S245" s="36">
        <v>0</v>
      </c>
      <c r="T245" s="36">
        <v>0</v>
      </c>
      <c r="U245" s="36">
        <v>0</v>
      </c>
      <c r="V245" s="36">
        <v>0</v>
      </c>
      <c r="W245" s="36">
        <v>0</v>
      </c>
      <c r="X245" s="36">
        <v>0</v>
      </c>
      <c r="Y245" s="36">
        <v>0</v>
      </c>
      <c r="Z245" s="36">
        <v>0</v>
      </c>
      <c r="AA245" s="36">
        <v>0</v>
      </c>
      <c r="AB245" s="36">
        <v>0</v>
      </c>
      <c r="AC245" s="36">
        <v>0</v>
      </c>
      <c r="AD245" s="36">
        <v>0</v>
      </c>
      <c r="AE245" s="36">
        <v>0</v>
      </c>
      <c r="AF245" s="36">
        <v>0</v>
      </c>
      <c r="AG245" s="36">
        <v>1</v>
      </c>
      <c r="AH245" s="36">
        <v>1</v>
      </c>
      <c r="AI245" s="36">
        <v>1</v>
      </c>
      <c r="AJ245" s="36">
        <v>1</v>
      </c>
      <c r="AK245" s="36">
        <v>1</v>
      </c>
      <c r="AL245" s="36">
        <v>1</v>
      </c>
      <c r="AM245" s="36">
        <v>1</v>
      </c>
      <c r="AN245" s="36">
        <v>0</v>
      </c>
      <c r="AO245" s="36">
        <v>0</v>
      </c>
      <c r="AP245" s="36">
        <v>0</v>
      </c>
      <c r="AQ245" s="36">
        <v>0</v>
      </c>
      <c r="AR245" s="36">
        <v>0</v>
      </c>
      <c r="AS245" s="36">
        <v>0</v>
      </c>
      <c r="AT245" s="36">
        <v>0</v>
      </c>
      <c r="AU245" s="36">
        <v>0</v>
      </c>
      <c r="AV245" s="36">
        <v>0</v>
      </c>
      <c r="AW245" s="36">
        <v>0</v>
      </c>
      <c r="AX245" s="36">
        <v>0</v>
      </c>
      <c r="AY245" s="36">
        <v>0</v>
      </c>
      <c r="AZ245" s="36">
        <v>0</v>
      </c>
      <c r="BA245" s="36">
        <v>0</v>
      </c>
      <c r="BB245" s="36">
        <v>0</v>
      </c>
      <c r="BC245" s="36">
        <v>0</v>
      </c>
      <c r="BD245" s="36">
        <v>0</v>
      </c>
      <c r="BE245" s="36">
        <v>0</v>
      </c>
      <c r="BF245" s="36">
        <v>0</v>
      </c>
      <c r="BG245" s="36">
        <v>0</v>
      </c>
      <c r="BH245" s="36">
        <v>0</v>
      </c>
      <c r="BI245" s="36">
        <v>0</v>
      </c>
      <c r="BJ245" s="36">
        <v>0</v>
      </c>
      <c r="BK245" s="36">
        <v>0</v>
      </c>
      <c r="BL245" s="36">
        <v>0</v>
      </c>
      <c r="BM245" s="37">
        <v>0</v>
      </c>
    </row>
    <row r="246" spans="1:65" s="3" customFormat="1" ht="18" customHeight="1" x14ac:dyDescent="0.2">
      <c r="P246" s="39">
        <v>4</v>
      </c>
      <c r="Q246" s="39">
        <v>17</v>
      </c>
      <c r="R246" s="35">
        <v>0</v>
      </c>
      <c r="S246" s="36">
        <v>0</v>
      </c>
      <c r="T246" s="36">
        <v>0</v>
      </c>
      <c r="U246" s="36">
        <v>0</v>
      </c>
      <c r="V246" s="36">
        <v>0</v>
      </c>
      <c r="W246" s="36">
        <v>0</v>
      </c>
      <c r="X246" s="36">
        <v>0</v>
      </c>
      <c r="Y246" s="36">
        <v>0</v>
      </c>
      <c r="Z246" s="36">
        <v>0</v>
      </c>
      <c r="AA246" s="36">
        <v>0</v>
      </c>
      <c r="AB246" s="36">
        <v>0</v>
      </c>
      <c r="AC246" s="36">
        <v>0</v>
      </c>
      <c r="AD246" s="36">
        <v>0</v>
      </c>
      <c r="AE246" s="36">
        <v>0</v>
      </c>
      <c r="AF246" s="36">
        <v>0</v>
      </c>
      <c r="AG246" s="36">
        <v>1</v>
      </c>
      <c r="AH246" s="36">
        <v>1</v>
      </c>
      <c r="AI246" s="36">
        <v>1</v>
      </c>
      <c r="AJ246" s="36">
        <v>1</v>
      </c>
      <c r="AK246" s="36">
        <v>1</v>
      </c>
      <c r="AL246" s="36">
        <v>1</v>
      </c>
      <c r="AM246" s="36">
        <v>1</v>
      </c>
      <c r="AN246" s="36">
        <v>0</v>
      </c>
      <c r="AO246" s="36">
        <v>0</v>
      </c>
      <c r="AP246" s="36">
        <v>0</v>
      </c>
      <c r="AQ246" s="36">
        <v>0</v>
      </c>
      <c r="AR246" s="36">
        <v>0</v>
      </c>
      <c r="AS246" s="36">
        <v>0</v>
      </c>
      <c r="AT246" s="36">
        <v>0</v>
      </c>
      <c r="AU246" s="36">
        <v>0</v>
      </c>
      <c r="AV246" s="36">
        <v>0</v>
      </c>
      <c r="AW246" s="36">
        <v>0</v>
      </c>
      <c r="AX246" s="36">
        <v>0</v>
      </c>
      <c r="AY246" s="36">
        <v>0</v>
      </c>
      <c r="AZ246" s="36">
        <v>0</v>
      </c>
      <c r="BA246" s="36">
        <v>0</v>
      </c>
      <c r="BB246" s="36">
        <v>0</v>
      </c>
      <c r="BC246" s="36">
        <v>0</v>
      </c>
      <c r="BD246" s="36">
        <v>0</v>
      </c>
      <c r="BE246" s="36">
        <v>0</v>
      </c>
      <c r="BF246" s="36">
        <v>0</v>
      </c>
      <c r="BG246" s="36">
        <v>0</v>
      </c>
      <c r="BH246" s="36">
        <v>0</v>
      </c>
      <c r="BI246" s="36">
        <v>0</v>
      </c>
      <c r="BJ246" s="36">
        <v>0</v>
      </c>
      <c r="BK246" s="36">
        <v>0</v>
      </c>
      <c r="BL246" s="36">
        <v>0</v>
      </c>
      <c r="BM246" s="37">
        <v>0</v>
      </c>
    </row>
    <row r="247" spans="1:65" s="3" customFormat="1" ht="18" customHeight="1" x14ac:dyDescent="0.2">
      <c r="P247" s="39">
        <v>4</v>
      </c>
      <c r="Q247" s="39">
        <v>18</v>
      </c>
      <c r="R247" s="35">
        <v>0</v>
      </c>
      <c r="S247" s="36">
        <v>0</v>
      </c>
      <c r="T247" s="36">
        <v>0</v>
      </c>
      <c r="U247" s="36">
        <v>0</v>
      </c>
      <c r="V247" s="36">
        <v>0</v>
      </c>
      <c r="W247" s="36">
        <v>0</v>
      </c>
      <c r="X247" s="36">
        <v>0</v>
      </c>
      <c r="Y247" s="36">
        <v>0</v>
      </c>
      <c r="Z247" s="36">
        <v>0</v>
      </c>
      <c r="AA247" s="36">
        <v>0</v>
      </c>
      <c r="AB247" s="36">
        <v>0</v>
      </c>
      <c r="AC247" s="36">
        <v>0</v>
      </c>
      <c r="AD247" s="36">
        <v>0</v>
      </c>
      <c r="AE247" s="36">
        <v>0</v>
      </c>
      <c r="AF247" s="36">
        <v>0</v>
      </c>
      <c r="AG247" s="36">
        <v>1</v>
      </c>
      <c r="AH247" s="36">
        <v>1</v>
      </c>
      <c r="AI247" s="36">
        <v>1</v>
      </c>
      <c r="AJ247" s="36">
        <v>1</v>
      </c>
      <c r="AK247" s="36">
        <v>1</v>
      </c>
      <c r="AL247" s="36">
        <v>1</v>
      </c>
      <c r="AM247" s="36">
        <v>1</v>
      </c>
      <c r="AN247" s="36">
        <v>0</v>
      </c>
      <c r="AO247" s="36">
        <v>0</v>
      </c>
      <c r="AP247" s="36">
        <v>0</v>
      </c>
      <c r="AQ247" s="36">
        <v>0</v>
      </c>
      <c r="AR247" s="36">
        <v>0</v>
      </c>
      <c r="AS247" s="36">
        <v>0</v>
      </c>
      <c r="AT247" s="36">
        <v>0</v>
      </c>
      <c r="AU247" s="36">
        <v>0</v>
      </c>
      <c r="AV247" s="36">
        <v>0</v>
      </c>
      <c r="AW247" s="36">
        <v>0</v>
      </c>
      <c r="AX247" s="36">
        <v>0</v>
      </c>
      <c r="AY247" s="36">
        <v>0</v>
      </c>
      <c r="AZ247" s="36">
        <v>0</v>
      </c>
      <c r="BA247" s="36">
        <v>0</v>
      </c>
      <c r="BB247" s="36">
        <v>0</v>
      </c>
      <c r="BC247" s="36">
        <v>0</v>
      </c>
      <c r="BD247" s="36">
        <v>0</v>
      </c>
      <c r="BE247" s="36">
        <v>0</v>
      </c>
      <c r="BF247" s="36">
        <v>0</v>
      </c>
      <c r="BG247" s="36">
        <v>0</v>
      </c>
      <c r="BH247" s="36">
        <v>0</v>
      </c>
      <c r="BI247" s="36">
        <v>0</v>
      </c>
      <c r="BJ247" s="36">
        <v>0</v>
      </c>
      <c r="BK247" s="36">
        <v>0</v>
      </c>
      <c r="BL247" s="36">
        <v>0</v>
      </c>
      <c r="BM247" s="37">
        <v>0</v>
      </c>
    </row>
    <row r="248" spans="1:65" s="3" customFormat="1" ht="18" customHeight="1" x14ac:dyDescent="0.2">
      <c r="P248" s="39">
        <v>4</v>
      </c>
      <c r="Q248" s="39">
        <v>19</v>
      </c>
      <c r="R248" s="35">
        <v>0</v>
      </c>
      <c r="S248" s="36">
        <v>0</v>
      </c>
      <c r="T248" s="36">
        <v>0</v>
      </c>
      <c r="U248" s="36">
        <v>0</v>
      </c>
      <c r="V248" s="36">
        <v>0</v>
      </c>
      <c r="W248" s="36">
        <v>0</v>
      </c>
      <c r="X248" s="36">
        <v>0</v>
      </c>
      <c r="Y248" s="36">
        <v>0</v>
      </c>
      <c r="Z248" s="36">
        <v>0</v>
      </c>
      <c r="AA248" s="36">
        <v>0</v>
      </c>
      <c r="AB248" s="36">
        <v>0</v>
      </c>
      <c r="AC248" s="36">
        <v>0</v>
      </c>
      <c r="AD248" s="36">
        <v>0</v>
      </c>
      <c r="AE248" s="36">
        <v>0</v>
      </c>
      <c r="AF248" s="36">
        <v>0</v>
      </c>
      <c r="AG248" s="36">
        <v>1</v>
      </c>
      <c r="AH248" s="36">
        <v>1</v>
      </c>
      <c r="AI248" s="36">
        <v>1</v>
      </c>
      <c r="AJ248" s="36">
        <v>1</v>
      </c>
      <c r="AK248" s="36">
        <v>1</v>
      </c>
      <c r="AL248" s="36">
        <v>1</v>
      </c>
      <c r="AM248" s="36">
        <v>1</v>
      </c>
      <c r="AN248" s="36">
        <v>0</v>
      </c>
      <c r="AO248" s="36">
        <v>0</v>
      </c>
      <c r="AP248" s="36">
        <v>0</v>
      </c>
      <c r="AQ248" s="36">
        <v>0</v>
      </c>
      <c r="AR248" s="36">
        <v>0</v>
      </c>
      <c r="AS248" s="36">
        <v>0</v>
      </c>
      <c r="AT248" s="36">
        <v>0</v>
      </c>
      <c r="AU248" s="36">
        <v>0</v>
      </c>
      <c r="AV248" s="36">
        <v>0</v>
      </c>
      <c r="AW248" s="36">
        <v>0</v>
      </c>
      <c r="AX248" s="36">
        <v>0</v>
      </c>
      <c r="AY248" s="36">
        <v>0</v>
      </c>
      <c r="AZ248" s="36">
        <v>0</v>
      </c>
      <c r="BA248" s="36">
        <v>0</v>
      </c>
      <c r="BB248" s="36">
        <v>0</v>
      </c>
      <c r="BC248" s="36">
        <v>0</v>
      </c>
      <c r="BD248" s="36">
        <v>0</v>
      </c>
      <c r="BE248" s="36">
        <v>0</v>
      </c>
      <c r="BF248" s="36">
        <v>0</v>
      </c>
      <c r="BG248" s="36">
        <v>0</v>
      </c>
      <c r="BH248" s="36">
        <v>0</v>
      </c>
      <c r="BI248" s="36">
        <v>0</v>
      </c>
      <c r="BJ248" s="36">
        <v>0</v>
      </c>
      <c r="BK248" s="36">
        <v>0</v>
      </c>
      <c r="BL248" s="36">
        <v>0</v>
      </c>
      <c r="BM248" s="37">
        <v>0</v>
      </c>
    </row>
    <row r="249" spans="1:65" s="3" customFormat="1" ht="18" customHeight="1" x14ac:dyDescent="0.2">
      <c r="P249" s="39">
        <v>4</v>
      </c>
      <c r="Q249" s="39">
        <v>20</v>
      </c>
      <c r="R249" s="35">
        <v>0</v>
      </c>
      <c r="S249" s="36">
        <v>0</v>
      </c>
      <c r="T249" s="36">
        <v>0</v>
      </c>
      <c r="U249" s="36">
        <v>0</v>
      </c>
      <c r="V249" s="36">
        <v>0</v>
      </c>
      <c r="W249" s="36">
        <v>0</v>
      </c>
      <c r="X249" s="36">
        <v>0</v>
      </c>
      <c r="Y249" s="36">
        <v>0</v>
      </c>
      <c r="Z249" s="36">
        <v>0</v>
      </c>
      <c r="AA249" s="36">
        <v>0</v>
      </c>
      <c r="AB249" s="36">
        <v>0</v>
      </c>
      <c r="AC249" s="36">
        <v>0</v>
      </c>
      <c r="AD249" s="36">
        <v>0</v>
      </c>
      <c r="AE249" s="36">
        <v>0</v>
      </c>
      <c r="AF249" s="36">
        <v>0</v>
      </c>
      <c r="AG249" s="36">
        <v>1</v>
      </c>
      <c r="AH249" s="36">
        <v>1</v>
      </c>
      <c r="AI249" s="36">
        <v>1</v>
      </c>
      <c r="AJ249" s="36">
        <v>1</v>
      </c>
      <c r="AK249" s="36">
        <v>1</v>
      </c>
      <c r="AL249" s="36">
        <v>1</v>
      </c>
      <c r="AM249" s="36">
        <v>1</v>
      </c>
      <c r="AN249" s="36">
        <v>0</v>
      </c>
      <c r="AO249" s="36">
        <v>0</v>
      </c>
      <c r="AP249" s="36">
        <v>0</v>
      </c>
      <c r="AQ249" s="36">
        <v>0</v>
      </c>
      <c r="AR249" s="36">
        <v>0</v>
      </c>
      <c r="AS249" s="36">
        <v>0</v>
      </c>
      <c r="AT249" s="36">
        <v>0</v>
      </c>
      <c r="AU249" s="36">
        <v>0</v>
      </c>
      <c r="AV249" s="36">
        <v>0</v>
      </c>
      <c r="AW249" s="36">
        <v>0</v>
      </c>
      <c r="AX249" s="36">
        <v>0</v>
      </c>
      <c r="AY249" s="36">
        <v>0</v>
      </c>
      <c r="AZ249" s="36">
        <v>0</v>
      </c>
      <c r="BA249" s="36">
        <v>0</v>
      </c>
      <c r="BB249" s="36">
        <v>0</v>
      </c>
      <c r="BC249" s="36">
        <v>0</v>
      </c>
      <c r="BD249" s="36">
        <v>0</v>
      </c>
      <c r="BE249" s="36">
        <v>0</v>
      </c>
      <c r="BF249" s="36">
        <v>0</v>
      </c>
      <c r="BG249" s="36">
        <v>0</v>
      </c>
      <c r="BH249" s="36">
        <v>0</v>
      </c>
      <c r="BI249" s="36">
        <v>0</v>
      </c>
      <c r="BJ249" s="36">
        <v>0</v>
      </c>
      <c r="BK249" s="36">
        <v>0</v>
      </c>
      <c r="BL249" s="36">
        <v>0</v>
      </c>
      <c r="BM249" s="37">
        <v>0</v>
      </c>
    </row>
    <row r="250" spans="1:65" s="3" customFormat="1" ht="18" customHeight="1" x14ac:dyDescent="0.2">
      <c r="P250" s="39">
        <v>4</v>
      </c>
      <c r="Q250" s="39">
        <v>21</v>
      </c>
      <c r="R250" s="35">
        <v>0</v>
      </c>
      <c r="S250" s="36">
        <v>0</v>
      </c>
      <c r="T250" s="36">
        <v>0</v>
      </c>
      <c r="U250" s="36">
        <v>0</v>
      </c>
      <c r="V250" s="36">
        <v>0</v>
      </c>
      <c r="W250" s="36">
        <v>0</v>
      </c>
      <c r="X250" s="36">
        <v>0</v>
      </c>
      <c r="Y250" s="36">
        <v>0</v>
      </c>
      <c r="Z250" s="36">
        <v>0</v>
      </c>
      <c r="AA250" s="36">
        <v>0</v>
      </c>
      <c r="AB250" s="36">
        <v>0</v>
      </c>
      <c r="AC250" s="36">
        <v>0</v>
      </c>
      <c r="AD250" s="36">
        <v>0</v>
      </c>
      <c r="AE250" s="36">
        <v>0</v>
      </c>
      <c r="AF250" s="36">
        <v>0</v>
      </c>
      <c r="AG250" s="36">
        <v>1</v>
      </c>
      <c r="AH250" s="36">
        <v>1</v>
      </c>
      <c r="AI250" s="36">
        <v>1</v>
      </c>
      <c r="AJ250" s="36">
        <v>1</v>
      </c>
      <c r="AK250" s="36">
        <v>1</v>
      </c>
      <c r="AL250" s="36">
        <v>1</v>
      </c>
      <c r="AM250" s="36">
        <v>1</v>
      </c>
      <c r="AN250" s="36">
        <v>0</v>
      </c>
      <c r="AO250" s="36">
        <v>0</v>
      </c>
      <c r="AP250" s="36">
        <v>0</v>
      </c>
      <c r="AQ250" s="36">
        <v>0</v>
      </c>
      <c r="AR250" s="36">
        <v>0</v>
      </c>
      <c r="AS250" s="36">
        <v>0</v>
      </c>
      <c r="AT250" s="36">
        <v>0</v>
      </c>
      <c r="AU250" s="36">
        <v>0</v>
      </c>
      <c r="AV250" s="36">
        <v>0</v>
      </c>
      <c r="AW250" s="36">
        <v>0</v>
      </c>
      <c r="AX250" s="36">
        <v>0</v>
      </c>
      <c r="AY250" s="36">
        <v>0</v>
      </c>
      <c r="AZ250" s="36">
        <v>0</v>
      </c>
      <c r="BA250" s="36">
        <v>0</v>
      </c>
      <c r="BB250" s="36">
        <v>0</v>
      </c>
      <c r="BC250" s="36">
        <v>0</v>
      </c>
      <c r="BD250" s="36">
        <v>0</v>
      </c>
      <c r="BE250" s="36">
        <v>0</v>
      </c>
      <c r="BF250" s="36">
        <v>0</v>
      </c>
      <c r="BG250" s="36">
        <v>0</v>
      </c>
      <c r="BH250" s="36">
        <v>0</v>
      </c>
      <c r="BI250" s="36">
        <v>0</v>
      </c>
      <c r="BJ250" s="36">
        <v>0</v>
      </c>
      <c r="BK250" s="36">
        <v>0</v>
      </c>
      <c r="BL250" s="36">
        <v>0</v>
      </c>
      <c r="BM250" s="37">
        <v>0</v>
      </c>
    </row>
    <row r="251" spans="1:65" s="3" customFormat="1" ht="18.5" customHeight="1" x14ac:dyDescent="0.2">
      <c r="P251" s="56">
        <v>4</v>
      </c>
      <c r="Q251" s="56">
        <v>22</v>
      </c>
      <c r="R251" s="35">
        <v>0</v>
      </c>
      <c r="S251" s="36">
        <v>0</v>
      </c>
      <c r="T251" s="36">
        <v>0</v>
      </c>
      <c r="U251" s="36">
        <v>0</v>
      </c>
      <c r="V251" s="36">
        <v>0</v>
      </c>
      <c r="W251" s="36">
        <v>0</v>
      </c>
      <c r="X251" s="36">
        <v>0</v>
      </c>
      <c r="Y251" s="36">
        <v>0</v>
      </c>
      <c r="Z251" s="36">
        <v>0</v>
      </c>
      <c r="AA251" s="36">
        <v>0</v>
      </c>
      <c r="AB251" s="36">
        <v>0</v>
      </c>
      <c r="AC251" s="36">
        <v>0</v>
      </c>
      <c r="AD251" s="36">
        <v>0</v>
      </c>
      <c r="AE251" s="36">
        <v>0</v>
      </c>
      <c r="AF251" s="36">
        <v>0</v>
      </c>
      <c r="AG251" s="36">
        <v>1</v>
      </c>
      <c r="AH251" s="36">
        <v>1</v>
      </c>
      <c r="AI251" s="36">
        <v>1</v>
      </c>
      <c r="AJ251" s="36">
        <v>1</v>
      </c>
      <c r="AK251" s="36">
        <v>1</v>
      </c>
      <c r="AL251" s="36">
        <v>1</v>
      </c>
      <c r="AM251" s="36">
        <v>1</v>
      </c>
      <c r="AN251" s="36">
        <v>0</v>
      </c>
      <c r="AO251" s="36">
        <v>0</v>
      </c>
      <c r="AP251" s="36">
        <v>0</v>
      </c>
      <c r="AQ251" s="36">
        <v>0</v>
      </c>
      <c r="AR251" s="36">
        <v>0</v>
      </c>
      <c r="AS251" s="36">
        <v>0</v>
      </c>
      <c r="AT251" s="36">
        <v>0</v>
      </c>
      <c r="AU251" s="36">
        <v>0</v>
      </c>
      <c r="AV251" s="36">
        <v>0</v>
      </c>
      <c r="AW251" s="36">
        <v>0</v>
      </c>
      <c r="AX251" s="36">
        <v>0</v>
      </c>
      <c r="AY251" s="36">
        <v>0</v>
      </c>
      <c r="AZ251" s="36">
        <v>0</v>
      </c>
      <c r="BA251" s="36">
        <v>0</v>
      </c>
      <c r="BB251" s="36">
        <v>0</v>
      </c>
      <c r="BC251" s="36">
        <v>0</v>
      </c>
      <c r="BD251" s="36">
        <v>0</v>
      </c>
      <c r="BE251" s="36">
        <v>0</v>
      </c>
      <c r="BF251" s="36">
        <v>0</v>
      </c>
      <c r="BG251" s="36">
        <v>0</v>
      </c>
      <c r="BH251" s="36">
        <v>0</v>
      </c>
      <c r="BI251" s="36">
        <v>0</v>
      </c>
      <c r="BJ251" s="36">
        <v>0</v>
      </c>
      <c r="BK251" s="36">
        <v>0</v>
      </c>
      <c r="BL251" s="36">
        <v>0</v>
      </c>
      <c r="BM251" s="37">
        <v>0</v>
      </c>
    </row>
    <row r="252" spans="1:65" s="3" customFormat="1" ht="18.5" customHeight="1" x14ac:dyDescent="0.2">
      <c r="P252" s="28">
        <v>6</v>
      </c>
      <c r="Q252" s="28">
        <v>23</v>
      </c>
      <c r="R252" s="35">
        <v>0</v>
      </c>
      <c r="S252" s="36">
        <v>0</v>
      </c>
      <c r="T252" s="36">
        <v>0</v>
      </c>
      <c r="U252" s="36">
        <v>0</v>
      </c>
      <c r="V252" s="36">
        <v>0</v>
      </c>
      <c r="W252" s="36">
        <v>0</v>
      </c>
      <c r="X252" s="36">
        <v>0</v>
      </c>
      <c r="Y252" s="36">
        <v>0</v>
      </c>
      <c r="Z252" s="36">
        <v>0</v>
      </c>
      <c r="AA252" s="36">
        <v>0</v>
      </c>
      <c r="AB252" s="36">
        <v>0</v>
      </c>
      <c r="AC252" s="36">
        <v>0</v>
      </c>
      <c r="AD252" s="36">
        <v>0</v>
      </c>
      <c r="AE252" s="36">
        <v>0</v>
      </c>
      <c r="AF252" s="36">
        <v>0</v>
      </c>
      <c r="AG252" s="36">
        <v>0</v>
      </c>
      <c r="AH252" s="36">
        <v>0</v>
      </c>
      <c r="AI252" s="36">
        <v>0</v>
      </c>
      <c r="AJ252" s="36">
        <v>0</v>
      </c>
      <c r="AK252" s="36">
        <v>0</v>
      </c>
      <c r="AL252" s="36">
        <v>0</v>
      </c>
      <c r="AM252" s="36">
        <v>0</v>
      </c>
      <c r="AN252" s="36">
        <v>0.33333333333333298</v>
      </c>
      <c r="AO252" s="36">
        <v>0.33333333333333298</v>
      </c>
      <c r="AP252" s="36">
        <v>0.33333333333333298</v>
      </c>
      <c r="AQ252" s="36">
        <v>0.33333333333333298</v>
      </c>
      <c r="AR252" s="36">
        <v>0.33333333333333298</v>
      </c>
      <c r="AS252" s="36">
        <v>0.33333333333333298</v>
      </c>
      <c r="AT252" s="36">
        <v>0</v>
      </c>
      <c r="AU252" s="36">
        <v>0</v>
      </c>
      <c r="AV252" s="36">
        <v>0</v>
      </c>
      <c r="AW252" s="36">
        <v>0</v>
      </c>
      <c r="AX252" s="36">
        <v>0</v>
      </c>
      <c r="AY252" s="36">
        <v>0</v>
      </c>
      <c r="AZ252" s="36">
        <v>0</v>
      </c>
      <c r="BA252" s="36">
        <v>0</v>
      </c>
      <c r="BB252" s="36">
        <v>0</v>
      </c>
      <c r="BC252" s="36">
        <v>0</v>
      </c>
      <c r="BD252" s="36">
        <v>0</v>
      </c>
      <c r="BE252" s="36">
        <v>0</v>
      </c>
      <c r="BF252" s="36">
        <v>0</v>
      </c>
      <c r="BG252" s="36">
        <v>0</v>
      </c>
      <c r="BH252" s="36">
        <v>0</v>
      </c>
      <c r="BI252" s="36">
        <v>0</v>
      </c>
      <c r="BJ252" s="36">
        <v>0</v>
      </c>
      <c r="BK252" s="36">
        <v>0</v>
      </c>
      <c r="BL252" s="36">
        <v>0</v>
      </c>
      <c r="BM252" s="37">
        <v>0</v>
      </c>
    </row>
    <row r="253" spans="1:65" s="3" customFormat="1" ht="18" customHeight="1" x14ac:dyDescent="0.2">
      <c r="P253" s="39">
        <v>6</v>
      </c>
      <c r="Q253" s="39">
        <v>24</v>
      </c>
      <c r="R253" s="35">
        <v>0</v>
      </c>
      <c r="S253" s="36">
        <v>0</v>
      </c>
      <c r="T253" s="36">
        <v>0</v>
      </c>
      <c r="U253" s="36">
        <v>0</v>
      </c>
      <c r="V253" s="36">
        <v>0</v>
      </c>
      <c r="W253" s="36">
        <v>0</v>
      </c>
      <c r="X253" s="36">
        <v>0</v>
      </c>
      <c r="Y253" s="36">
        <v>0</v>
      </c>
      <c r="Z253" s="36">
        <v>0</v>
      </c>
      <c r="AA253" s="36">
        <v>0</v>
      </c>
      <c r="AB253" s="36">
        <v>0</v>
      </c>
      <c r="AC253" s="36">
        <v>0</v>
      </c>
      <c r="AD253" s="36">
        <v>0</v>
      </c>
      <c r="AE253" s="36">
        <v>0</v>
      </c>
      <c r="AF253" s="36">
        <v>0</v>
      </c>
      <c r="AG253" s="36">
        <v>0</v>
      </c>
      <c r="AH253" s="36">
        <v>0</v>
      </c>
      <c r="AI253" s="36">
        <v>0</v>
      </c>
      <c r="AJ253" s="36">
        <v>0</v>
      </c>
      <c r="AK253" s="36">
        <v>0</v>
      </c>
      <c r="AL253" s="36">
        <v>0</v>
      </c>
      <c r="AM253" s="36">
        <v>0</v>
      </c>
      <c r="AN253" s="36">
        <v>0.33333333333333298</v>
      </c>
      <c r="AO253" s="36">
        <v>0.33333333333333298</v>
      </c>
      <c r="AP253" s="36">
        <v>0.33333333333333298</v>
      </c>
      <c r="AQ253" s="36">
        <v>0.33333333333333298</v>
      </c>
      <c r="AR253" s="36">
        <v>0.33333333333333298</v>
      </c>
      <c r="AS253" s="36">
        <v>0.33333333333333298</v>
      </c>
      <c r="AT253" s="36">
        <v>0</v>
      </c>
      <c r="AU253" s="36">
        <v>0</v>
      </c>
      <c r="AV253" s="36">
        <v>0</v>
      </c>
      <c r="AW253" s="36">
        <v>0</v>
      </c>
      <c r="AX253" s="36">
        <v>0</v>
      </c>
      <c r="AY253" s="36">
        <v>0</v>
      </c>
      <c r="AZ253" s="36">
        <v>0</v>
      </c>
      <c r="BA253" s="36">
        <v>0</v>
      </c>
      <c r="BB253" s="36">
        <v>0</v>
      </c>
      <c r="BC253" s="36">
        <v>0</v>
      </c>
      <c r="BD253" s="36">
        <v>0</v>
      </c>
      <c r="BE253" s="36">
        <v>0</v>
      </c>
      <c r="BF253" s="36">
        <v>0</v>
      </c>
      <c r="BG253" s="36">
        <v>0</v>
      </c>
      <c r="BH253" s="36">
        <v>0</v>
      </c>
      <c r="BI253" s="36">
        <v>0</v>
      </c>
      <c r="BJ253" s="36">
        <v>0</v>
      </c>
      <c r="BK253" s="36">
        <v>0</v>
      </c>
      <c r="BL253" s="36">
        <v>0</v>
      </c>
      <c r="BM253" s="37">
        <v>0</v>
      </c>
    </row>
    <row r="254" spans="1:65" s="3" customFormat="1" ht="18" customHeight="1" x14ac:dyDescent="0.2">
      <c r="P254" s="39">
        <v>6</v>
      </c>
      <c r="Q254" s="39">
        <v>25</v>
      </c>
      <c r="R254" s="35">
        <v>0</v>
      </c>
      <c r="S254" s="36">
        <v>0</v>
      </c>
      <c r="T254" s="36">
        <v>0</v>
      </c>
      <c r="U254" s="36">
        <v>0</v>
      </c>
      <c r="V254" s="36">
        <v>0</v>
      </c>
      <c r="W254" s="36">
        <v>0</v>
      </c>
      <c r="X254" s="36">
        <v>0</v>
      </c>
      <c r="Y254" s="36">
        <v>0</v>
      </c>
      <c r="Z254" s="36">
        <v>0</v>
      </c>
      <c r="AA254" s="36">
        <v>0</v>
      </c>
      <c r="AB254" s="36">
        <v>0</v>
      </c>
      <c r="AC254" s="36">
        <v>0</v>
      </c>
      <c r="AD254" s="36">
        <v>0</v>
      </c>
      <c r="AE254" s="36">
        <v>0</v>
      </c>
      <c r="AF254" s="36">
        <v>0</v>
      </c>
      <c r="AG254" s="36">
        <v>0</v>
      </c>
      <c r="AH254" s="36">
        <v>0</v>
      </c>
      <c r="AI254" s="36">
        <v>0</v>
      </c>
      <c r="AJ254" s="36">
        <v>0</v>
      </c>
      <c r="AK254" s="36">
        <v>0</v>
      </c>
      <c r="AL254" s="36">
        <v>0</v>
      </c>
      <c r="AM254" s="36">
        <v>0</v>
      </c>
      <c r="AN254" s="36">
        <v>0.33333333333333298</v>
      </c>
      <c r="AO254" s="36">
        <v>0.33333333333333298</v>
      </c>
      <c r="AP254" s="36">
        <v>0.33333333333333298</v>
      </c>
      <c r="AQ254" s="36">
        <v>0.33333333333333298</v>
      </c>
      <c r="AR254" s="36">
        <v>0.33333333333333298</v>
      </c>
      <c r="AS254" s="36">
        <v>0.33333333333333298</v>
      </c>
      <c r="AT254" s="36">
        <v>0</v>
      </c>
      <c r="AU254" s="36">
        <v>0</v>
      </c>
      <c r="AV254" s="36">
        <v>0</v>
      </c>
      <c r="AW254" s="36">
        <v>0</v>
      </c>
      <c r="AX254" s="36">
        <v>0</v>
      </c>
      <c r="AY254" s="36">
        <v>0</v>
      </c>
      <c r="AZ254" s="36">
        <v>0</v>
      </c>
      <c r="BA254" s="36">
        <v>0</v>
      </c>
      <c r="BB254" s="36">
        <v>0</v>
      </c>
      <c r="BC254" s="36">
        <v>0</v>
      </c>
      <c r="BD254" s="36">
        <v>0</v>
      </c>
      <c r="BE254" s="36">
        <v>0</v>
      </c>
      <c r="BF254" s="36">
        <v>0</v>
      </c>
      <c r="BG254" s="36">
        <v>0</v>
      </c>
      <c r="BH254" s="36">
        <v>0</v>
      </c>
      <c r="BI254" s="36">
        <v>0</v>
      </c>
      <c r="BJ254" s="36">
        <v>0</v>
      </c>
      <c r="BK254" s="36">
        <v>0</v>
      </c>
      <c r="BL254" s="36">
        <v>0</v>
      </c>
      <c r="BM254" s="37">
        <v>0</v>
      </c>
    </row>
    <row r="255" spans="1:65" s="3" customFormat="1" ht="18" customHeight="1" x14ac:dyDescent="0.2">
      <c r="P255" s="39">
        <v>6</v>
      </c>
      <c r="Q255" s="39">
        <v>26</v>
      </c>
      <c r="R255" s="35">
        <v>0</v>
      </c>
      <c r="S255" s="36">
        <v>0</v>
      </c>
      <c r="T255" s="36">
        <v>0</v>
      </c>
      <c r="U255" s="36">
        <v>0</v>
      </c>
      <c r="V255" s="36">
        <v>0</v>
      </c>
      <c r="W255" s="36">
        <v>0</v>
      </c>
      <c r="X255" s="36">
        <v>0</v>
      </c>
      <c r="Y255" s="36">
        <v>0</v>
      </c>
      <c r="Z255" s="36">
        <v>0</v>
      </c>
      <c r="AA255" s="36">
        <v>0</v>
      </c>
      <c r="AB255" s="36">
        <v>0</v>
      </c>
      <c r="AC255" s="36">
        <v>0</v>
      </c>
      <c r="AD255" s="36">
        <v>0</v>
      </c>
      <c r="AE255" s="36">
        <v>0</v>
      </c>
      <c r="AF255" s="36">
        <v>0</v>
      </c>
      <c r="AG255" s="36">
        <v>0</v>
      </c>
      <c r="AH255" s="36">
        <v>0</v>
      </c>
      <c r="AI255" s="36">
        <v>0</v>
      </c>
      <c r="AJ255" s="36">
        <v>0</v>
      </c>
      <c r="AK255" s="36">
        <v>0</v>
      </c>
      <c r="AL255" s="36">
        <v>0</v>
      </c>
      <c r="AM255" s="36">
        <v>0</v>
      </c>
      <c r="AN255" s="36">
        <v>0.33333333333333298</v>
      </c>
      <c r="AO255" s="36">
        <v>0.33333333333333298</v>
      </c>
      <c r="AP255" s="36">
        <v>0.33333333333333298</v>
      </c>
      <c r="AQ255" s="36">
        <v>0.33333333333333298</v>
      </c>
      <c r="AR255" s="36">
        <v>0.33333333333333298</v>
      </c>
      <c r="AS255" s="36">
        <v>0.33333333333333298</v>
      </c>
      <c r="AT255" s="36">
        <v>0</v>
      </c>
      <c r="AU255" s="36">
        <v>0</v>
      </c>
      <c r="AV255" s="36">
        <v>0</v>
      </c>
      <c r="AW255" s="36">
        <v>0</v>
      </c>
      <c r="AX255" s="36">
        <v>0</v>
      </c>
      <c r="AY255" s="36">
        <v>0</v>
      </c>
      <c r="AZ255" s="36">
        <v>0</v>
      </c>
      <c r="BA255" s="36">
        <v>0</v>
      </c>
      <c r="BB255" s="36">
        <v>0</v>
      </c>
      <c r="BC255" s="36">
        <v>0</v>
      </c>
      <c r="BD255" s="36">
        <v>0</v>
      </c>
      <c r="BE255" s="36">
        <v>0</v>
      </c>
      <c r="BF255" s="36">
        <v>0</v>
      </c>
      <c r="BG255" s="36">
        <v>0</v>
      </c>
      <c r="BH255" s="36">
        <v>0</v>
      </c>
      <c r="BI255" s="36">
        <v>0</v>
      </c>
      <c r="BJ255" s="36">
        <v>0</v>
      </c>
      <c r="BK255" s="36">
        <v>0</v>
      </c>
      <c r="BL255" s="36">
        <v>0</v>
      </c>
      <c r="BM255" s="37">
        <v>0</v>
      </c>
    </row>
    <row r="256" spans="1:65" s="3" customFormat="1" ht="18" customHeight="1" x14ac:dyDescent="0.2">
      <c r="P256" s="39">
        <v>6</v>
      </c>
      <c r="Q256" s="39">
        <v>27</v>
      </c>
      <c r="R256" s="35">
        <v>0</v>
      </c>
      <c r="S256" s="36">
        <v>0</v>
      </c>
      <c r="T256" s="36">
        <v>0</v>
      </c>
      <c r="U256" s="36">
        <v>0</v>
      </c>
      <c r="V256" s="36">
        <v>0</v>
      </c>
      <c r="W256" s="36">
        <v>0</v>
      </c>
      <c r="X256" s="36">
        <v>0</v>
      </c>
      <c r="Y256" s="36">
        <v>0</v>
      </c>
      <c r="Z256" s="36">
        <v>0</v>
      </c>
      <c r="AA256" s="36">
        <v>0</v>
      </c>
      <c r="AB256" s="36">
        <v>0</v>
      </c>
      <c r="AC256" s="36">
        <v>0</v>
      </c>
      <c r="AD256" s="36">
        <v>0</v>
      </c>
      <c r="AE256" s="36">
        <v>0</v>
      </c>
      <c r="AF256" s="36">
        <v>0</v>
      </c>
      <c r="AG256" s="36">
        <v>0</v>
      </c>
      <c r="AH256" s="36">
        <v>0</v>
      </c>
      <c r="AI256" s="36">
        <v>0</v>
      </c>
      <c r="AJ256" s="36">
        <v>0</v>
      </c>
      <c r="AK256" s="36">
        <v>0</v>
      </c>
      <c r="AL256" s="36">
        <v>0</v>
      </c>
      <c r="AM256" s="36">
        <v>0</v>
      </c>
      <c r="AN256" s="36">
        <v>0.33333333333333298</v>
      </c>
      <c r="AO256" s="36">
        <v>0.33333333333333298</v>
      </c>
      <c r="AP256" s="36">
        <v>0.33333333333333298</v>
      </c>
      <c r="AQ256" s="36">
        <v>0.33333333333333298</v>
      </c>
      <c r="AR256" s="36">
        <v>0.33333333333333298</v>
      </c>
      <c r="AS256" s="36">
        <v>0.33333333333333298</v>
      </c>
      <c r="AT256" s="36">
        <v>0</v>
      </c>
      <c r="AU256" s="36">
        <v>0</v>
      </c>
      <c r="AV256" s="36">
        <v>0</v>
      </c>
      <c r="AW256" s="36">
        <v>0</v>
      </c>
      <c r="AX256" s="36">
        <v>0</v>
      </c>
      <c r="AY256" s="36">
        <v>0</v>
      </c>
      <c r="AZ256" s="36">
        <v>0</v>
      </c>
      <c r="BA256" s="36">
        <v>0</v>
      </c>
      <c r="BB256" s="36">
        <v>0</v>
      </c>
      <c r="BC256" s="36">
        <v>0</v>
      </c>
      <c r="BD256" s="36">
        <v>0</v>
      </c>
      <c r="BE256" s="36">
        <v>0</v>
      </c>
      <c r="BF256" s="36">
        <v>0</v>
      </c>
      <c r="BG256" s="36">
        <v>0</v>
      </c>
      <c r="BH256" s="36">
        <v>0</v>
      </c>
      <c r="BI256" s="36">
        <v>0</v>
      </c>
      <c r="BJ256" s="36">
        <v>0</v>
      </c>
      <c r="BK256" s="36">
        <v>0</v>
      </c>
      <c r="BL256" s="36">
        <v>0</v>
      </c>
      <c r="BM256" s="37">
        <v>0</v>
      </c>
    </row>
    <row r="257" spans="16:65" s="3" customFormat="1" ht="18.5" customHeight="1" x14ac:dyDescent="0.2">
      <c r="P257" s="56">
        <v>6</v>
      </c>
      <c r="Q257" s="56">
        <v>28</v>
      </c>
      <c r="R257" s="35">
        <v>0</v>
      </c>
      <c r="S257" s="36">
        <v>0</v>
      </c>
      <c r="T257" s="36">
        <v>0</v>
      </c>
      <c r="U257" s="36">
        <v>0</v>
      </c>
      <c r="V257" s="36">
        <v>0</v>
      </c>
      <c r="W257" s="36">
        <v>0</v>
      </c>
      <c r="X257" s="36">
        <v>0</v>
      </c>
      <c r="Y257" s="36">
        <v>0</v>
      </c>
      <c r="Z257" s="36">
        <v>0</v>
      </c>
      <c r="AA257" s="36">
        <v>0</v>
      </c>
      <c r="AB257" s="36">
        <v>0</v>
      </c>
      <c r="AC257" s="36">
        <v>0</v>
      </c>
      <c r="AD257" s="36">
        <v>0</v>
      </c>
      <c r="AE257" s="36">
        <v>0</v>
      </c>
      <c r="AF257" s="36">
        <v>0</v>
      </c>
      <c r="AG257" s="36">
        <v>0</v>
      </c>
      <c r="AH257" s="36">
        <v>0</v>
      </c>
      <c r="AI257" s="36">
        <v>0</v>
      </c>
      <c r="AJ257" s="36">
        <v>0</v>
      </c>
      <c r="AK257" s="36">
        <v>0</v>
      </c>
      <c r="AL257" s="36">
        <v>0</v>
      </c>
      <c r="AM257" s="36">
        <v>0</v>
      </c>
      <c r="AN257" s="36">
        <v>0.33333333333333298</v>
      </c>
      <c r="AO257" s="36">
        <v>0.33333333333333298</v>
      </c>
      <c r="AP257" s="36">
        <v>0.33333333333333298</v>
      </c>
      <c r="AQ257" s="36">
        <v>0.33333333333333298</v>
      </c>
      <c r="AR257" s="36">
        <v>0.33333333333333298</v>
      </c>
      <c r="AS257" s="36">
        <v>0.33333333333333298</v>
      </c>
      <c r="AT257" s="36">
        <v>0</v>
      </c>
      <c r="AU257" s="36">
        <v>0</v>
      </c>
      <c r="AV257" s="36">
        <v>0</v>
      </c>
      <c r="AW257" s="36">
        <v>0</v>
      </c>
      <c r="AX257" s="36">
        <v>0</v>
      </c>
      <c r="AY257" s="36">
        <v>0</v>
      </c>
      <c r="AZ257" s="36">
        <v>0</v>
      </c>
      <c r="BA257" s="36">
        <v>0</v>
      </c>
      <c r="BB257" s="36">
        <v>0</v>
      </c>
      <c r="BC257" s="36">
        <v>0</v>
      </c>
      <c r="BD257" s="36">
        <v>0</v>
      </c>
      <c r="BE257" s="36">
        <v>0</v>
      </c>
      <c r="BF257" s="36">
        <v>0</v>
      </c>
      <c r="BG257" s="36">
        <v>0</v>
      </c>
      <c r="BH257" s="36">
        <v>0</v>
      </c>
      <c r="BI257" s="36">
        <v>0</v>
      </c>
      <c r="BJ257" s="36">
        <v>0</v>
      </c>
      <c r="BK257" s="36">
        <v>0</v>
      </c>
      <c r="BL257" s="36">
        <v>0</v>
      </c>
      <c r="BM257" s="37">
        <v>0</v>
      </c>
    </row>
    <row r="258" spans="16:65" s="3" customFormat="1" ht="18.5" customHeight="1" x14ac:dyDescent="0.2">
      <c r="P258" s="28">
        <v>7</v>
      </c>
      <c r="Q258" s="28">
        <v>29</v>
      </c>
      <c r="R258" s="35">
        <v>0</v>
      </c>
      <c r="S258" s="36">
        <v>0</v>
      </c>
      <c r="T258" s="36">
        <v>0</v>
      </c>
      <c r="U258" s="36">
        <v>0</v>
      </c>
      <c r="V258" s="36">
        <v>0</v>
      </c>
      <c r="W258" s="36">
        <v>0</v>
      </c>
      <c r="X258" s="36">
        <v>0</v>
      </c>
      <c r="Y258" s="36">
        <v>0</v>
      </c>
      <c r="Z258" s="36">
        <v>0</v>
      </c>
      <c r="AA258" s="36">
        <v>0</v>
      </c>
      <c r="AB258" s="36">
        <v>0</v>
      </c>
      <c r="AC258" s="36">
        <v>0</v>
      </c>
      <c r="AD258" s="36">
        <v>0</v>
      </c>
      <c r="AE258" s="36">
        <v>0</v>
      </c>
      <c r="AF258" s="36">
        <v>0</v>
      </c>
      <c r="AG258" s="36">
        <v>0</v>
      </c>
      <c r="AH258" s="36">
        <v>0</v>
      </c>
      <c r="AI258" s="36">
        <v>0</v>
      </c>
      <c r="AJ258" s="36">
        <v>0</v>
      </c>
      <c r="AK258" s="36">
        <v>0</v>
      </c>
      <c r="AL258" s="36">
        <v>0</v>
      </c>
      <c r="AM258" s="36">
        <v>0</v>
      </c>
      <c r="AN258" s="36">
        <v>0</v>
      </c>
      <c r="AO258" s="36">
        <v>0</v>
      </c>
      <c r="AP258" s="36">
        <v>0</v>
      </c>
      <c r="AQ258" s="36">
        <v>0</v>
      </c>
      <c r="AR258" s="36">
        <v>0</v>
      </c>
      <c r="AS258" s="36">
        <v>0</v>
      </c>
      <c r="AT258" s="36">
        <v>7.69230769230769E-2</v>
      </c>
      <c r="AU258" s="36">
        <v>7.69230769230769E-2</v>
      </c>
      <c r="AV258" s="36">
        <v>7.69230769230769E-2</v>
      </c>
      <c r="AW258" s="36">
        <v>7.69230769230769E-2</v>
      </c>
      <c r="AX258" s="36">
        <v>7.69230769230769E-2</v>
      </c>
      <c r="AY258" s="36">
        <v>7.69230769230769E-2</v>
      </c>
      <c r="AZ258" s="36">
        <v>7.69230769230769E-2</v>
      </c>
      <c r="BA258" s="36">
        <v>7.69230769230769E-2</v>
      </c>
      <c r="BB258" s="36">
        <v>7.69230769230769E-2</v>
      </c>
      <c r="BC258" s="36">
        <v>7.69230769230769E-2</v>
      </c>
      <c r="BD258" s="36">
        <v>0</v>
      </c>
      <c r="BE258" s="36">
        <v>0</v>
      </c>
      <c r="BF258" s="36">
        <v>0</v>
      </c>
      <c r="BG258" s="36">
        <v>0</v>
      </c>
      <c r="BH258" s="36">
        <v>0</v>
      </c>
      <c r="BI258" s="36">
        <v>0</v>
      </c>
      <c r="BJ258" s="36">
        <v>0</v>
      </c>
      <c r="BK258" s="36">
        <v>0</v>
      </c>
      <c r="BL258" s="36">
        <v>0</v>
      </c>
      <c r="BM258" s="37">
        <v>0</v>
      </c>
    </row>
    <row r="259" spans="16:65" s="3" customFormat="1" ht="18" customHeight="1" x14ac:dyDescent="0.2">
      <c r="P259" s="39">
        <v>7</v>
      </c>
      <c r="Q259" s="39">
        <v>30</v>
      </c>
      <c r="R259" s="35">
        <v>0</v>
      </c>
      <c r="S259" s="36">
        <v>0</v>
      </c>
      <c r="T259" s="36">
        <v>0</v>
      </c>
      <c r="U259" s="36">
        <v>0</v>
      </c>
      <c r="V259" s="36">
        <v>0</v>
      </c>
      <c r="W259" s="36">
        <v>0</v>
      </c>
      <c r="X259" s="36">
        <v>0</v>
      </c>
      <c r="Y259" s="36">
        <v>0</v>
      </c>
      <c r="Z259" s="36">
        <v>0</v>
      </c>
      <c r="AA259" s="36">
        <v>0</v>
      </c>
      <c r="AB259" s="36">
        <v>0</v>
      </c>
      <c r="AC259" s="36">
        <v>0</v>
      </c>
      <c r="AD259" s="36">
        <v>0</v>
      </c>
      <c r="AE259" s="36">
        <v>0</v>
      </c>
      <c r="AF259" s="36">
        <v>0</v>
      </c>
      <c r="AG259" s="36">
        <v>0</v>
      </c>
      <c r="AH259" s="36">
        <v>0</v>
      </c>
      <c r="AI259" s="36">
        <v>0</v>
      </c>
      <c r="AJ259" s="36">
        <v>0</v>
      </c>
      <c r="AK259" s="36">
        <v>0</v>
      </c>
      <c r="AL259" s="36">
        <v>0</v>
      </c>
      <c r="AM259" s="36">
        <v>0</v>
      </c>
      <c r="AN259" s="36">
        <v>0</v>
      </c>
      <c r="AO259" s="36">
        <v>0</v>
      </c>
      <c r="AP259" s="36">
        <v>0</v>
      </c>
      <c r="AQ259" s="36">
        <v>0</v>
      </c>
      <c r="AR259" s="36">
        <v>0</v>
      </c>
      <c r="AS259" s="36">
        <v>0</v>
      </c>
      <c r="AT259" s="36">
        <v>7.69230769230769E-2</v>
      </c>
      <c r="AU259" s="36">
        <v>7.69230769230769E-2</v>
      </c>
      <c r="AV259" s="36">
        <v>7.69230769230769E-2</v>
      </c>
      <c r="AW259" s="36">
        <v>7.69230769230769E-2</v>
      </c>
      <c r="AX259" s="36">
        <v>7.69230769230769E-2</v>
      </c>
      <c r="AY259" s="36">
        <v>7.69230769230769E-2</v>
      </c>
      <c r="AZ259" s="36">
        <v>7.69230769230769E-2</v>
      </c>
      <c r="BA259" s="36">
        <v>7.69230769230769E-2</v>
      </c>
      <c r="BB259" s="36">
        <v>7.69230769230769E-2</v>
      </c>
      <c r="BC259" s="36">
        <v>7.69230769230769E-2</v>
      </c>
      <c r="BD259" s="36">
        <v>0</v>
      </c>
      <c r="BE259" s="36">
        <v>0</v>
      </c>
      <c r="BF259" s="36">
        <v>0</v>
      </c>
      <c r="BG259" s="36">
        <v>0</v>
      </c>
      <c r="BH259" s="36">
        <v>0</v>
      </c>
      <c r="BI259" s="36">
        <v>0</v>
      </c>
      <c r="BJ259" s="36">
        <v>0</v>
      </c>
      <c r="BK259" s="36">
        <v>0</v>
      </c>
      <c r="BL259" s="36">
        <v>0</v>
      </c>
      <c r="BM259" s="37">
        <v>0</v>
      </c>
    </row>
    <row r="260" spans="16:65" s="3" customFormat="1" ht="18" customHeight="1" x14ac:dyDescent="0.2">
      <c r="P260" s="39">
        <v>7</v>
      </c>
      <c r="Q260" s="39">
        <v>31</v>
      </c>
      <c r="R260" s="35">
        <v>0</v>
      </c>
      <c r="S260" s="36">
        <v>0</v>
      </c>
      <c r="T260" s="36">
        <v>0</v>
      </c>
      <c r="U260" s="36">
        <v>0</v>
      </c>
      <c r="V260" s="36">
        <v>0</v>
      </c>
      <c r="W260" s="36">
        <v>0</v>
      </c>
      <c r="X260" s="36">
        <v>0</v>
      </c>
      <c r="Y260" s="36">
        <v>0</v>
      </c>
      <c r="Z260" s="36">
        <v>0</v>
      </c>
      <c r="AA260" s="36">
        <v>0</v>
      </c>
      <c r="AB260" s="36">
        <v>0</v>
      </c>
      <c r="AC260" s="36">
        <v>0</v>
      </c>
      <c r="AD260" s="36">
        <v>0</v>
      </c>
      <c r="AE260" s="36">
        <v>0</v>
      </c>
      <c r="AF260" s="36">
        <v>0</v>
      </c>
      <c r="AG260" s="36">
        <v>0</v>
      </c>
      <c r="AH260" s="36">
        <v>0</v>
      </c>
      <c r="AI260" s="36">
        <v>0</v>
      </c>
      <c r="AJ260" s="36">
        <v>0</v>
      </c>
      <c r="AK260" s="36">
        <v>0</v>
      </c>
      <c r="AL260" s="36">
        <v>0</v>
      </c>
      <c r="AM260" s="36">
        <v>0</v>
      </c>
      <c r="AN260" s="36">
        <v>0</v>
      </c>
      <c r="AO260" s="36">
        <v>0</v>
      </c>
      <c r="AP260" s="36">
        <v>0</v>
      </c>
      <c r="AQ260" s="36">
        <v>0</v>
      </c>
      <c r="AR260" s="36">
        <v>0</v>
      </c>
      <c r="AS260" s="36">
        <v>0</v>
      </c>
      <c r="AT260" s="36">
        <v>7.69230769230769E-2</v>
      </c>
      <c r="AU260" s="36">
        <v>7.69230769230769E-2</v>
      </c>
      <c r="AV260" s="36">
        <v>7.69230769230769E-2</v>
      </c>
      <c r="AW260" s="36">
        <v>7.69230769230769E-2</v>
      </c>
      <c r="AX260" s="36">
        <v>7.69230769230769E-2</v>
      </c>
      <c r="AY260" s="36">
        <v>7.69230769230769E-2</v>
      </c>
      <c r="AZ260" s="36">
        <v>7.69230769230769E-2</v>
      </c>
      <c r="BA260" s="36">
        <v>7.69230769230769E-2</v>
      </c>
      <c r="BB260" s="36">
        <v>7.69230769230769E-2</v>
      </c>
      <c r="BC260" s="36">
        <v>7.69230769230769E-2</v>
      </c>
      <c r="BD260" s="36">
        <v>0</v>
      </c>
      <c r="BE260" s="36">
        <v>0</v>
      </c>
      <c r="BF260" s="36">
        <v>0</v>
      </c>
      <c r="BG260" s="36">
        <v>0</v>
      </c>
      <c r="BH260" s="36">
        <v>0</v>
      </c>
      <c r="BI260" s="36">
        <v>0</v>
      </c>
      <c r="BJ260" s="36">
        <v>0</v>
      </c>
      <c r="BK260" s="36">
        <v>0</v>
      </c>
      <c r="BL260" s="36">
        <v>0</v>
      </c>
      <c r="BM260" s="37">
        <v>0</v>
      </c>
    </row>
    <row r="261" spans="16:65" s="3" customFormat="1" ht="18" customHeight="1" x14ac:dyDescent="0.2">
      <c r="P261" s="39">
        <v>7</v>
      </c>
      <c r="Q261" s="39">
        <v>32</v>
      </c>
      <c r="R261" s="35">
        <v>0</v>
      </c>
      <c r="S261" s="36">
        <v>0</v>
      </c>
      <c r="T261" s="36">
        <v>0</v>
      </c>
      <c r="U261" s="36">
        <v>0</v>
      </c>
      <c r="V261" s="36">
        <v>0</v>
      </c>
      <c r="W261" s="36">
        <v>0</v>
      </c>
      <c r="X261" s="36">
        <v>0</v>
      </c>
      <c r="Y261" s="36">
        <v>0</v>
      </c>
      <c r="Z261" s="36">
        <v>0</v>
      </c>
      <c r="AA261" s="36">
        <v>0</v>
      </c>
      <c r="AB261" s="36">
        <v>0</v>
      </c>
      <c r="AC261" s="36">
        <v>0</v>
      </c>
      <c r="AD261" s="36">
        <v>0</v>
      </c>
      <c r="AE261" s="36">
        <v>0</v>
      </c>
      <c r="AF261" s="36">
        <v>0</v>
      </c>
      <c r="AG261" s="36">
        <v>0</v>
      </c>
      <c r="AH261" s="36">
        <v>0</v>
      </c>
      <c r="AI261" s="36">
        <v>0</v>
      </c>
      <c r="AJ261" s="36">
        <v>0</v>
      </c>
      <c r="AK261" s="36">
        <v>0</v>
      </c>
      <c r="AL261" s="36">
        <v>0</v>
      </c>
      <c r="AM261" s="36">
        <v>0</v>
      </c>
      <c r="AN261" s="36">
        <v>0</v>
      </c>
      <c r="AO261" s="36">
        <v>0</v>
      </c>
      <c r="AP261" s="36">
        <v>0</v>
      </c>
      <c r="AQ261" s="36">
        <v>0</v>
      </c>
      <c r="AR261" s="36">
        <v>0</v>
      </c>
      <c r="AS261" s="36">
        <v>0</v>
      </c>
      <c r="AT261" s="36">
        <v>7.69230769230769E-2</v>
      </c>
      <c r="AU261" s="36">
        <v>7.69230769230769E-2</v>
      </c>
      <c r="AV261" s="36">
        <v>7.69230769230769E-2</v>
      </c>
      <c r="AW261" s="36">
        <v>7.69230769230769E-2</v>
      </c>
      <c r="AX261" s="36">
        <v>7.69230769230769E-2</v>
      </c>
      <c r="AY261" s="36">
        <v>7.69230769230769E-2</v>
      </c>
      <c r="AZ261" s="36">
        <v>7.69230769230769E-2</v>
      </c>
      <c r="BA261" s="36">
        <v>7.69230769230769E-2</v>
      </c>
      <c r="BB261" s="36">
        <v>7.69230769230769E-2</v>
      </c>
      <c r="BC261" s="36">
        <v>7.69230769230769E-2</v>
      </c>
      <c r="BD261" s="36">
        <v>0</v>
      </c>
      <c r="BE261" s="36">
        <v>0</v>
      </c>
      <c r="BF261" s="36">
        <v>0</v>
      </c>
      <c r="BG261" s="36">
        <v>0</v>
      </c>
      <c r="BH261" s="36">
        <v>0</v>
      </c>
      <c r="BI261" s="36">
        <v>0</v>
      </c>
      <c r="BJ261" s="36">
        <v>0</v>
      </c>
      <c r="BK261" s="36">
        <v>0</v>
      </c>
      <c r="BL261" s="36">
        <v>0</v>
      </c>
      <c r="BM261" s="37">
        <v>0</v>
      </c>
    </row>
    <row r="262" spans="16:65" s="3" customFormat="1" ht="18" customHeight="1" x14ac:dyDescent="0.2">
      <c r="P262" s="39">
        <v>7</v>
      </c>
      <c r="Q262" s="39">
        <v>33</v>
      </c>
      <c r="R262" s="35">
        <v>0</v>
      </c>
      <c r="S262" s="36">
        <v>0</v>
      </c>
      <c r="T262" s="36">
        <v>0</v>
      </c>
      <c r="U262" s="36">
        <v>0</v>
      </c>
      <c r="V262" s="36">
        <v>0</v>
      </c>
      <c r="W262" s="36">
        <v>0</v>
      </c>
      <c r="X262" s="36">
        <v>0</v>
      </c>
      <c r="Y262" s="36">
        <v>0</v>
      </c>
      <c r="Z262" s="36">
        <v>0</v>
      </c>
      <c r="AA262" s="36">
        <v>0</v>
      </c>
      <c r="AB262" s="36">
        <v>0</v>
      </c>
      <c r="AC262" s="36">
        <v>0</v>
      </c>
      <c r="AD262" s="36">
        <v>0</v>
      </c>
      <c r="AE262" s="36">
        <v>0</v>
      </c>
      <c r="AF262" s="36">
        <v>0</v>
      </c>
      <c r="AG262" s="36">
        <v>0</v>
      </c>
      <c r="AH262" s="36">
        <v>0</v>
      </c>
      <c r="AI262" s="36">
        <v>0</v>
      </c>
      <c r="AJ262" s="36">
        <v>0</v>
      </c>
      <c r="AK262" s="36">
        <v>0</v>
      </c>
      <c r="AL262" s="36">
        <v>0</v>
      </c>
      <c r="AM262" s="36">
        <v>0</v>
      </c>
      <c r="AN262" s="36">
        <v>0</v>
      </c>
      <c r="AO262" s="36">
        <v>0</v>
      </c>
      <c r="AP262" s="36">
        <v>0</v>
      </c>
      <c r="AQ262" s="36">
        <v>0</v>
      </c>
      <c r="AR262" s="36">
        <v>0</v>
      </c>
      <c r="AS262" s="36">
        <v>0</v>
      </c>
      <c r="AT262" s="36">
        <v>7.69230769230769E-2</v>
      </c>
      <c r="AU262" s="36">
        <v>7.69230769230769E-2</v>
      </c>
      <c r="AV262" s="36">
        <v>7.69230769230769E-2</v>
      </c>
      <c r="AW262" s="36">
        <v>7.69230769230769E-2</v>
      </c>
      <c r="AX262" s="36">
        <v>7.69230769230769E-2</v>
      </c>
      <c r="AY262" s="36">
        <v>7.69230769230769E-2</v>
      </c>
      <c r="AZ262" s="36">
        <v>7.69230769230769E-2</v>
      </c>
      <c r="BA262" s="36">
        <v>7.69230769230769E-2</v>
      </c>
      <c r="BB262" s="36">
        <v>7.69230769230769E-2</v>
      </c>
      <c r="BC262" s="36">
        <v>7.69230769230769E-2</v>
      </c>
      <c r="BD262" s="36">
        <v>0</v>
      </c>
      <c r="BE262" s="36">
        <v>0</v>
      </c>
      <c r="BF262" s="36">
        <v>0</v>
      </c>
      <c r="BG262" s="36">
        <v>0</v>
      </c>
      <c r="BH262" s="36">
        <v>0</v>
      </c>
      <c r="BI262" s="36">
        <v>0</v>
      </c>
      <c r="BJ262" s="36">
        <v>0</v>
      </c>
      <c r="BK262" s="36">
        <v>0</v>
      </c>
      <c r="BL262" s="36">
        <v>0</v>
      </c>
      <c r="BM262" s="37">
        <v>0</v>
      </c>
    </row>
    <row r="263" spans="16:65" s="3" customFormat="1" ht="18" customHeight="1" x14ac:dyDescent="0.2">
      <c r="P263" s="39">
        <v>7</v>
      </c>
      <c r="Q263" s="39">
        <v>34</v>
      </c>
      <c r="R263" s="35">
        <v>0</v>
      </c>
      <c r="S263" s="36">
        <v>0</v>
      </c>
      <c r="T263" s="36">
        <v>0</v>
      </c>
      <c r="U263" s="36">
        <v>0</v>
      </c>
      <c r="V263" s="36">
        <v>0</v>
      </c>
      <c r="W263" s="36">
        <v>0</v>
      </c>
      <c r="X263" s="36">
        <v>0</v>
      </c>
      <c r="Y263" s="36">
        <v>0</v>
      </c>
      <c r="Z263" s="36">
        <v>0</v>
      </c>
      <c r="AA263" s="36">
        <v>0</v>
      </c>
      <c r="AB263" s="36">
        <v>0</v>
      </c>
      <c r="AC263" s="36">
        <v>0</v>
      </c>
      <c r="AD263" s="36">
        <v>0</v>
      </c>
      <c r="AE263" s="36">
        <v>0</v>
      </c>
      <c r="AF263" s="36">
        <v>0</v>
      </c>
      <c r="AG263" s="36">
        <v>0</v>
      </c>
      <c r="AH263" s="36">
        <v>0</v>
      </c>
      <c r="AI263" s="36">
        <v>0</v>
      </c>
      <c r="AJ263" s="36">
        <v>0</v>
      </c>
      <c r="AK263" s="36">
        <v>0</v>
      </c>
      <c r="AL263" s="36">
        <v>0</v>
      </c>
      <c r="AM263" s="36">
        <v>0</v>
      </c>
      <c r="AN263" s="36">
        <v>0</v>
      </c>
      <c r="AO263" s="36">
        <v>0</v>
      </c>
      <c r="AP263" s="36">
        <v>0</v>
      </c>
      <c r="AQ263" s="36">
        <v>0</v>
      </c>
      <c r="AR263" s="36">
        <v>0</v>
      </c>
      <c r="AS263" s="36">
        <v>0</v>
      </c>
      <c r="AT263" s="36">
        <v>7.69230769230769E-2</v>
      </c>
      <c r="AU263" s="36">
        <v>7.69230769230769E-2</v>
      </c>
      <c r="AV263" s="36">
        <v>7.69230769230769E-2</v>
      </c>
      <c r="AW263" s="36">
        <v>7.69230769230769E-2</v>
      </c>
      <c r="AX263" s="36">
        <v>7.69230769230769E-2</v>
      </c>
      <c r="AY263" s="36">
        <v>7.69230769230769E-2</v>
      </c>
      <c r="AZ263" s="36">
        <v>7.69230769230769E-2</v>
      </c>
      <c r="BA263" s="36">
        <v>7.69230769230769E-2</v>
      </c>
      <c r="BB263" s="36">
        <v>7.69230769230769E-2</v>
      </c>
      <c r="BC263" s="36">
        <v>7.69230769230769E-2</v>
      </c>
      <c r="BD263" s="36">
        <v>0</v>
      </c>
      <c r="BE263" s="36">
        <v>0</v>
      </c>
      <c r="BF263" s="36">
        <v>0</v>
      </c>
      <c r="BG263" s="36">
        <v>0</v>
      </c>
      <c r="BH263" s="36">
        <v>0</v>
      </c>
      <c r="BI263" s="36">
        <v>0</v>
      </c>
      <c r="BJ263" s="36">
        <v>0</v>
      </c>
      <c r="BK263" s="36">
        <v>0</v>
      </c>
      <c r="BL263" s="36">
        <v>0</v>
      </c>
      <c r="BM263" s="37">
        <v>0</v>
      </c>
    </row>
    <row r="264" spans="16:65" s="3" customFormat="1" ht="18" customHeight="1" x14ac:dyDescent="0.2">
      <c r="P264" s="39">
        <v>7</v>
      </c>
      <c r="Q264" s="39">
        <v>35</v>
      </c>
      <c r="R264" s="35">
        <v>0</v>
      </c>
      <c r="S264" s="36">
        <v>0</v>
      </c>
      <c r="T264" s="36">
        <v>0</v>
      </c>
      <c r="U264" s="36">
        <v>0</v>
      </c>
      <c r="V264" s="36">
        <v>0</v>
      </c>
      <c r="W264" s="36">
        <v>0</v>
      </c>
      <c r="X264" s="36">
        <v>0</v>
      </c>
      <c r="Y264" s="36">
        <v>0</v>
      </c>
      <c r="Z264" s="36">
        <v>0</v>
      </c>
      <c r="AA264" s="36">
        <v>0</v>
      </c>
      <c r="AB264" s="36">
        <v>0</v>
      </c>
      <c r="AC264" s="36">
        <v>0</v>
      </c>
      <c r="AD264" s="36">
        <v>0</v>
      </c>
      <c r="AE264" s="36">
        <v>0</v>
      </c>
      <c r="AF264" s="36">
        <v>0</v>
      </c>
      <c r="AG264" s="36">
        <v>0</v>
      </c>
      <c r="AH264" s="36">
        <v>0</v>
      </c>
      <c r="AI264" s="36">
        <v>0</v>
      </c>
      <c r="AJ264" s="36">
        <v>0</v>
      </c>
      <c r="AK264" s="36">
        <v>0</v>
      </c>
      <c r="AL264" s="36">
        <v>0</v>
      </c>
      <c r="AM264" s="36">
        <v>0</v>
      </c>
      <c r="AN264" s="36">
        <v>0</v>
      </c>
      <c r="AO264" s="36">
        <v>0</v>
      </c>
      <c r="AP264" s="36">
        <v>0</v>
      </c>
      <c r="AQ264" s="36">
        <v>0</v>
      </c>
      <c r="AR264" s="36">
        <v>0</v>
      </c>
      <c r="AS264" s="36">
        <v>0</v>
      </c>
      <c r="AT264" s="36">
        <v>7.69230769230769E-2</v>
      </c>
      <c r="AU264" s="36">
        <v>7.69230769230769E-2</v>
      </c>
      <c r="AV264" s="36">
        <v>7.69230769230769E-2</v>
      </c>
      <c r="AW264" s="36">
        <v>7.69230769230769E-2</v>
      </c>
      <c r="AX264" s="36">
        <v>7.69230769230769E-2</v>
      </c>
      <c r="AY264" s="36">
        <v>7.69230769230769E-2</v>
      </c>
      <c r="AZ264" s="36">
        <v>7.69230769230769E-2</v>
      </c>
      <c r="BA264" s="36">
        <v>7.69230769230769E-2</v>
      </c>
      <c r="BB264" s="36">
        <v>7.69230769230769E-2</v>
      </c>
      <c r="BC264" s="36">
        <v>7.69230769230769E-2</v>
      </c>
      <c r="BD264" s="36">
        <v>0</v>
      </c>
      <c r="BE264" s="36">
        <v>0</v>
      </c>
      <c r="BF264" s="36">
        <v>0</v>
      </c>
      <c r="BG264" s="36">
        <v>0</v>
      </c>
      <c r="BH264" s="36">
        <v>0</v>
      </c>
      <c r="BI264" s="36">
        <v>0</v>
      </c>
      <c r="BJ264" s="36">
        <v>0</v>
      </c>
      <c r="BK264" s="36">
        <v>0</v>
      </c>
      <c r="BL264" s="36">
        <v>0</v>
      </c>
      <c r="BM264" s="37">
        <v>0</v>
      </c>
    </row>
    <row r="265" spans="16:65" s="3" customFormat="1" ht="18" customHeight="1" x14ac:dyDescent="0.2">
      <c r="P265" s="39">
        <v>7</v>
      </c>
      <c r="Q265" s="39">
        <v>36</v>
      </c>
      <c r="R265" s="35">
        <v>0</v>
      </c>
      <c r="S265" s="36">
        <v>0</v>
      </c>
      <c r="T265" s="36">
        <v>0</v>
      </c>
      <c r="U265" s="36">
        <v>0</v>
      </c>
      <c r="V265" s="36">
        <v>0</v>
      </c>
      <c r="W265" s="36">
        <v>0</v>
      </c>
      <c r="X265" s="36">
        <v>0</v>
      </c>
      <c r="Y265" s="36">
        <v>0</v>
      </c>
      <c r="Z265" s="36">
        <v>0</v>
      </c>
      <c r="AA265" s="36">
        <v>0</v>
      </c>
      <c r="AB265" s="36">
        <v>0</v>
      </c>
      <c r="AC265" s="36">
        <v>0</v>
      </c>
      <c r="AD265" s="36">
        <v>0</v>
      </c>
      <c r="AE265" s="36">
        <v>0</v>
      </c>
      <c r="AF265" s="36">
        <v>0</v>
      </c>
      <c r="AG265" s="36">
        <v>0</v>
      </c>
      <c r="AH265" s="36">
        <v>0</v>
      </c>
      <c r="AI265" s="36">
        <v>0</v>
      </c>
      <c r="AJ265" s="36">
        <v>0</v>
      </c>
      <c r="AK265" s="36">
        <v>0</v>
      </c>
      <c r="AL265" s="36">
        <v>0</v>
      </c>
      <c r="AM265" s="36">
        <v>0</v>
      </c>
      <c r="AN265" s="36">
        <v>0</v>
      </c>
      <c r="AO265" s="36">
        <v>0</v>
      </c>
      <c r="AP265" s="36">
        <v>0</v>
      </c>
      <c r="AQ265" s="36">
        <v>0</v>
      </c>
      <c r="AR265" s="36">
        <v>0</v>
      </c>
      <c r="AS265" s="36">
        <v>0</v>
      </c>
      <c r="AT265" s="36">
        <v>7.69230769230769E-2</v>
      </c>
      <c r="AU265" s="36">
        <v>7.69230769230769E-2</v>
      </c>
      <c r="AV265" s="36">
        <v>7.69230769230769E-2</v>
      </c>
      <c r="AW265" s="36">
        <v>7.69230769230769E-2</v>
      </c>
      <c r="AX265" s="36">
        <v>7.69230769230769E-2</v>
      </c>
      <c r="AY265" s="36">
        <v>7.69230769230769E-2</v>
      </c>
      <c r="AZ265" s="36">
        <v>7.69230769230769E-2</v>
      </c>
      <c r="BA265" s="36">
        <v>7.69230769230769E-2</v>
      </c>
      <c r="BB265" s="36">
        <v>7.69230769230769E-2</v>
      </c>
      <c r="BC265" s="36">
        <v>7.69230769230769E-2</v>
      </c>
      <c r="BD265" s="36">
        <v>0</v>
      </c>
      <c r="BE265" s="36">
        <v>0</v>
      </c>
      <c r="BF265" s="36">
        <v>0</v>
      </c>
      <c r="BG265" s="36">
        <v>0</v>
      </c>
      <c r="BH265" s="36">
        <v>0</v>
      </c>
      <c r="BI265" s="36">
        <v>0</v>
      </c>
      <c r="BJ265" s="36">
        <v>0</v>
      </c>
      <c r="BK265" s="36">
        <v>0</v>
      </c>
      <c r="BL265" s="36">
        <v>0</v>
      </c>
      <c r="BM265" s="37">
        <v>0</v>
      </c>
    </row>
    <row r="266" spans="16:65" s="3" customFormat="1" ht="18" customHeight="1" x14ac:dyDescent="0.2">
      <c r="P266" s="39">
        <v>7</v>
      </c>
      <c r="Q266" s="39">
        <v>37</v>
      </c>
      <c r="R266" s="35">
        <v>0</v>
      </c>
      <c r="S266" s="36">
        <v>0</v>
      </c>
      <c r="T266" s="36">
        <v>0</v>
      </c>
      <c r="U266" s="36">
        <v>0</v>
      </c>
      <c r="V266" s="36">
        <v>0</v>
      </c>
      <c r="W266" s="36">
        <v>0</v>
      </c>
      <c r="X266" s="36">
        <v>0</v>
      </c>
      <c r="Y266" s="36">
        <v>0</v>
      </c>
      <c r="Z266" s="36">
        <v>0</v>
      </c>
      <c r="AA266" s="36">
        <v>0</v>
      </c>
      <c r="AB266" s="36">
        <v>0</v>
      </c>
      <c r="AC266" s="36">
        <v>0</v>
      </c>
      <c r="AD266" s="36">
        <v>0</v>
      </c>
      <c r="AE266" s="36">
        <v>0</v>
      </c>
      <c r="AF266" s="36">
        <v>0</v>
      </c>
      <c r="AG266" s="36">
        <v>0</v>
      </c>
      <c r="AH266" s="36">
        <v>0</v>
      </c>
      <c r="AI266" s="36">
        <v>0</v>
      </c>
      <c r="AJ266" s="36">
        <v>0</v>
      </c>
      <c r="AK266" s="36">
        <v>0</v>
      </c>
      <c r="AL266" s="36">
        <v>0</v>
      </c>
      <c r="AM266" s="36">
        <v>0</v>
      </c>
      <c r="AN266" s="36">
        <v>0</v>
      </c>
      <c r="AO266" s="36">
        <v>0</v>
      </c>
      <c r="AP266" s="36">
        <v>0</v>
      </c>
      <c r="AQ266" s="36">
        <v>0</v>
      </c>
      <c r="AR266" s="36">
        <v>0</v>
      </c>
      <c r="AS266" s="36">
        <v>0</v>
      </c>
      <c r="AT266" s="36">
        <v>7.69230769230769E-2</v>
      </c>
      <c r="AU266" s="36">
        <v>7.69230769230769E-2</v>
      </c>
      <c r="AV266" s="36">
        <v>7.69230769230769E-2</v>
      </c>
      <c r="AW266" s="36">
        <v>7.69230769230769E-2</v>
      </c>
      <c r="AX266" s="36">
        <v>7.69230769230769E-2</v>
      </c>
      <c r="AY266" s="36">
        <v>7.69230769230769E-2</v>
      </c>
      <c r="AZ266" s="36">
        <v>7.69230769230769E-2</v>
      </c>
      <c r="BA266" s="36">
        <v>7.69230769230769E-2</v>
      </c>
      <c r="BB266" s="36">
        <v>7.69230769230769E-2</v>
      </c>
      <c r="BC266" s="36">
        <v>7.69230769230769E-2</v>
      </c>
      <c r="BD266" s="36">
        <v>0</v>
      </c>
      <c r="BE266" s="36">
        <v>0</v>
      </c>
      <c r="BF266" s="36">
        <v>0</v>
      </c>
      <c r="BG266" s="36">
        <v>0</v>
      </c>
      <c r="BH266" s="36">
        <v>0</v>
      </c>
      <c r="BI266" s="36">
        <v>0</v>
      </c>
      <c r="BJ266" s="36">
        <v>0</v>
      </c>
      <c r="BK266" s="36">
        <v>0</v>
      </c>
      <c r="BL266" s="36">
        <v>0</v>
      </c>
      <c r="BM266" s="37">
        <v>0</v>
      </c>
    </row>
    <row r="267" spans="16:65" s="3" customFormat="1" ht="18.5" customHeight="1" x14ac:dyDescent="0.2">
      <c r="P267" s="56">
        <v>7</v>
      </c>
      <c r="Q267" s="56">
        <v>38</v>
      </c>
      <c r="R267" s="35">
        <v>0</v>
      </c>
      <c r="S267" s="36">
        <v>0</v>
      </c>
      <c r="T267" s="36">
        <v>0</v>
      </c>
      <c r="U267" s="36">
        <v>0</v>
      </c>
      <c r="V267" s="36">
        <v>0</v>
      </c>
      <c r="W267" s="36">
        <v>0</v>
      </c>
      <c r="X267" s="36">
        <v>0</v>
      </c>
      <c r="Y267" s="36">
        <v>0</v>
      </c>
      <c r="Z267" s="36">
        <v>0</v>
      </c>
      <c r="AA267" s="36">
        <v>0</v>
      </c>
      <c r="AB267" s="36">
        <v>0</v>
      </c>
      <c r="AC267" s="36">
        <v>0</v>
      </c>
      <c r="AD267" s="36">
        <v>0</v>
      </c>
      <c r="AE267" s="36">
        <v>0</v>
      </c>
      <c r="AF267" s="36">
        <v>0</v>
      </c>
      <c r="AG267" s="36">
        <v>0</v>
      </c>
      <c r="AH267" s="36">
        <v>0</v>
      </c>
      <c r="AI267" s="36">
        <v>0</v>
      </c>
      <c r="AJ267" s="36">
        <v>0</v>
      </c>
      <c r="AK267" s="36">
        <v>0</v>
      </c>
      <c r="AL267" s="36">
        <v>0</v>
      </c>
      <c r="AM267" s="36">
        <v>0</v>
      </c>
      <c r="AN267" s="36">
        <v>0</v>
      </c>
      <c r="AO267" s="36">
        <v>0</v>
      </c>
      <c r="AP267" s="36">
        <v>0</v>
      </c>
      <c r="AQ267" s="36">
        <v>0</v>
      </c>
      <c r="AR267" s="36">
        <v>0</v>
      </c>
      <c r="AS267" s="36">
        <v>0</v>
      </c>
      <c r="AT267" s="36">
        <v>7.69230769230769E-2</v>
      </c>
      <c r="AU267" s="36">
        <v>7.69230769230769E-2</v>
      </c>
      <c r="AV267" s="36">
        <v>7.69230769230769E-2</v>
      </c>
      <c r="AW267" s="36">
        <v>7.69230769230769E-2</v>
      </c>
      <c r="AX267" s="36">
        <v>7.69230769230769E-2</v>
      </c>
      <c r="AY267" s="36">
        <v>7.69230769230769E-2</v>
      </c>
      <c r="AZ267" s="36">
        <v>7.69230769230769E-2</v>
      </c>
      <c r="BA267" s="36">
        <v>7.69230769230769E-2</v>
      </c>
      <c r="BB267" s="36">
        <v>7.69230769230769E-2</v>
      </c>
      <c r="BC267" s="36">
        <v>7.69230769230769E-2</v>
      </c>
      <c r="BD267" s="36">
        <v>0</v>
      </c>
      <c r="BE267" s="36">
        <v>0</v>
      </c>
      <c r="BF267" s="36">
        <v>0</v>
      </c>
      <c r="BG267" s="36">
        <v>0</v>
      </c>
      <c r="BH267" s="36">
        <v>0</v>
      </c>
      <c r="BI267" s="36">
        <v>0</v>
      </c>
      <c r="BJ267" s="36">
        <v>0</v>
      </c>
      <c r="BK267" s="36">
        <v>0</v>
      </c>
      <c r="BL267" s="36">
        <v>0</v>
      </c>
      <c r="BM267" s="37">
        <v>0</v>
      </c>
    </row>
    <row r="268" spans="16:65" s="3" customFormat="1" ht="18.5" customHeight="1" x14ac:dyDescent="0.2">
      <c r="P268" s="28">
        <v>16</v>
      </c>
      <c r="Q268" s="28">
        <v>39</v>
      </c>
      <c r="R268" s="35">
        <v>0</v>
      </c>
      <c r="S268" s="36">
        <v>0</v>
      </c>
      <c r="T268" s="36">
        <v>0</v>
      </c>
      <c r="U268" s="36">
        <v>0</v>
      </c>
      <c r="V268" s="36">
        <v>0</v>
      </c>
      <c r="W268" s="36">
        <v>0</v>
      </c>
      <c r="X268" s="36">
        <v>0</v>
      </c>
      <c r="Y268" s="36">
        <v>0</v>
      </c>
      <c r="Z268" s="36">
        <v>0</v>
      </c>
      <c r="AA268" s="36">
        <v>0</v>
      </c>
      <c r="AB268" s="36">
        <v>0</v>
      </c>
      <c r="AC268" s="36">
        <v>0</v>
      </c>
      <c r="AD268" s="36">
        <v>0</v>
      </c>
      <c r="AE268" s="36">
        <v>0</v>
      </c>
      <c r="AF268" s="36">
        <v>0</v>
      </c>
      <c r="AG268" s="36">
        <v>0</v>
      </c>
      <c r="AH268" s="36">
        <v>0</v>
      </c>
      <c r="AI268" s="36">
        <v>0</v>
      </c>
      <c r="AJ268" s="36">
        <v>0</v>
      </c>
      <c r="AK268" s="36">
        <v>0</v>
      </c>
      <c r="AL268" s="36">
        <v>0</v>
      </c>
      <c r="AM268" s="36">
        <v>0</v>
      </c>
      <c r="AN268" s="36">
        <v>0</v>
      </c>
      <c r="AO268" s="36">
        <v>0</v>
      </c>
      <c r="AP268" s="36">
        <v>0</v>
      </c>
      <c r="AQ268" s="36">
        <v>0</v>
      </c>
      <c r="AR268" s="36">
        <v>0</v>
      </c>
      <c r="AS268" s="36">
        <v>0</v>
      </c>
      <c r="AT268" s="36">
        <v>0</v>
      </c>
      <c r="AU268" s="36">
        <v>0</v>
      </c>
      <c r="AV268" s="36">
        <v>0</v>
      </c>
      <c r="AW268" s="36">
        <v>0</v>
      </c>
      <c r="AX268" s="36">
        <v>0</v>
      </c>
      <c r="AY268" s="36">
        <v>0</v>
      </c>
      <c r="AZ268" s="36">
        <v>0</v>
      </c>
      <c r="BA268" s="36">
        <v>0</v>
      </c>
      <c r="BB268" s="36">
        <v>0</v>
      </c>
      <c r="BC268" s="36">
        <v>0</v>
      </c>
      <c r="BD268" s="36">
        <v>1</v>
      </c>
      <c r="BE268" s="36">
        <v>1</v>
      </c>
      <c r="BF268" s="36">
        <v>1</v>
      </c>
      <c r="BG268" s="36">
        <v>1</v>
      </c>
      <c r="BH268" s="36">
        <v>1</v>
      </c>
      <c r="BI268" s="36">
        <v>0</v>
      </c>
      <c r="BJ268" s="36">
        <v>0</v>
      </c>
      <c r="BK268" s="36">
        <v>0</v>
      </c>
      <c r="BL268" s="36">
        <v>0</v>
      </c>
      <c r="BM268" s="37">
        <v>0</v>
      </c>
    </row>
    <row r="269" spans="16:65" s="3" customFormat="1" ht="18" customHeight="1" x14ac:dyDescent="0.2">
      <c r="P269" s="39">
        <v>16</v>
      </c>
      <c r="Q269" s="39">
        <v>40</v>
      </c>
      <c r="R269" s="35">
        <v>0</v>
      </c>
      <c r="S269" s="36">
        <v>0</v>
      </c>
      <c r="T269" s="36">
        <v>0</v>
      </c>
      <c r="U269" s="36">
        <v>0</v>
      </c>
      <c r="V269" s="36">
        <v>0</v>
      </c>
      <c r="W269" s="36">
        <v>0</v>
      </c>
      <c r="X269" s="36">
        <v>0</v>
      </c>
      <c r="Y269" s="36">
        <v>0</v>
      </c>
      <c r="Z269" s="36">
        <v>0</v>
      </c>
      <c r="AA269" s="36">
        <v>0</v>
      </c>
      <c r="AB269" s="36">
        <v>0</v>
      </c>
      <c r="AC269" s="36">
        <v>0</v>
      </c>
      <c r="AD269" s="36">
        <v>0</v>
      </c>
      <c r="AE269" s="36">
        <v>0</v>
      </c>
      <c r="AF269" s="36">
        <v>0</v>
      </c>
      <c r="AG269" s="36">
        <v>0</v>
      </c>
      <c r="AH269" s="36">
        <v>0</v>
      </c>
      <c r="AI269" s="36">
        <v>0</v>
      </c>
      <c r="AJ269" s="36">
        <v>0</v>
      </c>
      <c r="AK269" s="36">
        <v>0</v>
      </c>
      <c r="AL269" s="36">
        <v>0</v>
      </c>
      <c r="AM269" s="36">
        <v>0</v>
      </c>
      <c r="AN269" s="36">
        <v>0</v>
      </c>
      <c r="AO269" s="36">
        <v>0</v>
      </c>
      <c r="AP269" s="36">
        <v>0</v>
      </c>
      <c r="AQ269" s="36">
        <v>0</v>
      </c>
      <c r="AR269" s="36">
        <v>0</v>
      </c>
      <c r="AS269" s="36">
        <v>0</v>
      </c>
      <c r="AT269" s="36">
        <v>0</v>
      </c>
      <c r="AU269" s="36">
        <v>0</v>
      </c>
      <c r="AV269" s="36">
        <v>0</v>
      </c>
      <c r="AW269" s="36">
        <v>0</v>
      </c>
      <c r="AX269" s="36">
        <v>0</v>
      </c>
      <c r="AY269" s="36">
        <v>0</v>
      </c>
      <c r="AZ269" s="36">
        <v>0</v>
      </c>
      <c r="BA269" s="36">
        <v>0</v>
      </c>
      <c r="BB269" s="36">
        <v>0</v>
      </c>
      <c r="BC269" s="36">
        <v>0</v>
      </c>
      <c r="BD269" s="36">
        <v>1</v>
      </c>
      <c r="BE269" s="36">
        <v>1</v>
      </c>
      <c r="BF269" s="36">
        <v>1</v>
      </c>
      <c r="BG269" s="36">
        <v>1</v>
      </c>
      <c r="BH269" s="36">
        <v>1</v>
      </c>
      <c r="BI269" s="36">
        <v>0</v>
      </c>
      <c r="BJ269" s="36">
        <v>0</v>
      </c>
      <c r="BK269" s="36">
        <v>0</v>
      </c>
      <c r="BL269" s="36">
        <v>0</v>
      </c>
      <c r="BM269" s="37">
        <v>0</v>
      </c>
    </row>
    <row r="270" spans="16:65" s="3" customFormat="1" ht="18" customHeight="1" x14ac:dyDescent="0.2">
      <c r="P270" s="39">
        <v>16</v>
      </c>
      <c r="Q270" s="39">
        <v>41</v>
      </c>
      <c r="R270" s="35">
        <v>0</v>
      </c>
      <c r="S270" s="36">
        <v>0</v>
      </c>
      <c r="T270" s="36">
        <v>0</v>
      </c>
      <c r="U270" s="36">
        <v>0</v>
      </c>
      <c r="V270" s="36">
        <v>0</v>
      </c>
      <c r="W270" s="36">
        <v>0</v>
      </c>
      <c r="X270" s="36">
        <v>0</v>
      </c>
      <c r="Y270" s="36">
        <v>0</v>
      </c>
      <c r="Z270" s="36">
        <v>0</v>
      </c>
      <c r="AA270" s="36">
        <v>0</v>
      </c>
      <c r="AB270" s="36">
        <v>0</v>
      </c>
      <c r="AC270" s="36">
        <v>0</v>
      </c>
      <c r="AD270" s="36">
        <v>0</v>
      </c>
      <c r="AE270" s="36">
        <v>0</v>
      </c>
      <c r="AF270" s="36">
        <v>0</v>
      </c>
      <c r="AG270" s="36">
        <v>0</v>
      </c>
      <c r="AH270" s="36">
        <v>0</v>
      </c>
      <c r="AI270" s="36">
        <v>0</v>
      </c>
      <c r="AJ270" s="36">
        <v>0</v>
      </c>
      <c r="AK270" s="36">
        <v>0</v>
      </c>
      <c r="AL270" s="36">
        <v>0</v>
      </c>
      <c r="AM270" s="36">
        <v>0</v>
      </c>
      <c r="AN270" s="36">
        <v>0</v>
      </c>
      <c r="AO270" s="36">
        <v>0</v>
      </c>
      <c r="AP270" s="36">
        <v>0</v>
      </c>
      <c r="AQ270" s="36">
        <v>0</v>
      </c>
      <c r="AR270" s="36">
        <v>0</v>
      </c>
      <c r="AS270" s="36">
        <v>0</v>
      </c>
      <c r="AT270" s="36">
        <v>0</v>
      </c>
      <c r="AU270" s="36">
        <v>0</v>
      </c>
      <c r="AV270" s="36">
        <v>0</v>
      </c>
      <c r="AW270" s="36">
        <v>0</v>
      </c>
      <c r="AX270" s="36">
        <v>0</v>
      </c>
      <c r="AY270" s="36">
        <v>0</v>
      </c>
      <c r="AZ270" s="36">
        <v>0</v>
      </c>
      <c r="BA270" s="36">
        <v>0</v>
      </c>
      <c r="BB270" s="36">
        <v>0</v>
      </c>
      <c r="BC270" s="36">
        <v>0</v>
      </c>
      <c r="BD270" s="36">
        <v>1</v>
      </c>
      <c r="BE270" s="36">
        <v>1</v>
      </c>
      <c r="BF270" s="36">
        <v>1</v>
      </c>
      <c r="BG270" s="36">
        <v>1</v>
      </c>
      <c r="BH270" s="36">
        <v>1</v>
      </c>
      <c r="BI270" s="36">
        <v>0</v>
      </c>
      <c r="BJ270" s="36">
        <v>0</v>
      </c>
      <c r="BK270" s="36">
        <v>0</v>
      </c>
      <c r="BL270" s="36">
        <v>0</v>
      </c>
      <c r="BM270" s="37">
        <v>0</v>
      </c>
    </row>
    <row r="271" spans="16:65" s="3" customFormat="1" ht="18" customHeight="1" x14ac:dyDescent="0.2">
      <c r="P271" s="39">
        <v>16</v>
      </c>
      <c r="Q271" s="39">
        <v>42</v>
      </c>
      <c r="R271" s="35">
        <v>0</v>
      </c>
      <c r="S271" s="36">
        <v>0</v>
      </c>
      <c r="T271" s="36">
        <v>0</v>
      </c>
      <c r="U271" s="36">
        <v>0</v>
      </c>
      <c r="V271" s="36">
        <v>0</v>
      </c>
      <c r="W271" s="36">
        <v>0</v>
      </c>
      <c r="X271" s="36">
        <v>0</v>
      </c>
      <c r="Y271" s="36">
        <v>0</v>
      </c>
      <c r="Z271" s="36">
        <v>0</v>
      </c>
      <c r="AA271" s="36">
        <v>0</v>
      </c>
      <c r="AB271" s="36">
        <v>0</v>
      </c>
      <c r="AC271" s="36">
        <v>0</v>
      </c>
      <c r="AD271" s="36">
        <v>0</v>
      </c>
      <c r="AE271" s="36">
        <v>0</v>
      </c>
      <c r="AF271" s="36">
        <v>0</v>
      </c>
      <c r="AG271" s="36">
        <v>0</v>
      </c>
      <c r="AH271" s="36">
        <v>0</v>
      </c>
      <c r="AI271" s="36">
        <v>0</v>
      </c>
      <c r="AJ271" s="36">
        <v>0</v>
      </c>
      <c r="AK271" s="36">
        <v>0</v>
      </c>
      <c r="AL271" s="36">
        <v>0</v>
      </c>
      <c r="AM271" s="36">
        <v>0</v>
      </c>
      <c r="AN271" s="36">
        <v>0</v>
      </c>
      <c r="AO271" s="36">
        <v>0</v>
      </c>
      <c r="AP271" s="36">
        <v>0</v>
      </c>
      <c r="AQ271" s="36">
        <v>0</v>
      </c>
      <c r="AR271" s="36">
        <v>0</v>
      </c>
      <c r="AS271" s="36">
        <v>0</v>
      </c>
      <c r="AT271" s="36">
        <v>0</v>
      </c>
      <c r="AU271" s="36">
        <v>0</v>
      </c>
      <c r="AV271" s="36">
        <v>0</v>
      </c>
      <c r="AW271" s="36">
        <v>0</v>
      </c>
      <c r="AX271" s="36">
        <v>0</v>
      </c>
      <c r="AY271" s="36">
        <v>0</v>
      </c>
      <c r="AZ271" s="36">
        <v>0</v>
      </c>
      <c r="BA271" s="36">
        <v>0</v>
      </c>
      <c r="BB271" s="36">
        <v>0</v>
      </c>
      <c r="BC271" s="36">
        <v>0</v>
      </c>
      <c r="BD271" s="36">
        <v>1</v>
      </c>
      <c r="BE271" s="36">
        <v>1</v>
      </c>
      <c r="BF271" s="36">
        <v>1</v>
      </c>
      <c r="BG271" s="36">
        <v>1</v>
      </c>
      <c r="BH271" s="36">
        <v>1</v>
      </c>
      <c r="BI271" s="36">
        <v>0</v>
      </c>
      <c r="BJ271" s="36">
        <v>0</v>
      </c>
      <c r="BK271" s="36">
        <v>0</v>
      </c>
      <c r="BL271" s="36">
        <v>0</v>
      </c>
      <c r="BM271" s="37">
        <v>0</v>
      </c>
    </row>
    <row r="272" spans="16:65" s="3" customFormat="1" ht="18.5" customHeight="1" x14ac:dyDescent="0.2">
      <c r="P272" s="56">
        <v>16</v>
      </c>
      <c r="Q272" s="56">
        <v>43</v>
      </c>
      <c r="R272" s="35">
        <v>0</v>
      </c>
      <c r="S272" s="36">
        <v>0</v>
      </c>
      <c r="T272" s="36">
        <v>0</v>
      </c>
      <c r="U272" s="36">
        <v>0</v>
      </c>
      <c r="V272" s="36">
        <v>0</v>
      </c>
      <c r="W272" s="36">
        <v>0</v>
      </c>
      <c r="X272" s="36">
        <v>0</v>
      </c>
      <c r="Y272" s="36">
        <v>0</v>
      </c>
      <c r="Z272" s="36">
        <v>0</v>
      </c>
      <c r="AA272" s="36">
        <v>0</v>
      </c>
      <c r="AB272" s="36">
        <v>0</v>
      </c>
      <c r="AC272" s="36">
        <v>0</v>
      </c>
      <c r="AD272" s="36">
        <v>0</v>
      </c>
      <c r="AE272" s="36">
        <v>0</v>
      </c>
      <c r="AF272" s="36">
        <v>0</v>
      </c>
      <c r="AG272" s="36">
        <v>0</v>
      </c>
      <c r="AH272" s="36">
        <v>0</v>
      </c>
      <c r="AI272" s="36">
        <v>0</v>
      </c>
      <c r="AJ272" s="36">
        <v>0</v>
      </c>
      <c r="AK272" s="36">
        <v>0</v>
      </c>
      <c r="AL272" s="36">
        <v>0</v>
      </c>
      <c r="AM272" s="36">
        <v>0</v>
      </c>
      <c r="AN272" s="36">
        <v>0</v>
      </c>
      <c r="AO272" s="36">
        <v>0</v>
      </c>
      <c r="AP272" s="36">
        <v>0</v>
      </c>
      <c r="AQ272" s="36">
        <v>0</v>
      </c>
      <c r="AR272" s="36">
        <v>0</v>
      </c>
      <c r="AS272" s="36">
        <v>0</v>
      </c>
      <c r="AT272" s="36">
        <v>0</v>
      </c>
      <c r="AU272" s="36">
        <v>0</v>
      </c>
      <c r="AV272" s="36">
        <v>0</v>
      </c>
      <c r="AW272" s="36">
        <v>0</v>
      </c>
      <c r="AX272" s="36">
        <v>0</v>
      </c>
      <c r="AY272" s="36">
        <v>0</v>
      </c>
      <c r="AZ272" s="36">
        <v>0</v>
      </c>
      <c r="BA272" s="36">
        <v>0</v>
      </c>
      <c r="BB272" s="36">
        <v>0</v>
      </c>
      <c r="BC272" s="36">
        <v>0</v>
      </c>
      <c r="BD272" s="36">
        <v>1</v>
      </c>
      <c r="BE272" s="36">
        <v>1</v>
      </c>
      <c r="BF272" s="36">
        <v>1</v>
      </c>
      <c r="BG272" s="36">
        <v>1</v>
      </c>
      <c r="BH272" s="36">
        <v>1</v>
      </c>
      <c r="BI272" s="36">
        <v>0</v>
      </c>
      <c r="BJ272" s="36">
        <v>0</v>
      </c>
      <c r="BK272" s="36">
        <v>0</v>
      </c>
      <c r="BL272" s="36">
        <v>0</v>
      </c>
      <c r="BM272" s="37">
        <v>0</v>
      </c>
    </row>
    <row r="273" spans="16:65" s="3" customFormat="1" ht="19" customHeight="1" x14ac:dyDescent="0.2">
      <c r="P273" s="94">
        <v>25</v>
      </c>
      <c r="Q273" s="94">
        <v>44</v>
      </c>
      <c r="R273" s="35">
        <v>0</v>
      </c>
      <c r="S273" s="36">
        <v>0</v>
      </c>
      <c r="T273" s="36">
        <v>0</v>
      </c>
      <c r="U273" s="36">
        <v>0</v>
      </c>
      <c r="V273" s="36">
        <v>0</v>
      </c>
      <c r="W273" s="36">
        <v>0</v>
      </c>
      <c r="X273" s="36">
        <v>0</v>
      </c>
      <c r="Y273" s="36">
        <v>0</v>
      </c>
      <c r="Z273" s="36">
        <v>0</v>
      </c>
      <c r="AA273" s="36">
        <v>0</v>
      </c>
      <c r="AB273" s="36">
        <v>0</v>
      </c>
      <c r="AC273" s="36">
        <v>0</v>
      </c>
      <c r="AD273" s="36">
        <v>0</v>
      </c>
      <c r="AE273" s="36">
        <v>0</v>
      </c>
      <c r="AF273" s="36">
        <v>0</v>
      </c>
      <c r="AG273" s="36">
        <v>0</v>
      </c>
      <c r="AH273" s="36">
        <v>0</v>
      </c>
      <c r="AI273" s="36">
        <v>0</v>
      </c>
      <c r="AJ273" s="36">
        <v>0</v>
      </c>
      <c r="AK273" s="36">
        <v>0</v>
      </c>
      <c r="AL273" s="36">
        <v>0</v>
      </c>
      <c r="AM273" s="36">
        <v>0</v>
      </c>
      <c r="AN273" s="36">
        <v>0</v>
      </c>
      <c r="AO273" s="36">
        <v>0</v>
      </c>
      <c r="AP273" s="36">
        <v>0</v>
      </c>
      <c r="AQ273" s="36">
        <v>0</v>
      </c>
      <c r="AR273" s="36">
        <v>0</v>
      </c>
      <c r="AS273" s="36">
        <v>0</v>
      </c>
      <c r="AT273" s="36">
        <v>0</v>
      </c>
      <c r="AU273" s="36">
        <v>0</v>
      </c>
      <c r="AV273" s="36">
        <v>0</v>
      </c>
      <c r="AW273" s="36">
        <v>0</v>
      </c>
      <c r="AX273" s="36">
        <v>0</v>
      </c>
      <c r="AY273" s="36">
        <v>0</v>
      </c>
      <c r="AZ273" s="36">
        <v>0</v>
      </c>
      <c r="BA273" s="36">
        <v>0</v>
      </c>
      <c r="BB273" s="36">
        <v>0</v>
      </c>
      <c r="BC273" s="36">
        <v>0</v>
      </c>
      <c r="BD273" s="36">
        <v>0</v>
      </c>
      <c r="BE273" s="36">
        <v>0</v>
      </c>
      <c r="BF273" s="36">
        <v>0</v>
      </c>
      <c r="BG273" s="36">
        <v>0</v>
      </c>
      <c r="BH273" s="36">
        <v>0</v>
      </c>
      <c r="BI273" s="36">
        <v>1</v>
      </c>
      <c r="BJ273" s="36">
        <v>0</v>
      </c>
      <c r="BK273" s="36">
        <v>0</v>
      </c>
      <c r="BL273" s="36">
        <v>0</v>
      </c>
      <c r="BM273" s="37">
        <v>0</v>
      </c>
    </row>
    <row r="274" spans="16:65" s="3" customFormat="1" ht="18.5" customHeight="1" x14ac:dyDescent="0.2">
      <c r="P274" s="28">
        <v>34</v>
      </c>
      <c r="Q274" s="28">
        <v>45</v>
      </c>
      <c r="R274" s="35">
        <v>0</v>
      </c>
      <c r="S274" s="36">
        <v>0</v>
      </c>
      <c r="T274" s="36">
        <v>0</v>
      </c>
      <c r="U274" s="36">
        <v>0</v>
      </c>
      <c r="V274" s="36">
        <v>0</v>
      </c>
      <c r="W274" s="36">
        <v>0</v>
      </c>
      <c r="X274" s="36">
        <v>0</v>
      </c>
      <c r="Y274" s="36">
        <v>0</v>
      </c>
      <c r="Z274" s="36">
        <v>0</v>
      </c>
      <c r="AA274" s="36">
        <v>0</v>
      </c>
      <c r="AB274" s="36">
        <v>0</v>
      </c>
      <c r="AC274" s="36">
        <v>0</v>
      </c>
      <c r="AD274" s="36">
        <v>0</v>
      </c>
      <c r="AE274" s="36">
        <v>0</v>
      </c>
      <c r="AF274" s="36">
        <v>0</v>
      </c>
      <c r="AG274" s="36">
        <v>0</v>
      </c>
      <c r="AH274" s="36">
        <v>0</v>
      </c>
      <c r="AI274" s="36">
        <v>0</v>
      </c>
      <c r="AJ274" s="36">
        <v>0</v>
      </c>
      <c r="AK274" s="36">
        <v>0</v>
      </c>
      <c r="AL274" s="36">
        <v>0</v>
      </c>
      <c r="AM274" s="36">
        <v>0</v>
      </c>
      <c r="AN274" s="36">
        <v>0</v>
      </c>
      <c r="AO274" s="36">
        <v>0</v>
      </c>
      <c r="AP274" s="36">
        <v>0</v>
      </c>
      <c r="AQ274" s="36">
        <v>0</v>
      </c>
      <c r="AR274" s="36">
        <v>0</v>
      </c>
      <c r="AS274" s="36">
        <v>0</v>
      </c>
      <c r="AT274" s="36">
        <v>0</v>
      </c>
      <c r="AU274" s="36">
        <v>0</v>
      </c>
      <c r="AV274" s="36">
        <v>0</v>
      </c>
      <c r="AW274" s="36">
        <v>0</v>
      </c>
      <c r="AX274" s="36">
        <v>0</v>
      </c>
      <c r="AY274" s="36">
        <v>0</v>
      </c>
      <c r="AZ274" s="36">
        <v>0</v>
      </c>
      <c r="BA274" s="36">
        <v>0</v>
      </c>
      <c r="BB274" s="36">
        <v>0</v>
      </c>
      <c r="BC274" s="36">
        <v>0</v>
      </c>
      <c r="BD274" s="36">
        <v>0</v>
      </c>
      <c r="BE274" s="36">
        <v>0</v>
      </c>
      <c r="BF274" s="36">
        <v>0</v>
      </c>
      <c r="BG274" s="36">
        <v>0</v>
      </c>
      <c r="BH274" s="36">
        <v>0</v>
      </c>
      <c r="BI274" s="36">
        <v>0</v>
      </c>
      <c r="BJ274" s="36">
        <v>0.5</v>
      </c>
      <c r="BK274" s="36">
        <v>0.5</v>
      </c>
      <c r="BL274" s="36">
        <v>0.5</v>
      </c>
      <c r="BM274" s="37">
        <v>0</v>
      </c>
    </row>
    <row r="275" spans="16:65" s="3" customFormat="1" ht="18" customHeight="1" x14ac:dyDescent="0.2">
      <c r="P275" s="39">
        <v>34</v>
      </c>
      <c r="Q275" s="39">
        <v>46</v>
      </c>
      <c r="R275" s="35">
        <v>0</v>
      </c>
      <c r="S275" s="36">
        <v>0</v>
      </c>
      <c r="T275" s="36">
        <v>0</v>
      </c>
      <c r="U275" s="36">
        <v>0</v>
      </c>
      <c r="V275" s="36">
        <v>0</v>
      </c>
      <c r="W275" s="36">
        <v>0</v>
      </c>
      <c r="X275" s="36">
        <v>0</v>
      </c>
      <c r="Y275" s="36">
        <v>0</v>
      </c>
      <c r="Z275" s="36">
        <v>0</v>
      </c>
      <c r="AA275" s="36">
        <v>0</v>
      </c>
      <c r="AB275" s="36">
        <v>0</v>
      </c>
      <c r="AC275" s="36">
        <v>0</v>
      </c>
      <c r="AD275" s="36">
        <v>0</v>
      </c>
      <c r="AE275" s="36">
        <v>0</v>
      </c>
      <c r="AF275" s="36">
        <v>0</v>
      </c>
      <c r="AG275" s="36">
        <v>0</v>
      </c>
      <c r="AH275" s="36">
        <v>0</v>
      </c>
      <c r="AI275" s="36">
        <v>0</v>
      </c>
      <c r="AJ275" s="36">
        <v>0</v>
      </c>
      <c r="AK275" s="36">
        <v>0</v>
      </c>
      <c r="AL275" s="36">
        <v>0</v>
      </c>
      <c r="AM275" s="36">
        <v>0</v>
      </c>
      <c r="AN275" s="36">
        <v>0</v>
      </c>
      <c r="AO275" s="36">
        <v>0</v>
      </c>
      <c r="AP275" s="36">
        <v>0</v>
      </c>
      <c r="AQ275" s="36">
        <v>0</v>
      </c>
      <c r="AR275" s="36">
        <v>0</v>
      </c>
      <c r="AS275" s="36">
        <v>0</v>
      </c>
      <c r="AT275" s="36">
        <v>0</v>
      </c>
      <c r="AU275" s="36">
        <v>0</v>
      </c>
      <c r="AV275" s="36">
        <v>0</v>
      </c>
      <c r="AW275" s="36">
        <v>0</v>
      </c>
      <c r="AX275" s="36">
        <v>0</v>
      </c>
      <c r="AY275" s="36">
        <v>0</v>
      </c>
      <c r="AZ275" s="36">
        <v>0</v>
      </c>
      <c r="BA275" s="36">
        <v>0</v>
      </c>
      <c r="BB275" s="36">
        <v>0</v>
      </c>
      <c r="BC275" s="36">
        <v>0</v>
      </c>
      <c r="BD275" s="36">
        <v>0</v>
      </c>
      <c r="BE275" s="36">
        <v>0</v>
      </c>
      <c r="BF275" s="36">
        <v>0</v>
      </c>
      <c r="BG275" s="36">
        <v>0</v>
      </c>
      <c r="BH275" s="36">
        <v>0</v>
      </c>
      <c r="BI275" s="36">
        <v>0</v>
      </c>
      <c r="BJ275" s="36">
        <v>0.5</v>
      </c>
      <c r="BK275" s="36">
        <v>0.5</v>
      </c>
      <c r="BL275" s="36">
        <v>0.5</v>
      </c>
      <c r="BM275" s="37">
        <v>0</v>
      </c>
    </row>
    <row r="276" spans="16:65" s="3" customFormat="1" ht="18.5" customHeight="1" x14ac:dyDescent="0.2">
      <c r="P276" s="56">
        <v>34</v>
      </c>
      <c r="Q276" s="56">
        <v>47</v>
      </c>
      <c r="R276" s="35">
        <v>0</v>
      </c>
      <c r="S276" s="36">
        <v>0</v>
      </c>
      <c r="T276" s="36">
        <v>0</v>
      </c>
      <c r="U276" s="36">
        <v>0</v>
      </c>
      <c r="V276" s="36">
        <v>0</v>
      </c>
      <c r="W276" s="36">
        <v>0</v>
      </c>
      <c r="X276" s="36">
        <v>0</v>
      </c>
      <c r="Y276" s="36">
        <v>0</v>
      </c>
      <c r="Z276" s="36">
        <v>0</v>
      </c>
      <c r="AA276" s="36">
        <v>0</v>
      </c>
      <c r="AB276" s="36">
        <v>0</v>
      </c>
      <c r="AC276" s="36">
        <v>0</v>
      </c>
      <c r="AD276" s="36">
        <v>0</v>
      </c>
      <c r="AE276" s="36">
        <v>0</v>
      </c>
      <c r="AF276" s="36">
        <v>0</v>
      </c>
      <c r="AG276" s="36">
        <v>0</v>
      </c>
      <c r="AH276" s="36">
        <v>0</v>
      </c>
      <c r="AI276" s="36">
        <v>0</v>
      </c>
      <c r="AJ276" s="36">
        <v>0</v>
      </c>
      <c r="AK276" s="36">
        <v>0</v>
      </c>
      <c r="AL276" s="36">
        <v>0</v>
      </c>
      <c r="AM276" s="36">
        <v>0</v>
      </c>
      <c r="AN276" s="36">
        <v>0</v>
      </c>
      <c r="AO276" s="36">
        <v>0</v>
      </c>
      <c r="AP276" s="36">
        <v>0</v>
      </c>
      <c r="AQ276" s="36">
        <v>0</v>
      </c>
      <c r="AR276" s="36">
        <v>0</v>
      </c>
      <c r="AS276" s="36">
        <v>0</v>
      </c>
      <c r="AT276" s="36">
        <v>0</v>
      </c>
      <c r="AU276" s="36">
        <v>0</v>
      </c>
      <c r="AV276" s="36">
        <v>0</v>
      </c>
      <c r="AW276" s="36">
        <v>0</v>
      </c>
      <c r="AX276" s="36">
        <v>0</v>
      </c>
      <c r="AY276" s="36">
        <v>0</v>
      </c>
      <c r="AZ276" s="36">
        <v>0</v>
      </c>
      <c r="BA276" s="36">
        <v>0</v>
      </c>
      <c r="BB276" s="36">
        <v>0</v>
      </c>
      <c r="BC276" s="36">
        <v>0</v>
      </c>
      <c r="BD276" s="36">
        <v>0</v>
      </c>
      <c r="BE276" s="36">
        <v>0</v>
      </c>
      <c r="BF276" s="36">
        <v>0</v>
      </c>
      <c r="BG276" s="36">
        <v>0</v>
      </c>
      <c r="BH276" s="36">
        <v>0</v>
      </c>
      <c r="BI276" s="36">
        <v>0</v>
      </c>
      <c r="BJ276" s="36">
        <v>0.5</v>
      </c>
      <c r="BK276" s="36">
        <v>0.5</v>
      </c>
      <c r="BL276" s="36">
        <v>0.5</v>
      </c>
      <c r="BM276" s="37">
        <v>0</v>
      </c>
    </row>
    <row r="277" spans="16:65" s="3" customFormat="1" ht="19" customHeight="1" x14ac:dyDescent="0.2">
      <c r="P277" s="94">
        <v>82</v>
      </c>
      <c r="Q277" s="94">
        <v>48</v>
      </c>
      <c r="R277" s="32">
        <v>0</v>
      </c>
      <c r="S277" s="33">
        <v>0</v>
      </c>
      <c r="T277" s="33">
        <v>0</v>
      </c>
      <c r="U277" s="33">
        <v>0</v>
      </c>
      <c r="V277" s="33">
        <v>0</v>
      </c>
      <c r="W277" s="33">
        <v>0</v>
      </c>
      <c r="X277" s="33">
        <v>0</v>
      </c>
      <c r="Y277" s="33">
        <v>0</v>
      </c>
      <c r="Z277" s="33">
        <v>0</v>
      </c>
      <c r="AA277" s="33">
        <v>0</v>
      </c>
      <c r="AB277" s="33">
        <v>0</v>
      </c>
      <c r="AC277" s="33">
        <v>0</v>
      </c>
      <c r="AD277" s="33">
        <v>0</v>
      </c>
      <c r="AE277" s="33">
        <v>0</v>
      </c>
      <c r="AF277" s="33">
        <v>0</v>
      </c>
      <c r="AG277" s="33">
        <v>0</v>
      </c>
      <c r="AH277" s="33">
        <v>0</v>
      </c>
      <c r="AI277" s="33">
        <v>0</v>
      </c>
      <c r="AJ277" s="33">
        <v>0</v>
      </c>
      <c r="AK277" s="33">
        <v>0</v>
      </c>
      <c r="AL277" s="33">
        <v>0</v>
      </c>
      <c r="AM277" s="33">
        <v>0</v>
      </c>
      <c r="AN277" s="33">
        <v>0</v>
      </c>
      <c r="AO277" s="33">
        <v>0</v>
      </c>
      <c r="AP277" s="33">
        <v>0</v>
      </c>
      <c r="AQ277" s="33">
        <v>0</v>
      </c>
      <c r="AR277" s="33">
        <v>0</v>
      </c>
      <c r="AS277" s="33">
        <v>0</v>
      </c>
      <c r="AT277" s="33">
        <v>0</v>
      </c>
      <c r="AU277" s="33">
        <v>0</v>
      </c>
      <c r="AV277" s="33">
        <v>0</v>
      </c>
      <c r="AW277" s="33">
        <v>0</v>
      </c>
      <c r="AX277" s="33">
        <v>0</v>
      </c>
      <c r="AY277" s="33">
        <v>0</v>
      </c>
      <c r="AZ277" s="33">
        <v>0</v>
      </c>
      <c r="BA277" s="33">
        <v>0</v>
      </c>
      <c r="BB277" s="33">
        <v>0</v>
      </c>
      <c r="BC277" s="33">
        <v>0</v>
      </c>
      <c r="BD277" s="33">
        <v>0</v>
      </c>
      <c r="BE277" s="33">
        <v>0</v>
      </c>
      <c r="BF277" s="33">
        <v>0</v>
      </c>
      <c r="BG277" s="33">
        <v>0</v>
      </c>
      <c r="BH277" s="33">
        <v>0</v>
      </c>
      <c r="BI277" s="33">
        <v>0</v>
      </c>
      <c r="BJ277" s="33">
        <v>0</v>
      </c>
      <c r="BK277" s="33">
        <v>0</v>
      </c>
      <c r="BL277" s="33">
        <v>0</v>
      </c>
      <c r="BM277" s="34">
        <v>0.33333333333333298</v>
      </c>
    </row>
    <row r="290" spans="1:17" s="3" customFormat="1" ht="19" customHeight="1" x14ac:dyDescent="0.2">
      <c r="A290" s="191" t="s">
        <v>86</v>
      </c>
      <c r="B290" s="8" t="s">
        <v>12</v>
      </c>
      <c r="C290" s="8" t="s">
        <v>220</v>
      </c>
      <c r="H290" s="4" t="s">
        <v>221</v>
      </c>
    </row>
    <row r="291" spans="1:17" s="3" customFormat="1" ht="19" customHeight="1" x14ac:dyDescent="0.2">
      <c r="A291" s="6" t="s">
        <v>222</v>
      </c>
      <c r="B291" s="202">
        <v>1</v>
      </c>
      <c r="C291" s="29">
        <v>15</v>
      </c>
      <c r="G291" s="8" t="s">
        <v>12</v>
      </c>
      <c r="H291" s="9">
        <v>1</v>
      </c>
      <c r="I291" s="10">
        <v>2</v>
      </c>
      <c r="J291" s="10">
        <v>3</v>
      </c>
      <c r="K291" s="10">
        <v>4</v>
      </c>
      <c r="L291" s="10">
        <v>5</v>
      </c>
      <c r="M291" s="10">
        <v>6</v>
      </c>
      <c r="N291" s="10">
        <v>7</v>
      </c>
      <c r="O291" s="10">
        <v>8</v>
      </c>
      <c r="P291" s="10">
        <v>9</v>
      </c>
      <c r="Q291" s="11">
        <v>10</v>
      </c>
    </row>
    <row r="292" spans="1:17" s="3" customFormat="1" ht="18.5" customHeight="1" x14ac:dyDescent="0.2">
      <c r="B292" s="203">
        <v>2</v>
      </c>
      <c r="C292" s="40">
        <v>45</v>
      </c>
      <c r="G292" s="28">
        <v>1</v>
      </c>
      <c r="H292" s="268">
        <v>7.3842155009451798E-6</v>
      </c>
      <c r="I292" s="24">
        <v>0</v>
      </c>
      <c r="J292" s="24">
        <v>0</v>
      </c>
      <c r="K292" s="24">
        <v>0</v>
      </c>
      <c r="L292" s="24">
        <v>0</v>
      </c>
      <c r="M292" s="24">
        <v>0</v>
      </c>
      <c r="N292" s="24">
        <v>0</v>
      </c>
      <c r="O292" s="24">
        <v>0</v>
      </c>
      <c r="P292" s="24">
        <v>0</v>
      </c>
      <c r="Q292" s="24">
        <v>0</v>
      </c>
    </row>
    <row r="293" spans="1:17" s="3" customFormat="1" ht="18" customHeight="1" x14ac:dyDescent="0.2">
      <c r="B293" s="203">
        <v>3</v>
      </c>
      <c r="C293" s="40">
        <v>38</v>
      </c>
      <c r="G293" s="39">
        <v>2</v>
      </c>
      <c r="H293" s="35">
        <v>0</v>
      </c>
      <c r="I293" s="269">
        <v>7.3842155009451798E-6</v>
      </c>
      <c r="J293" s="36">
        <v>0</v>
      </c>
      <c r="K293" s="36">
        <v>0</v>
      </c>
      <c r="L293" s="36">
        <v>0</v>
      </c>
      <c r="M293" s="36">
        <v>0</v>
      </c>
      <c r="N293" s="36">
        <v>0</v>
      </c>
      <c r="O293" s="36">
        <v>0</v>
      </c>
      <c r="P293" s="36">
        <v>0</v>
      </c>
      <c r="Q293" s="36">
        <v>0</v>
      </c>
    </row>
    <row r="294" spans="1:17" s="3" customFormat="1" ht="18" customHeight="1" x14ac:dyDescent="0.2">
      <c r="B294" s="203">
        <v>4</v>
      </c>
      <c r="C294" s="40">
        <v>30</v>
      </c>
      <c r="G294" s="39">
        <v>3</v>
      </c>
      <c r="H294" s="35">
        <v>0</v>
      </c>
      <c r="I294" s="36">
        <v>0</v>
      </c>
      <c r="J294" s="269">
        <v>7.3842155009451798E-6</v>
      </c>
      <c r="K294" s="36">
        <v>0</v>
      </c>
      <c r="L294" s="36">
        <v>0</v>
      </c>
      <c r="M294" s="36">
        <v>0</v>
      </c>
      <c r="N294" s="36">
        <v>0</v>
      </c>
      <c r="O294" s="36">
        <v>0</v>
      </c>
      <c r="P294" s="36">
        <v>0</v>
      </c>
      <c r="Q294" s="36">
        <v>0</v>
      </c>
    </row>
    <row r="295" spans="1:17" s="3" customFormat="1" ht="18" customHeight="1" x14ac:dyDescent="0.2">
      <c r="B295" s="203">
        <v>5</v>
      </c>
      <c r="C295" s="40">
        <v>23</v>
      </c>
      <c r="G295" s="39">
        <v>4</v>
      </c>
      <c r="H295" s="35">
        <v>0</v>
      </c>
      <c r="I295" s="36">
        <v>0</v>
      </c>
      <c r="J295" s="36">
        <v>0</v>
      </c>
      <c r="K295" s="269">
        <v>7.3842155009451798E-6</v>
      </c>
      <c r="L295" s="36">
        <v>0</v>
      </c>
      <c r="M295" s="36">
        <v>0</v>
      </c>
      <c r="N295" s="36">
        <v>0</v>
      </c>
      <c r="O295" s="36">
        <v>0</v>
      </c>
      <c r="P295" s="36">
        <v>0</v>
      </c>
      <c r="Q295" s="36">
        <v>0</v>
      </c>
    </row>
    <row r="296" spans="1:17" s="3" customFormat="1" ht="18" customHeight="1" x14ac:dyDescent="0.2">
      <c r="B296" s="203">
        <v>6</v>
      </c>
      <c r="C296" s="40">
        <v>47</v>
      </c>
      <c r="G296" s="39">
        <v>5</v>
      </c>
      <c r="H296" s="35">
        <v>0</v>
      </c>
      <c r="I296" s="36">
        <v>0</v>
      </c>
      <c r="J296" s="36">
        <v>0</v>
      </c>
      <c r="K296" s="36">
        <v>0</v>
      </c>
      <c r="L296" s="269">
        <v>7.3842155009451798E-6</v>
      </c>
      <c r="M296" s="36">
        <v>0</v>
      </c>
      <c r="N296" s="36">
        <v>0</v>
      </c>
      <c r="O296" s="36">
        <v>0</v>
      </c>
      <c r="P296" s="36">
        <v>0</v>
      </c>
      <c r="Q296" s="36">
        <v>0</v>
      </c>
    </row>
    <row r="297" spans="1:17" s="3" customFormat="1" ht="18" customHeight="1" x14ac:dyDescent="0.2">
      <c r="B297" s="203">
        <v>7</v>
      </c>
      <c r="C297" s="40">
        <v>20</v>
      </c>
      <c r="G297" s="39">
        <v>6</v>
      </c>
      <c r="H297" s="35">
        <v>0</v>
      </c>
      <c r="I297" s="36">
        <v>0</v>
      </c>
      <c r="J297" s="36">
        <v>0</v>
      </c>
      <c r="K297" s="36">
        <v>0</v>
      </c>
      <c r="L297" s="36">
        <v>0</v>
      </c>
      <c r="M297" s="269">
        <v>7.3842155009451798E-6</v>
      </c>
      <c r="N297" s="36">
        <v>0</v>
      </c>
      <c r="O297" s="36">
        <v>0</v>
      </c>
      <c r="P297" s="36">
        <v>0</v>
      </c>
      <c r="Q297" s="36">
        <v>0</v>
      </c>
    </row>
    <row r="298" spans="1:17" s="3" customFormat="1" ht="18" customHeight="1" x14ac:dyDescent="0.2">
      <c r="B298" s="203">
        <v>8</v>
      </c>
      <c r="C298" s="40">
        <v>15</v>
      </c>
      <c r="G298" s="39">
        <v>7</v>
      </c>
      <c r="H298" s="35">
        <v>0</v>
      </c>
      <c r="I298" s="36">
        <v>0</v>
      </c>
      <c r="J298" s="36">
        <v>0</v>
      </c>
      <c r="K298" s="36">
        <v>0</v>
      </c>
      <c r="L298" s="36">
        <v>0</v>
      </c>
      <c r="M298" s="36">
        <v>0</v>
      </c>
      <c r="N298" s="269">
        <v>7.3842155009451798E-6</v>
      </c>
      <c r="O298" s="36">
        <v>0</v>
      </c>
      <c r="P298" s="36">
        <v>0</v>
      </c>
      <c r="Q298" s="36">
        <v>0</v>
      </c>
    </row>
    <row r="299" spans="1:17" s="3" customFormat="1" ht="18" customHeight="1" x14ac:dyDescent="0.2">
      <c r="B299" s="203">
        <v>9</v>
      </c>
      <c r="C299" s="40">
        <v>90</v>
      </c>
      <c r="G299" s="39">
        <v>8</v>
      </c>
      <c r="H299" s="35">
        <v>0</v>
      </c>
      <c r="I299" s="36">
        <v>0</v>
      </c>
      <c r="J299" s="36">
        <v>0</v>
      </c>
      <c r="K299" s="36">
        <v>0</v>
      </c>
      <c r="L299" s="36">
        <v>0</v>
      </c>
      <c r="M299" s="36">
        <v>0</v>
      </c>
      <c r="N299" s="36">
        <v>0</v>
      </c>
      <c r="O299" s="269">
        <v>7.3842155009451798E-6</v>
      </c>
      <c r="P299" s="36">
        <v>0</v>
      </c>
      <c r="Q299" s="36">
        <v>0</v>
      </c>
    </row>
    <row r="300" spans="1:17" s="3" customFormat="1" ht="18.5" customHeight="1" x14ac:dyDescent="0.2">
      <c r="B300" s="204">
        <v>10</v>
      </c>
      <c r="C300" s="57">
        <v>45</v>
      </c>
      <c r="G300" s="39">
        <v>9</v>
      </c>
      <c r="H300" s="35">
        <v>0</v>
      </c>
      <c r="I300" s="36">
        <v>0</v>
      </c>
      <c r="J300" s="36">
        <v>0</v>
      </c>
      <c r="K300" s="36">
        <v>0</v>
      </c>
      <c r="L300" s="36">
        <v>0</v>
      </c>
      <c r="M300" s="36">
        <v>0</v>
      </c>
      <c r="N300" s="36">
        <v>0</v>
      </c>
      <c r="O300" s="36">
        <v>0</v>
      </c>
      <c r="P300" s="269">
        <v>7.3842155009451798E-6</v>
      </c>
      <c r="Q300" s="36">
        <v>0</v>
      </c>
    </row>
    <row r="301" spans="1:17" s="3" customFormat="1" ht="19" customHeight="1" x14ac:dyDescent="0.2">
      <c r="A301" s="147" t="s">
        <v>223</v>
      </c>
      <c r="B301" s="8" t="s">
        <v>224</v>
      </c>
      <c r="C301" s="94">
        <f>SUM(C291:C300)</f>
        <v>368</v>
      </c>
      <c r="G301" s="56">
        <v>10</v>
      </c>
      <c r="H301" s="35">
        <v>0</v>
      </c>
      <c r="I301" s="36">
        <v>0</v>
      </c>
      <c r="J301" s="36">
        <v>0</v>
      </c>
      <c r="K301" s="36">
        <v>0</v>
      </c>
      <c r="L301" s="36">
        <v>0</v>
      </c>
      <c r="M301" s="36">
        <v>0</v>
      </c>
      <c r="N301" s="36">
        <v>0</v>
      </c>
      <c r="O301" s="36">
        <v>0</v>
      </c>
      <c r="P301" s="36">
        <v>0</v>
      </c>
      <c r="Q301" s="269">
        <v>7.3842155009451798E-6</v>
      </c>
    </row>
    <row r="302" spans="1:17" s="3" customFormat="1" ht="19" customHeight="1" x14ac:dyDescent="0.2">
      <c r="B302" s="8" t="s">
        <v>225</v>
      </c>
      <c r="C302" s="270">
        <f>1/(C301*C301)</f>
        <v>7.3842155009451798E-6</v>
      </c>
    </row>
    <row r="304" spans="1:17" s="3" customFormat="1" ht="19" customHeight="1" x14ac:dyDescent="0.2">
      <c r="H304" s="6" t="s">
        <v>226</v>
      </c>
      <c r="I304" s="4" t="s">
        <v>227</v>
      </c>
      <c r="K304" s="198" t="s">
        <v>228</v>
      </c>
    </row>
    <row r="305" spans="1:59" s="3" customFormat="1" ht="19" customHeight="1" x14ac:dyDescent="0.2">
      <c r="H305" s="8" t="s">
        <v>229</v>
      </c>
      <c r="I305" s="9">
        <v>1</v>
      </c>
      <c r="J305" s="10">
        <v>2</v>
      </c>
      <c r="K305" s="10">
        <v>3</v>
      </c>
      <c r="L305" s="10">
        <v>4</v>
      </c>
      <c r="M305" s="10">
        <v>5</v>
      </c>
      <c r="N305" s="10">
        <v>6</v>
      </c>
      <c r="O305" s="10">
        <v>7</v>
      </c>
      <c r="P305" s="10">
        <v>8</v>
      </c>
      <c r="Q305" s="10">
        <v>9</v>
      </c>
      <c r="R305" s="10">
        <v>10</v>
      </c>
      <c r="S305" s="10">
        <v>11</v>
      </c>
      <c r="T305" s="10">
        <v>12</v>
      </c>
      <c r="U305" s="10">
        <v>13</v>
      </c>
      <c r="V305" s="10">
        <v>14</v>
      </c>
      <c r="W305" s="10">
        <v>15</v>
      </c>
      <c r="X305" s="10">
        <v>16</v>
      </c>
      <c r="Y305" s="10">
        <v>17</v>
      </c>
      <c r="Z305" s="10">
        <v>18</v>
      </c>
      <c r="AA305" s="10">
        <v>19</v>
      </c>
      <c r="AB305" s="10">
        <v>20</v>
      </c>
      <c r="AC305" s="10">
        <v>21</v>
      </c>
      <c r="AD305" s="10">
        <v>22</v>
      </c>
      <c r="AE305" s="10">
        <v>23</v>
      </c>
      <c r="AF305" s="10">
        <v>24</v>
      </c>
      <c r="AG305" s="10">
        <v>25</v>
      </c>
      <c r="AH305" s="10">
        <v>26</v>
      </c>
      <c r="AI305" s="10">
        <v>27</v>
      </c>
      <c r="AJ305" s="10">
        <v>28</v>
      </c>
      <c r="AK305" s="10">
        <v>29</v>
      </c>
      <c r="AL305" s="10">
        <v>30</v>
      </c>
      <c r="AM305" s="10">
        <v>31</v>
      </c>
      <c r="AN305" s="10">
        <v>32</v>
      </c>
      <c r="AO305" s="10">
        <v>33</v>
      </c>
      <c r="AP305" s="10">
        <v>34</v>
      </c>
      <c r="AQ305" s="10">
        <v>35</v>
      </c>
      <c r="AR305" s="10">
        <v>36</v>
      </c>
      <c r="AS305" s="10">
        <v>37</v>
      </c>
      <c r="AT305" s="10">
        <v>38</v>
      </c>
      <c r="AU305" s="10">
        <v>39</v>
      </c>
      <c r="AV305" s="10">
        <v>40</v>
      </c>
      <c r="AW305" s="10">
        <v>41</v>
      </c>
      <c r="AX305" s="10">
        <v>42</v>
      </c>
      <c r="AY305" s="10">
        <v>43</v>
      </c>
      <c r="AZ305" s="10">
        <v>44</v>
      </c>
      <c r="BA305" s="10">
        <v>45</v>
      </c>
      <c r="BB305" s="10">
        <v>46</v>
      </c>
      <c r="BC305" s="10">
        <v>47</v>
      </c>
      <c r="BD305" s="11">
        <v>48</v>
      </c>
    </row>
    <row r="306" spans="1:59" s="3" customFormat="1" ht="18.5" customHeight="1" x14ac:dyDescent="0.2">
      <c r="H306" s="28">
        <v>1</v>
      </c>
      <c r="I306" s="268">
        <v>7.3842155009451798E-6</v>
      </c>
      <c r="J306" s="24">
        <v>0</v>
      </c>
      <c r="K306" s="24">
        <v>0</v>
      </c>
      <c r="L306" s="24">
        <v>0</v>
      </c>
      <c r="M306" s="24">
        <v>0</v>
      </c>
      <c r="N306" s="24">
        <v>0</v>
      </c>
      <c r="O306" s="24">
        <v>0</v>
      </c>
      <c r="P306" s="24">
        <v>0</v>
      </c>
      <c r="Q306" s="24">
        <v>0</v>
      </c>
      <c r="R306" s="271">
        <v>7.3842155009451798E-6</v>
      </c>
      <c r="S306" s="24">
        <v>0</v>
      </c>
      <c r="T306" s="24">
        <v>0</v>
      </c>
      <c r="U306" s="24">
        <v>0</v>
      </c>
      <c r="V306" s="24">
        <v>0</v>
      </c>
      <c r="W306" s="24">
        <v>0</v>
      </c>
      <c r="X306" s="271">
        <v>7.3842155009451798E-6</v>
      </c>
      <c r="Y306" s="24">
        <v>0</v>
      </c>
      <c r="Z306" s="24">
        <v>0</v>
      </c>
      <c r="AA306" s="24">
        <v>0</v>
      </c>
      <c r="AB306" s="24">
        <v>0</v>
      </c>
      <c r="AC306" s="24">
        <v>0</v>
      </c>
      <c r="AD306" s="24">
        <v>0</v>
      </c>
      <c r="AE306" s="271">
        <v>7.3842155009451798E-6</v>
      </c>
      <c r="AF306" s="24">
        <v>0</v>
      </c>
      <c r="AG306" s="24">
        <v>0</v>
      </c>
      <c r="AH306" s="24">
        <v>0</v>
      </c>
      <c r="AI306" s="24">
        <v>0</v>
      </c>
      <c r="AJ306" s="24">
        <v>0</v>
      </c>
      <c r="AK306" s="271">
        <v>7.3842155009451798E-6</v>
      </c>
      <c r="AL306" s="24">
        <v>0</v>
      </c>
      <c r="AM306" s="24">
        <v>0</v>
      </c>
      <c r="AN306" s="24">
        <v>0</v>
      </c>
      <c r="AO306" s="24">
        <v>0</v>
      </c>
      <c r="AP306" s="24">
        <v>0</v>
      </c>
      <c r="AQ306" s="24">
        <v>0</v>
      </c>
      <c r="AR306" s="24">
        <v>0</v>
      </c>
      <c r="AS306" s="24">
        <v>0</v>
      </c>
      <c r="AT306" s="24">
        <v>0</v>
      </c>
      <c r="AU306" s="271">
        <v>7.3842155009451798E-6</v>
      </c>
      <c r="AV306" s="24">
        <v>0</v>
      </c>
      <c r="AW306" s="24">
        <v>0</v>
      </c>
      <c r="AX306" s="24">
        <v>0</v>
      </c>
      <c r="AY306" s="24">
        <v>0</v>
      </c>
      <c r="AZ306" s="24">
        <v>0</v>
      </c>
      <c r="BA306" s="24">
        <v>0</v>
      </c>
      <c r="BB306" s="24">
        <v>0</v>
      </c>
      <c r="BC306" s="24">
        <v>0</v>
      </c>
      <c r="BD306" s="25">
        <v>0</v>
      </c>
      <c r="BE306" s="272"/>
      <c r="BF306" s="273"/>
      <c r="BG306" s="273"/>
    </row>
    <row r="307" spans="1:59" s="3" customFormat="1" ht="18.5" customHeight="1" x14ac:dyDescent="0.2">
      <c r="H307" s="39">
        <v>2</v>
      </c>
      <c r="I307" s="35">
        <v>0</v>
      </c>
      <c r="J307" s="269">
        <v>7.3842155009451798E-6</v>
      </c>
      <c r="K307" s="36">
        <v>0</v>
      </c>
      <c r="L307" s="36">
        <v>0</v>
      </c>
      <c r="M307" s="36">
        <v>0</v>
      </c>
      <c r="N307" s="36">
        <v>0</v>
      </c>
      <c r="O307" s="36">
        <v>0</v>
      </c>
      <c r="P307" s="36">
        <v>0</v>
      </c>
      <c r="Q307" s="36">
        <v>0</v>
      </c>
      <c r="R307" s="36">
        <v>0</v>
      </c>
      <c r="S307" s="269">
        <v>7.3842155009451798E-6</v>
      </c>
      <c r="T307" s="36">
        <v>0</v>
      </c>
      <c r="U307" s="36">
        <v>0</v>
      </c>
      <c r="V307" s="36">
        <v>0</v>
      </c>
      <c r="W307" s="36">
        <v>0</v>
      </c>
      <c r="X307" s="36">
        <v>0</v>
      </c>
      <c r="Y307" s="269">
        <v>7.3842155009451798E-6</v>
      </c>
      <c r="Z307" s="36">
        <v>0</v>
      </c>
      <c r="AA307" s="36">
        <v>0</v>
      </c>
      <c r="AB307" s="36">
        <v>0</v>
      </c>
      <c r="AC307" s="36">
        <v>0</v>
      </c>
      <c r="AD307" s="36">
        <v>0</v>
      </c>
      <c r="AE307" s="36">
        <v>0</v>
      </c>
      <c r="AF307" s="269">
        <v>7.3842155009451798E-6</v>
      </c>
      <c r="AG307" s="36">
        <v>0</v>
      </c>
      <c r="AH307" s="36">
        <v>0</v>
      </c>
      <c r="AI307" s="36">
        <v>0</v>
      </c>
      <c r="AJ307" s="36">
        <v>0</v>
      </c>
      <c r="AK307" s="36">
        <v>0</v>
      </c>
      <c r="AL307" s="269">
        <v>7.3842155009451798E-6</v>
      </c>
      <c r="AM307" s="36">
        <v>0</v>
      </c>
      <c r="AN307" s="36">
        <v>0</v>
      </c>
      <c r="AO307" s="36">
        <v>0</v>
      </c>
      <c r="AP307" s="36">
        <v>0</v>
      </c>
      <c r="AQ307" s="36">
        <v>0</v>
      </c>
      <c r="AR307" s="36">
        <v>0</v>
      </c>
      <c r="AS307" s="36">
        <v>0</v>
      </c>
      <c r="AT307" s="36">
        <v>0</v>
      </c>
      <c r="AU307" s="36">
        <v>0</v>
      </c>
      <c r="AV307" s="269">
        <v>7.3842155009451798E-6</v>
      </c>
      <c r="AW307" s="36">
        <v>0</v>
      </c>
      <c r="AX307" s="36">
        <v>0</v>
      </c>
      <c r="AY307" s="36">
        <v>0</v>
      </c>
      <c r="AZ307" s="36">
        <v>0</v>
      </c>
      <c r="BA307" s="36">
        <v>0</v>
      </c>
      <c r="BB307" s="36">
        <v>0</v>
      </c>
      <c r="BC307" s="36">
        <v>0</v>
      </c>
      <c r="BD307" s="37">
        <v>0</v>
      </c>
      <c r="BE307" s="272"/>
      <c r="BF307" s="273"/>
      <c r="BG307" s="273"/>
    </row>
    <row r="308" spans="1:59" s="3" customFormat="1" ht="19" customHeight="1" x14ac:dyDescent="0.2">
      <c r="B308" s="6" t="s">
        <v>230</v>
      </c>
      <c r="D308" s="8" t="s">
        <v>231</v>
      </c>
      <c r="H308" s="39">
        <v>3</v>
      </c>
      <c r="I308" s="35">
        <v>0</v>
      </c>
      <c r="J308" s="36">
        <v>0</v>
      </c>
      <c r="K308" s="269">
        <v>7.3842155009451798E-6</v>
      </c>
      <c r="L308" s="36">
        <v>0</v>
      </c>
      <c r="M308" s="36">
        <v>0</v>
      </c>
      <c r="N308" s="36">
        <v>0</v>
      </c>
      <c r="O308" s="269">
        <v>7.3842155009451798E-6</v>
      </c>
      <c r="P308" s="36">
        <v>0</v>
      </c>
      <c r="Q308" s="36">
        <v>0</v>
      </c>
      <c r="R308" s="36">
        <v>0</v>
      </c>
      <c r="S308" s="36">
        <v>0</v>
      </c>
      <c r="T308" s="269">
        <v>7.3842155009451798E-6</v>
      </c>
      <c r="U308" s="36">
        <v>0</v>
      </c>
      <c r="V308" s="36">
        <v>0</v>
      </c>
      <c r="W308" s="36">
        <v>0</v>
      </c>
      <c r="X308" s="36">
        <v>0</v>
      </c>
      <c r="Y308" s="36">
        <v>0</v>
      </c>
      <c r="Z308" s="269">
        <v>7.3842155009451798E-6</v>
      </c>
      <c r="AA308" s="36">
        <v>0</v>
      </c>
      <c r="AB308" s="36">
        <v>0</v>
      </c>
      <c r="AC308" s="36">
        <v>0</v>
      </c>
      <c r="AD308" s="36">
        <v>0</v>
      </c>
      <c r="AE308" s="36">
        <v>0</v>
      </c>
      <c r="AF308" s="36">
        <v>0</v>
      </c>
      <c r="AG308" s="269">
        <v>7.3842155009451798E-6</v>
      </c>
      <c r="AH308" s="36">
        <v>0</v>
      </c>
      <c r="AI308" s="36">
        <v>0</v>
      </c>
      <c r="AJ308" s="36">
        <v>0</v>
      </c>
      <c r="AK308" s="36">
        <v>0</v>
      </c>
      <c r="AL308" s="36">
        <v>0</v>
      </c>
      <c r="AM308" s="36">
        <v>0</v>
      </c>
      <c r="AN308" s="269">
        <v>7.3842155009451798E-6</v>
      </c>
      <c r="AO308" s="36">
        <v>0</v>
      </c>
      <c r="AP308" s="36">
        <v>0</v>
      </c>
      <c r="AQ308" s="36">
        <v>0</v>
      </c>
      <c r="AR308" s="36">
        <v>0</v>
      </c>
      <c r="AS308" s="36">
        <v>0</v>
      </c>
      <c r="AT308" s="36">
        <v>0</v>
      </c>
      <c r="AU308" s="36">
        <v>0</v>
      </c>
      <c r="AV308" s="36">
        <v>0</v>
      </c>
      <c r="AW308" s="269">
        <v>7.3842155009451798E-6</v>
      </c>
      <c r="AX308" s="36">
        <v>0</v>
      </c>
      <c r="AY308" s="36">
        <v>0</v>
      </c>
      <c r="AZ308" s="269">
        <v>7.3842155009451798E-6</v>
      </c>
      <c r="BA308" s="269">
        <v>7.3842155009451798E-6</v>
      </c>
      <c r="BB308" s="36">
        <v>0</v>
      </c>
      <c r="BC308" s="36">
        <v>0</v>
      </c>
      <c r="BD308" s="274">
        <v>7.3842155009451798E-6</v>
      </c>
      <c r="BE308" s="272"/>
      <c r="BF308" s="273"/>
      <c r="BG308" s="273"/>
    </row>
    <row r="309" spans="1:59" s="3" customFormat="1" ht="19" customHeight="1" x14ac:dyDescent="0.2">
      <c r="A309" s="8" t="s">
        <v>12</v>
      </c>
      <c r="B309" s="17" t="s">
        <v>161</v>
      </c>
      <c r="C309" s="18" t="s">
        <v>232</v>
      </c>
      <c r="D309" s="18" t="s">
        <v>233</v>
      </c>
      <c r="E309" s="13"/>
      <c r="H309" s="39">
        <v>4</v>
      </c>
      <c r="I309" s="35">
        <v>0</v>
      </c>
      <c r="J309" s="36">
        <v>0</v>
      </c>
      <c r="K309" s="36">
        <v>0</v>
      </c>
      <c r="L309" s="269">
        <v>7.3842155009451798E-6</v>
      </c>
      <c r="M309" s="36">
        <v>0</v>
      </c>
      <c r="N309" s="36">
        <v>0</v>
      </c>
      <c r="O309" s="36">
        <v>0</v>
      </c>
      <c r="P309" s="36">
        <v>0</v>
      </c>
      <c r="Q309" s="36">
        <v>0</v>
      </c>
      <c r="R309" s="36">
        <v>0</v>
      </c>
      <c r="S309" s="36">
        <v>0</v>
      </c>
      <c r="T309" s="36">
        <v>0</v>
      </c>
      <c r="U309" s="269">
        <v>7.3842155009451798E-6</v>
      </c>
      <c r="V309" s="36">
        <v>0</v>
      </c>
      <c r="W309" s="36">
        <v>0</v>
      </c>
      <c r="X309" s="36">
        <v>0</v>
      </c>
      <c r="Y309" s="36">
        <v>0</v>
      </c>
      <c r="Z309" s="36">
        <v>0</v>
      </c>
      <c r="AA309" s="36">
        <v>0</v>
      </c>
      <c r="AB309" s="269">
        <v>7.3842155009451798E-6</v>
      </c>
      <c r="AC309" s="36">
        <v>0</v>
      </c>
      <c r="AD309" s="36">
        <v>0</v>
      </c>
      <c r="AE309" s="36">
        <v>0</v>
      </c>
      <c r="AF309" s="36">
        <v>0</v>
      </c>
      <c r="AG309" s="36">
        <v>0</v>
      </c>
      <c r="AH309" s="269">
        <v>7.3842155009451798E-6</v>
      </c>
      <c r="AI309" s="36">
        <v>0</v>
      </c>
      <c r="AJ309" s="36">
        <v>0</v>
      </c>
      <c r="AK309" s="36">
        <v>0</v>
      </c>
      <c r="AL309" s="36">
        <v>0</v>
      </c>
      <c r="AM309" s="36">
        <v>0</v>
      </c>
      <c r="AN309" s="36">
        <v>0</v>
      </c>
      <c r="AO309" s="36">
        <v>0</v>
      </c>
      <c r="AP309" s="269">
        <v>7.3842155009451798E-6</v>
      </c>
      <c r="AQ309" s="36">
        <v>0</v>
      </c>
      <c r="AR309" s="36">
        <v>0</v>
      </c>
      <c r="AS309" s="36">
        <v>0</v>
      </c>
      <c r="AT309" s="36">
        <v>0</v>
      </c>
      <c r="AU309" s="36">
        <v>0</v>
      </c>
      <c r="AV309" s="36">
        <v>0</v>
      </c>
      <c r="AW309" s="36">
        <v>0</v>
      </c>
      <c r="AX309" s="36">
        <v>0</v>
      </c>
      <c r="AY309" s="36">
        <v>0</v>
      </c>
      <c r="AZ309" s="36">
        <v>0</v>
      </c>
      <c r="BA309" s="36">
        <v>0</v>
      </c>
      <c r="BB309" s="36">
        <v>0</v>
      </c>
      <c r="BC309" s="36">
        <v>0</v>
      </c>
      <c r="BD309" s="37">
        <v>0</v>
      </c>
      <c r="BE309" s="272"/>
      <c r="BF309" s="273"/>
      <c r="BG309" s="273"/>
    </row>
    <row r="310" spans="1:59" s="3" customFormat="1" ht="18.5" customHeight="1" x14ac:dyDescent="0.2">
      <c r="A310" s="202">
        <v>1</v>
      </c>
      <c r="B310" s="29">
        <v>15</v>
      </c>
      <c r="C310" s="275">
        <f t="shared" ref="C310:C319" si="5">B310*$C$302</f>
        <v>1.1076323251417769E-4</v>
      </c>
      <c r="D310" s="275">
        <f t="shared" ref="D310:D319" si="6">2*C310</f>
        <v>2.2152646502835539E-4</v>
      </c>
      <c r="H310" s="39">
        <v>5</v>
      </c>
      <c r="I310" s="35">
        <v>0</v>
      </c>
      <c r="J310" s="36">
        <v>0</v>
      </c>
      <c r="K310" s="36">
        <v>0</v>
      </c>
      <c r="L310" s="36">
        <v>0</v>
      </c>
      <c r="M310" s="269">
        <v>7.3842155009451798E-6</v>
      </c>
      <c r="N310" s="36">
        <v>0</v>
      </c>
      <c r="O310" s="36">
        <v>0</v>
      </c>
      <c r="P310" s="269">
        <v>7.3842155009451798E-6</v>
      </c>
      <c r="Q310" s="36">
        <v>0</v>
      </c>
      <c r="R310" s="36">
        <v>0</v>
      </c>
      <c r="S310" s="36">
        <v>0</v>
      </c>
      <c r="T310" s="36">
        <v>0</v>
      </c>
      <c r="U310" s="36">
        <v>0</v>
      </c>
      <c r="V310" s="269">
        <v>7.3842155009451798E-6</v>
      </c>
      <c r="W310" s="36">
        <v>0</v>
      </c>
      <c r="X310" s="36">
        <v>0</v>
      </c>
      <c r="Y310" s="36">
        <v>0</v>
      </c>
      <c r="Z310" s="36">
        <v>0</v>
      </c>
      <c r="AA310" s="36">
        <v>0</v>
      </c>
      <c r="AB310" s="36">
        <v>0</v>
      </c>
      <c r="AC310" s="269">
        <v>7.3842155009451798E-6</v>
      </c>
      <c r="AD310" s="36">
        <v>0</v>
      </c>
      <c r="AE310" s="36">
        <v>0</v>
      </c>
      <c r="AF310" s="36">
        <v>0</v>
      </c>
      <c r="AG310" s="36">
        <v>0</v>
      </c>
      <c r="AH310" s="36">
        <v>0</v>
      </c>
      <c r="AI310" s="269">
        <v>7.3842155009451798E-6</v>
      </c>
      <c r="AJ310" s="36">
        <v>0</v>
      </c>
      <c r="AK310" s="36">
        <v>0</v>
      </c>
      <c r="AL310" s="36">
        <v>0</v>
      </c>
      <c r="AM310" s="36">
        <v>0</v>
      </c>
      <c r="AN310" s="36">
        <v>0</v>
      </c>
      <c r="AO310" s="36">
        <v>0</v>
      </c>
      <c r="AP310" s="36">
        <v>0</v>
      </c>
      <c r="AQ310" s="269">
        <v>7.3842155009451798E-6</v>
      </c>
      <c r="AR310" s="36">
        <v>0</v>
      </c>
      <c r="AS310" s="36">
        <v>0</v>
      </c>
      <c r="AT310" s="36">
        <v>0</v>
      </c>
      <c r="AU310" s="36">
        <v>0</v>
      </c>
      <c r="AV310" s="36">
        <v>0</v>
      </c>
      <c r="AW310" s="36">
        <v>0</v>
      </c>
      <c r="AX310" s="269">
        <v>7.3842155009451798E-6</v>
      </c>
      <c r="AY310" s="36">
        <v>0</v>
      </c>
      <c r="AZ310" s="36">
        <v>0</v>
      </c>
      <c r="BA310" s="36">
        <v>0</v>
      </c>
      <c r="BB310" s="269">
        <v>7.3842155009451798E-6</v>
      </c>
      <c r="BC310" s="36">
        <v>0</v>
      </c>
      <c r="BD310" s="37">
        <v>0</v>
      </c>
      <c r="BE310" s="272"/>
      <c r="BF310" s="273"/>
      <c r="BG310" s="273"/>
    </row>
    <row r="311" spans="1:59" s="3" customFormat="1" ht="18" customHeight="1" x14ac:dyDescent="0.2">
      <c r="A311" s="203">
        <v>2</v>
      </c>
      <c r="B311" s="40">
        <v>45</v>
      </c>
      <c r="C311" s="276">
        <f t="shared" si="5"/>
        <v>3.3228969754253311E-4</v>
      </c>
      <c r="D311" s="276">
        <f t="shared" si="6"/>
        <v>6.6457939508506622E-4</v>
      </c>
      <c r="H311" s="39">
        <v>6</v>
      </c>
      <c r="I311" s="35">
        <v>0</v>
      </c>
      <c r="J311" s="36">
        <v>0</v>
      </c>
      <c r="K311" s="36">
        <v>0</v>
      </c>
      <c r="L311" s="36">
        <v>0</v>
      </c>
      <c r="M311" s="36">
        <v>0</v>
      </c>
      <c r="N311" s="269">
        <v>7.3842155009451798E-6</v>
      </c>
      <c r="O311" s="36">
        <v>0</v>
      </c>
      <c r="P311" s="36">
        <v>0</v>
      </c>
      <c r="Q311" s="269">
        <v>7.3842155009451798E-6</v>
      </c>
      <c r="R311" s="36">
        <v>0</v>
      </c>
      <c r="S311" s="36">
        <v>0</v>
      </c>
      <c r="T311" s="36">
        <v>0</v>
      </c>
      <c r="U311" s="36">
        <v>0</v>
      </c>
      <c r="V311" s="36">
        <v>0</v>
      </c>
      <c r="W311" s="269">
        <v>7.3842155009451798E-6</v>
      </c>
      <c r="X311" s="36">
        <v>0</v>
      </c>
      <c r="Y311" s="36">
        <v>0</v>
      </c>
      <c r="Z311" s="36">
        <v>0</v>
      </c>
      <c r="AA311" s="36">
        <v>0</v>
      </c>
      <c r="AB311" s="36">
        <v>0</v>
      </c>
      <c r="AC311" s="36">
        <v>0</v>
      </c>
      <c r="AD311" s="269">
        <v>7.3842155009451798E-6</v>
      </c>
      <c r="AE311" s="36">
        <v>0</v>
      </c>
      <c r="AF311" s="36">
        <v>0</v>
      </c>
      <c r="AG311" s="36">
        <v>0</v>
      </c>
      <c r="AH311" s="36">
        <v>0</v>
      </c>
      <c r="AI311" s="36">
        <v>0</v>
      </c>
      <c r="AJ311" s="269">
        <v>7.3842155009451798E-6</v>
      </c>
      <c r="AK311" s="36">
        <v>0</v>
      </c>
      <c r="AL311" s="36">
        <v>0</v>
      </c>
      <c r="AM311" s="36">
        <v>0</v>
      </c>
      <c r="AN311" s="36">
        <v>0</v>
      </c>
      <c r="AO311" s="36">
        <v>0</v>
      </c>
      <c r="AP311" s="36">
        <v>0</v>
      </c>
      <c r="AQ311" s="36">
        <v>0</v>
      </c>
      <c r="AR311" s="36">
        <v>0</v>
      </c>
      <c r="AS311" s="269">
        <v>7.3842155009451798E-6</v>
      </c>
      <c r="AT311" s="36">
        <v>0</v>
      </c>
      <c r="AU311" s="36">
        <v>0</v>
      </c>
      <c r="AV311" s="36">
        <v>0</v>
      </c>
      <c r="AW311" s="36">
        <v>0</v>
      </c>
      <c r="AX311" s="36">
        <v>0</v>
      </c>
      <c r="AY311" s="269">
        <v>7.3842155009451798E-6</v>
      </c>
      <c r="AZ311" s="36">
        <v>0</v>
      </c>
      <c r="BA311" s="36">
        <v>0</v>
      </c>
      <c r="BB311" s="36">
        <v>0</v>
      </c>
      <c r="BC311" s="269">
        <v>7.3842155009451798E-6</v>
      </c>
      <c r="BD311" s="37">
        <v>0</v>
      </c>
      <c r="BE311" s="272"/>
      <c r="BF311" s="273"/>
      <c r="BG311" s="273"/>
    </row>
    <row r="312" spans="1:59" s="3" customFormat="1" ht="18" customHeight="1" x14ac:dyDescent="0.2">
      <c r="A312" s="203">
        <v>3</v>
      </c>
      <c r="B312" s="40">
        <v>38</v>
      </c>
      <c r="C312" s="276">
        <f t="shared" si="5"/>
        <v>2.8060018903591685E-4</v>
      </c>
      <c r="D312" s="276">
        <f t="shared" si="6"/>
        <v>5.6120037807183369E-4</v>
      </c>
      <c r="H312" s="39">
        <v>7</v>
      </c>
      <c r="I312" s="35">
        <v>0</v>
      </c>
      <c r="J312" s="36">
        <v>0</v>
      </c>
      <c r="K312" s="269">
        <v>7.3842155009451798E-6</v>
      </c>
      <c r="L312" s="36">
        <v>0</v>
      </c>
      <c r="M312" s="36">
        <v>0</v>
      </c>
      <c r="N312" s="36">
        <v>0</v>
      </c>
      <c r="O312" s="269">
        <v>7.3842155009451798E-6</v>
      </c>
      <c r="P312" s="36">
        <v>0</v>
      </c>
      <c r="Q312" s="36">
        <v>0</v>
      </c>
      <c r="R312" s="36">
        <v>0</v>
      </c>
      <c r="S312" s="36">
        <v>0</v>
      </c>
      <c r="T312" s="269">
        <v>7.3842155009451798E-6</v>
      </c>
      <c r="U312" s="36">
        <v>0</v>
      </c>
      <c r="V312" s="36">
        <v>0</v>
      </c>
      <c r="W312" s="36">
        <v>0</v>
      </c>
      <c r="X312" s="36">
        <v>0</v>
      </c>
      <c r="Y312" s="36">
        <v>0</v>
      </c>
      <c r="Z312" s="269">
        <v>7.3842155009451798E-6</v>
      </c>
      <c r="AA312" s="36">
        <v>0</v>
      </c>
      <c r="AB312" s="36">
        <v>0</v>
      </c>
      <c r="AC312" s="36">
        <v>0</v>
      </c>
      <c r="AD312" s="36">
        <v>0</v>
      </c>
      <c r="AE312" s="36">
        <v>0</v>
      </c>
      <c r="AF312" s="36">
        <v>0</v>
      </c>
      <c r="AG312" s="269">
        <v>7.3842155009451798E-6</v>
      </c>
      <c r="AH312" s="36">
        <v>0</v>
      </c>
      <c r="AI312" s="36">
        <v>0</v>
      </c>
      <c r="AJ312" s="36">
        <v>0</v>
      </c>
      <c r="AK312" s="36">
        <v>0</v>
      </c>
      <c r="AL312" s="36">
        <v>0</v>
      </c>
      <c r="AM312" s="36">
        <v>0</v>
      </c>
      <c r="AN312" s="269">
        <v>7.3842155009451798E-6</v>
      </c>
      <c r="AO312" s="36">
        <v>0</v>
      </c>
      <c r="AP312" s="36">
        <v>0</v>
      </c>
      <c r="AQ312" s="36">
        <v>0</v>
      </c>
      <c r="AR312" s="36">
        <v>0</v>
      </c>
      <c r="AS312" s="36">
        <v>0</v>
      </c>
      <c r="AT312" s="36">
        <v>0</v>
      </c>
      <c r="AU312" s="36">
        <v>0</v>
      </c>
      <c r="AV312" s="36">
        <v>0</v>
      </c>
      <c r="AW312" s="269">
        <v>7.3842155009451798E-6</v>
      </c>
      <c r="AX312" s="36">
        <v>0</v>
      </c>
      <c r="AY312" s="36">
        <v>0</v>
      </c>
      <c r="AZ312" s="269">
        <v>7.3842155009451798E-6</v>
      </c>
      <c r="BA312" s="269">
        <v>7.3842155009451798E-6</v>
      </c>
      <c r="BB312" s="36">
        <v>0</v>
      </c>
      <c r="BC312" s="36">
        <v>0</v>
      </c>
      <c r="BD312" s="274">
        <v>7.3842155009451798E-6</v>
      </c>
      <c r="BE312" s="272"/>
      <c r="BF312" s="273"/>
      <c r="BG312" s="273"/>
    </row>
    <row r="313" spans="1:59" s="3" customFormat="1" ht="18" customHeight="1" x14ac:dyDescent="0.2">
      <c r="A313" s="203">
        <v>4</v>
      </c>
      <c r="B313" s="40">
        <v>30</v>
      </c>
      <c r="C313" s="276">
        <f t="shared" si="5"/>
        <v>2.2152646502835539E-4</v>
      </c>
      <c r="D313" s="276">
        <f t="shared" si="6"/>
        <v>4.4305293005671078E-4</v>
      </c>
      <c r="H313" s="39">
        <v>8</v>
      </c>
      <c r="I313" s="35">
        <v>0</v>
      </c>
      <c r="J313" s="36">
        <v>0</v>
      </c>
      <c r="K313" s="36">
        <v>0</v>
      </c>
      <c r="L313" s="36">
        <v>0</v>
      </c>
      <c r="M313" s="269">
        <v>7.3842155009451798E-6</v>
      </c>
      <c r="N313" s="36">
        <v>0</v>
      </c>
      <c r="O313" s="36">
        <v>0</v>
      </c>
      <c r="P313" s="269">
        <v>7.3842155009451798E-6</v>
      </c>
      <c r="Q313" s="36">
        <v>0</v>
      </c>
      <c r="R313" s="36">
        <v>0</v>
      </c>
      <c r="S313" s="36">
        <v>0</v>
      </c>
      <c r="T313" s="36">
        <v>0</v>
      </c>
      <c r="U313" s="36">
        <v>0</v>
      </c>
      <c r="V313" s="269">
        <v>7.3842155009451798E-6</v>
      </c>
      <c r="W313" s="36">
        <v>0</v>
      </c>
      <c r="X313" s="36">
        <v>0</v>
      </c>
      <c r="Y313" s="36">
        <v>0</v>
      </c>
      <c r="Z313" s="36">
        <v>0</v>
      </c>
      <c r="AA313" s="36">
        <v>0</v>
      </c>
      <c r="AB313" s="36">
        <v>0</v>
      </c>
      <c r="AC313" s="269">
        <v>7.3842155009451798E-6</v>
      </c>
      <c r="AD313" s="36">
        <v>0</v>
      </c>
      <c r="AE313" s="36">
        <v>0</v>
      </c>
      <c r="AF313" s="36">
        <v>0</v>
      </c>
      <c r="AG313" s="36">
        <v>0</v>
      </c>
      <c r="AH313" s="36">
        <v>0</v>
      </c>
      <c r="AI313" s="269">
        <v>7.3842155009451798E-6</v>
      </c>
      <c r="AJ313" s="36">
        <v>0</v>
      </c>
      <c r="AK313" s="36">
        <v>0</v>
      </c>
      <c r="AL313" s="36">
        <v>0</v>
      </c>
      <c r="AM313" s="36">
        <v>0</v>
      </c>
      <c r="AN313" s="36">
        <v>0</v>
      </c>
      <c r="AO313" s="36">
        <v>0</v>
      </c>
      <c r="AP313" s="36">
        <v>0</v>
      </c>
      <c r="AQ313" s="269">
        <v>7.3842155009451798E-6</v>
      </c>
      <c r="AR313" s="36">
        <v>0</v>
      </c>
      <c r="AS313" s="36">
        <v>0</v>
      </c>
      <c r="AT313" s="36">
        <v>0</v>
      </c>
      <c r="AU313" s="36">
        <v>0</v>
      </c>
      <c r="AV313" s="36">
        <v>0</v>
      </c>
      <c r="AW313" s="36">
        <v>0</v>
      </c>
      <c r="AX313" s="269">
        <v>7.3842155009451798E-6</v>
      </c>
      <c r="AY313" s="36">
        <v>0</v>
      </c>
      <c r="AZ313" s="36">
        <v>0</v>
      </c>
      <c r="BA313" s="36">
        <v>0</v>
      </c>
      <c r="BB313" s="269">
        <v>7.3842155009451798E-6</v>
      </c>
      <c r="BC313" s="36">
        <v>0</v>
      </c>
      <c r="BD313" s="37">
        <v>0</v>
      </c>
      <c r="BE313" s="272"/>
      <c r="BF313" s="273"/>
      <c r="BG313" s="273"/>
    </row>
    <row r="314" spans="1:59" s="3" customFormat="1" ht="18" customHeight="1" x14ac:dyDescent="0.2">
      <c r="A314" s="203">
        <v>5</v>
      </c>
      <c r="B314" s="40">
        <v>23</v>
      </c>
      <c r="C314" s="276">
        <f t="shared" si="5"/>
        <v>1.6983695652173913E-4</v>
      </c>
      <c r="D314" s="276">
        <f t="shared" si="6"/>
        <v>3.3967391304347825E-4</v>
      </c>
      <c r="H314" s="39">
        <v>9</v>
      </c>
      <c r="I314" s="35">
        <v>0</v>
      </c>
      <c r="J314" s="36">
        <v>0</v>
      </c>
      <c r="K314" s="36">
        <v>0</v>
      </c>
      <c r="L314" s="36">
        <v>0</v>
      </c>
      <c r="M314" s="36">
        <v>0</v>
      </c>
      <c r="N314" s="269">
        <v>7.3842155009451798E-6</v>
      </c>
      <c r="O314" s="36">
        <v>0</v>
      </c>
      <c r="P314" s="36">
        <v>0</v>
      </c>
      <c r="Q314" s="269">
        <v>7.3842155009451798E-6</v>
      </c>
      <c r="R314" s="36">
        <v>0</v>
      </c>
      <c r="S314" s="36">
        <v>0</v>
      </c>
      <c r="T314" s="36">
        <v>0</v>
      </c>
      <c r="U314" s="36">
        <v>0</v>
      </c>
      <c r="V314" s="36">
        <v>0</v>
      </c>
      <c r="W314" s="269">
        <v>7.3842155009451798E-6</v>
      </c>
      <c r="X314" s="36">
        <v>0</v>
      </c>
      <c r="Y314" s="36">
        <v>0</v>
      </c>
      <c r="Z314" s="36">
        <v>0</v>
      </c>
      <c r="AA314" s="36">
        <v>0</v>
      </c>
      <c r="AB314" s="36">
        <v>0</v>
      </c>
      <c r="AC314" s="36">
        <v>0</v>
      </c>
      <c r="AD314" s="269">
        <v>7.3842155009451798E-6</v>
      </c>
      <c r="AE314" s="36">
        <v>0</v>
      </c>
      <c r="AF314" s="36">
        <v>0</v>
      </c>
      <c r="AG314" s="36">
        <v>0</v>
      </c>
      <c r="AH314" s="36">
        <v>0</v>
      </c>
      <c r="AI314" s="36">
        <v>0</v>
      </c>
      <c r="AJ314" s="269">
        <v>7.3842155009451798E-6</v>
      </c>
      <c r="AK314" s="36">
        <v>0</v>
      </c>
      <c r="AL314" s="36">
        <v>0</v>
      </c>
      <c r="AM314" s="36">
        <v>0</v>
      </c>
      <c r="AN314" s="36">
        <v>0</v>
      </c>
      <c r="AO314" s="36">
        <v>0</v>
      </c>
      <c r="AP314" s="36">
        <v>0</v>
      </c>
      <c r="AQ314" s="36">
        <v>0</v>
      </c>
      <c r="AR314" s="36">
        <v>0</v>
      </c>
      <c r="AS314" s="269">
        <v>7.3842155009451798E-6</v>
      </c>
      <c r="AT314" s="36">
        <v>0</v>
      </c>
      <c r="AU314" s="36">
        <v>0</v>
      </c>
      <c r="AV314" s="36">
        <v>0</v>
      </c>
      <c r="AW314" s="36">
        <v>0</v>
      </c>
      <c r="AX314" s="36">
        <v>0</v>
      </c>
      <c r="AY314" s="269">
        <v>7.3842155009451798E-6</v>
      </c>
      <c r="AZ314" s="36">
        <v>0</v>
      </c>
      <c r="BA314" s="36">
        <v>0</v>
      </c>
      <c r="BB314" s="36">
        <v>0</v>
      </c>
      <c r="BC314" s="269">
        <v>7.3842155009451798E-6</v>
      </c>
      <c r="BD314" s="37">
        <v>0</v>
      </c>
      <c r="BE314" s="272"/>
      <c r="BF314" s="273"/>
      <c r="BG314" s="273"/>
    </row>
    <row r="315" spans="1:59" s="3" customFormat="1" ht="18" customHeight="1" x14ac:dyDescent="0.2">
      <c r="A315" s="203">
        <v>6</v>
      </c>
      <c r="B315" s="40">
        <v>47</v>
      </c>
      <c r="C315" s="276">
        <f t="shared" si="5"/>
        <v>3.4705812854442345E-4</v>
      </c>
      <c r="D315" s="276">
        <f t="shared" si="6"/>
        <v>6.9411625708884689E-4</v>
      </c>
      <c r="H315" s="39">
        <v>10</v>
      </c>
      <c r="I315" s="277">
        <v>7.3842155009451798E-6</v>
      </c>
      <c r="J315" s="36">
        <v>0</v>
      </c>
      <c r="K315" s="36">
        <v>0</v>
      </c>
      <c r="L315" s="36">
        <v>0</v>
      </c>
      <c r="M315" s="36">
        <v>0</v>
      </c>
      <c r="N315" s="36">
        <v>0</v>
      </c>
      <c r="O315" s="36">
        <v>0</v>
      </c>
      <c r="P315" s="36">
        <v>0</v>
      </c>
      <c r="Q315" s="36">
        <v>0</v>
      </c>
      <c r="R315" s="269">
        <v>7.3842155009451798E-6</v>
      </c>
      <c r="S315" s="36">
        <v>0</v>
      </c>
      <c r="T315" s="36">
        <v>0</v>
      </c>
      <c r="U315" s="36">
        <v>0</v>
      </c>
      <c r="V315" s="36">
        <v>0</v>
      </c>
      <c r="W315" s="36">
        <v>0</v>
      </c>
      <c r="X315" s="269">
        <v>7.3842155009451798E-6</v>
      </c>
      <c r="Y315" s="36">
        <v>0</v>
      </c>
      <c r="Z315" s="36">
        <v>0</v>
      </c>
      <c r="AA315" s="36">
        <v>0</v>
      </c>
      <c r="AB315" s="36">
        <v>0</v>
      </c>
      <c r="AC315" s="36">
        <v>0</v>
      </c>
      <c r="AD315" s="36">
        <v>0</v>
      </c>
      <c r="AE315" s="269">
        <v>7.3842155009451798E-6</v>
      </c>
      <c r="AF315" s="36">
        <v>0</v>
      </c>
      <c r="AG315" s="36">
        <v>0</v>
      </c>
      <c r="AH315" s="36">
        <v>0</v>
      </c>
      <c r="AI315" s="36">
        <v>0</v>
      </c>
      <c r="AJ315" s="36">
        <v>0</v>
      </c>
      <c r="AK315" s="269">
        <v>7.3842155009451798E-6</v>
      </c>
      <c r="AL315" s="36">
        <v>0</v>
      </c>
      <c r="AM315" s="36">
        <v>0</v>
      </c>
      <c r="AN315" s="36">
        <v>0</v>
      </c>
      <c r="AO315" s="36">
        <v>0</v>
      </c>
      <c r="AP315" s="36">
        <v>0</v>
      </c>
      <c r="AQ315" s="36">
        <v>0</v>
      </c>
      <c r="AR315" s="36">
        <v>0</v>
      </c>
      <c r="AS315" s="36">
        <v>0</v>
      </c>
      <c r="AT315" s="36">
        <v>0</v>
      </c>
      <c r="AU315" s="269">
        <v>7.3842155009451798E-6</v>
      </c>
      <c r="AV315" s="36">
        <v>0</v>
      </c>
      <c r="AW315" s="36">
        <v>0</v>
      </c>
      <c r="AX315" s="36">
        <v>0</v>
      </c>
      <c r="AY315" s="36">
        <v>0</v>
      </c>
      <c r="AZ315" s="36">
        <v>0</v>
      </c>
      <c r="BA315" s="36">
        <v>0</v>
      </c>
      <c r="BB315" s="36">
        <v>0</v>
      </c>
      <c r="BC315" s="36">
        <v>0</v>
      </c>
      <c r="BD315" s="37">
        <v>0</v>
      </c>
      <c r="BE315" s="272"/>
      <c r="BF315" s="273"/>
      <c r="BG315" s="273"/>
    </row>
    <row r="316" spans="1:59" s="3" customFormat="1" ht="18" customHeight="1" x14ac:dyDescent="0.2">
      <c r="A316" s="203">
        <v>7</v>
      </c>
      <c r="B316" s="40">
        <v>20</v>
      </c>
      <c r="C316" s="276">
        <f t="shared" si="5"/>
        <v>1.4768431001890359E-4</v>
      </c>
      <c r="D316" s="276">
        <f t="shared" si="6"/>
        <v>2.9536862003780718E-4</v>
      </c>
      <c r="H316" s="39">
        <v>11</v>
      </c>
      <c r="I316" s="35">
        <v>0</v>
      </c>
      <c r="J316" s="269">
        <v>7.3842155009451798E-6</v>
      </c>
      <c r="K316" s="36">
        <v>0</v>
      </c>
      <c r="L316" s="36">
        <v>0</v>
      </c>
      <c r="M316" s="36">
        <v>0</v>
      </c>
      <c r="N316" s="36">
        <v>0</v>
      </c>
      <c r="O316" s="36">
        <v>0</v>
      </c>
      <c r="P316" s="36">
        <v>0</v>
      </c>
      <c r="Q316" s="36">
        <v>0</v>
      </c>
      <c r="R316" s="36">
        <v>0</v>
      </c>
      <c r="S316" s="269">
        <v>7.3842155009451798E-6</v>
      </c>
      <c r="T316" s="36">
        <v>0</v>
      </c>
      <c r="U316" s="36">
        <v>0</v>
      </c>
      <c r="V316" s="36">
        <v>0</v>
      </c>
      <c r="W316" s="36">
        <v>0</v>
      </c>
      <c r="X316" s="36">
        <v>0</v>
      </c>
      <c r="Y316" s="269">
        <v>7.3842155009451798E-6</v>
      </c>
      <c r="Z316" s="36">
        <v>0</v>
      </c>
      <c r="AA316" s="36">
        <v>0</v>
      </c>
      <c r="AB316" s="36">
        <v>0</v>
      </c>
      <c r="AC316" s="36">
        <v>0</v>
      </c>
      <c r="AD316" s="36">
        <v>0</v>
      </c>
      <c r="AE316" s="36">
        <v>0</v>
      </c>
      <c r="AF316" s="269">
        <v>7.3842155009451798E-6</v>
      </c>
      <c r="AG316" s="36">
        <v>0</v>
      </c>
      <c r="AH316" s="36">
        <v>0</v>
      </c>
      <c r="AI316" s="36">
        <v>0</v>
      </c>
      <c r="AJ316" s="36">
        <v>0</v>
      </c>
      <c r="AK316" s="36">
        <v>0</v>
      </c>
      <c r="AL316" s="269">
        <v>7.3842155009451798E-6</v>
      </c>
      <c r="AM316" s="36">
        <v>0</v>
      </c>
      <c r="AN316" s="36">
        <v>0</v>
      </c>
      <c r="AO316" s="36">
        <v>0</v>
      </c>
      <c r="AP316" s="36">
        <v>0</v>
      </c>
      <c r="AQ316" s="36">
        <v>0</v>
      </c>
      <c r="AR316" s="36">
        <v>0</v>
      </c>
      <c r="AS316" s="36">
        <v>0</v>
      </c>
      <c r="AT316" s="36">
        <v>0</v>
      </c>
      <c r="AU316" s="36">
        <v>0</v>
      </c>
      <c r="AV316" s="269">
        <v>7.3842155009451798E-6</v>
      </c>
      <c r="AW316" s="36">
        <v>0</v>
      </c>
      <c r="AX316" s="36">
        <v>0</v>
      </c>
      <c r="AY316" s="36">
        <v>0</v>
      </c>
      <c r="AZ316" s="36">
        <v>0</v>
      </c>
      <c r="BA316" s="36">
        <v>0</v>
      </c>
      <c r="BB316" s="36">
        <v>0</v>
      </c>
      <c r="BC316" s="36">
        <v>0</v>
      </c>
      <c r="BD316" s="37">
        <v>0</v>
      </c>
      <c r="BE316" s="272"/>
      <c r="BF316" s="273"/>
      <c r="BG316" s="273"/>
    </row>
    <row r="317" spans="1:59" s="3" customFormat="1" ht="18" customHeight="1" x14ac:dyDescent="0.2">
      <c r="A317" s="203">
        <v>8</v>
      </c>
      <c r="B317" s="40">
        <v>15</v>
      </c>
      <c r="C317" s="276">
        <f t="shared" si="5"/>
        <v>1.1076323251417769E-4</v>
      </c>
      <c r="D317" s="276">
        <f t="shared" si="6"/>
        <v>2.2152646502835539E-4</v>
      </c>
      <c r="H317" s="39">
        <v>12</v>
      </c>
      <c r="I317" s="35">
        <v>0</v>
      </c>
      <c r="J317" s="36">
        <v>0</v>
      </c>
      <c r="K317" s="269">
        <v>7.3842155009451798E-6</v>
      </c>
      <c r="L317" s="36">
        <v>0</v>
      </c>
      <c r="M317" s="36">
        <v>0</v>
      </c>
      <c r="N317" s="36">
        <v>0</v>
      </c>
      <c r="O317" s="269">
        <v>7.3842155009451798E-6</v>
      </c>
      <c r="P317" s="36">
        <v>0</v>
      </c>
      <c r="Q317" s="36">
        <v>0</v>
      </c>
      <c r="R317" s="36">
        <v>0</v>
      </c>
      <c r="S317" s="36">
        <v>0</v>
      </c>
      <c r="T317" s="269">
        <v>7.3842155009451798E-6</v>
      </c>
      <c r="U317" s="36">
        <v>0</v>
      </c>
      <c r="V317" s="36">
        <v>0</v>
      </c>
      <c r="W317" s="36">
        <v>0</v>
      </c>
      <c r="X317" s="36">
        <v>0</v>
      </c>
      <c r="Y317" s="36">
        <v>0</v>
      </c>
      <c r="Z317" s="269">
        <v>7.3842155009451798E-6</v>
      </c>
      <c r="AA317" s="36">
        <v>0</v>
      </c>
      <c r="AB317" s="36">
        <v>0</v>
      </c>
      <c r="AC317" s="36">
        <v>0</v>
      </c>
      <c r="AD317" s="36">
        <v>0</v>
      </c>
      <c r="AE317" s="36">
        <v>0</v>
      </c>
      <c r="AF317" s="36">
        <v>0</v>
      </c>
      <c r="AG317" s="269">
        <v>7.3842155009451798E-6</v>
      </c>
      <c r="AH317" s="36">
        <v>0</v>
      </c>
      <c r="AI317" s="36">
        <v>0</v>
      </c>
      <c r="AJ317" s="36">
        <v>0</v>
      </c>
      <c r="AK317" s="36">
        <v>0</v>
      </c>
      <c r="AL317" s="36">
        <v>0</v>
      </c>
      <c r="AM317" s="36">
        <v>0</v>
      </c>
      <c r="AN317" s="269">
        <v>7.3842155009451798E-6</v>
      </c>
      <c r="AO317" s="36">
        <v>0</v>
      </c>
      <c r="AP317" s="36">
        <v>0</v>
      </c>
      <c r="AQ317" s="36">
        <v>0</v>
      </c>
      <c r="AR317" s="36">
        <v>0</v>
      </c>
      <c r="AS317" s="36">
        <v>0</v>
      </c>
      <c r="AT317" s="36">
        <v>0</v>
      </c>
      <c r="AU317" s="36">
        <v>0</v>
      </c>
      <c r="AV317" s="36">
        <v>0</v>
      </c>
      <c r="AW317" s="269">
        <v>7.3842155009451798E-6</v>
      </c>
      <c r="AX317" s="36">
        <v>0</v>
      </c>
      <c r="AY317" s="36">
        <v>0</v>
      </c>
      <c r="AZ317" s="269">
        <v>7.3842155009451798E-6</v>
      </c>
      <c r="BA317" s="269">
        <v>7.3842155009451798E-6</v>
      </c>
      <c r="BB317" s="36">
        <v>0</v>
      </c>
      <c r="BC317" s="36">
        <v>0</v>
      </c>
      <c r="BD317" s="274">
        <v>7.3842155009451798E-6</v>
      </c>
      <c r="BE317" s="272"/>
      <c r="BF317" s="273"/>
      <c r="BG317" s="273"/>
    </row>
    <row r="318" spans="1:59" s="3" customFormat="1" ht="18" customHeight="1" x14ac:dyDescent="0.2">
      <c r="A318" s="203">
        <v>9</v>
      </c>
      <c r="B318" s="40">
        <v>90</v>
      </c>
      <c r="C318" s="276">
        <f t="shared" si="5"/>
        <v>6.6457939508506622E-4</v>
      </c>
      <c r="D318" s="276">
        <f t="shared" si="6"/>
        <v>1.3291587901701324E-3</v>
      </c>
      <c r="H318" s="39">
        <v>13</v>
      </c>
      <c r="I318" s="35">
        <v>0</v>
      </c>
      <c r="J318" s="36">
        <v>0</v>
      </c>
      <c r="K318" s="36">
        <v>0</v>
      </c>
      <c r="L318" s="269">
        <v>7.3842155009451798E-6</v>
      </c>
      <c r="M318" s="36">
        <v>0</v>
      </c>
      <c r="N318" s="36">
        <v>0</v>
      </c>
      <c r="O318" s="36">
        <v>0</v>
      </c>
      <c r="P318" s="36">
        <v>0</v>
      </c>
      <c r="Q318" s="36">
        <v>0</v>
      </c>
      <c r="R318" s="36">
        <v>0</v>
      </c>
      <c r="S318" s="36">
        <v>0</v>
      </c>
      <c r="T318" s="36">
        <v>0</v>
      </c>
      <c r="U318" s="269">
        <v>7.3842155009451798E-6</v>
      </c>
      <c r="V318" s="36">
        <v>0</v>
      </c>
      <c r="W318" s="36">
        <v>0</v>
      </c>
      <c r="X318" s="36">
        <v>0</v>
      </c>
      <c r="Y318" s="36">
        <v>0</v>
      </c>
      <c r="Z318" s="36">
        <v>0</v>
      </c>
      <c r="AA318" s="36">
        <v>0</v>
      </c>
      <c r="AB318" s="269">
        <v>7.3842155009451798E-6</v>
      </c>
      <c r="AC318" s="36">
        <v>0</v>
      </c>
      <c r="AD318" s="36">
        <v>0</v>
      </c>
      <c r="AE318" s="36">
        <v>0</v>
      </c>
      <c r="AF318" s="36">
        <v>0</v>
      </c>
      <c r="AG318" s="36">
        <v>0</v>
      </c>
      <c r="AH318" s="269">
        <v>7.3842155009451798E-6</v>
      </c>
      <c r="AI318" s="36">
        <v>0</v>
      </c>
      <c r="AJ318" s="36">
        <v>0</v>
      </c>
      <c r="AK318" s="36">
        <v>0</v>
      </c>
      <c r="AL318" s="36">
        <v>0</v>
      </c>
      <c r="AM318" s="36">
        <v>0</v>
      </c>
      <c r="AN318" s="36">
        <v>0</v>
      </c>
      <c r="AO318" s="36">
        <v>0</v>
      </c>
      <c r="AP318" s="269">
        <v>7.3842155009451798E-6</v>
      </c>
      <c r="AQ318" s="36">
        <v>0</v>
      </c>
      <c r="AR318" s="36">
        <v>0</v>
      </c>
      <c r="AS318" s="36">
        <v>0</v>
      </c>
      <c r="AT318" s="36">
        <v>0</v>
      </c>
      <c r="AU318" s="36">
        <v>0</v>
      </c>
      <c r="AV318" s="36">
        <v>0</v>
      </c>
      <c r="AW318" s="36">
        <v>0</v>
      </c>
      <c r="AX318" s="36">
        <v>0</v>
      </c>
      <c r="AY318" s="36">
        <v>0</v>
      </c>
      <c r="AZ318" s="36">
        <v>0</v>
      </c>
      <c r="BA318" s="36">
        <v>0</v>
      </c>
      <c r="BB318" s="36">
        <v>0</v>
      </c>
      <c r="BC318" s="36">
        <v>0</v>
      </c>
      <c r="BD318" s="37">
        <v>0</v>
      </c>
      <c r="BE318" s="272"/>
      <c r="BF318" s="273"/>
      <c r="BG318" s="273"/>
    </row>
    <row r="319" spans="1:59" s="3" customFormat="1" ht="18.5" customHeight="1" x14ac:dyDescent="0.2">
      <c r="A319" s="204">
        <v>10</v>
      </c>
      <c r="B319" s="57">
        <v>45</v>
      </c>
      <c r="C319" s="278">
        <f t="shared" si="5"/>
        <v>3.3228969754253311E-4</v>
      </c>
      <c r="D319" s="278">
        <f t="shared" si="6"/>
        <v>6.6457939508506622E-4</v>
      </c>
      <c r="H319" s="39">
        <v>14</v>
      </c>
      <c r="I319" s="35">
        <v>0</v>
      </c>
      <c r="J319" s="36">
        <v>0</v>
      </c>
      <c r="K319" s="36">
        <v>0</v>
      </c>
      <c r="L319" s="36">
        <v>0</v>
      </c>
      <c r="M319" s="269">
        <v>7.3842155009451798E-6</v>
      </c>
      <c r="N319" s="36">
        <v>0</v>
      </c>
      <c r="O319" s="36">
        <v>0</v>
      </c>
      <c r="P319" s="269">
        <v>7.3842155009451798E-6</v>
      </c>
      <c r="Q319" s="36">
        <v>0</v>
      </c>
      <c r="R319" s="36">
        <v>0</v>
      </c>
      <c r="S319" s="36">
        <v>0</v>
      </c>
      <c r="T319" s="36">
        <v>0</v>
      </c>
      <c r="U319" s="36">
        <v>0</v>
      </c>
      <c r="V319" s="269">
        <v>7.3842155009451798E-6</v>
      </c>
      <c r="W319" s="36">
        <v>0</v>
      </c>
      <c r="X319" s="36">
        <v>0</v>
      </c>
      <c r="Y319" s="36">
        <v>0</v>
      </c>
      <c r="Z319" s="36">
        <v>0</v>
      </c>
      <c r="AA319" s="36">
        <v>0</v>
      </c>
      <c r="AB319" s="36">
        <v>0</v>
      </c>
      <c r="AC319" s="269">
        <v>7.3842155009451798E-6</v>
      </c>
      <c r="AD319" s="36">
        <v>0</v>
      </c>
      <c r="AE319" s="36">
        <v>0</v>
      </c>
      <c r="AF319" s="36">
        <v>0</v>
      </c>
      <c r="AG319" s="36">
        <v>0</v>
      </c>
      <c r="AH319" s="36">
        <v>0</v>
      </c>
      <c r="AI319" s="269">
        <v>7.3842155009451798E-6</v>
      </c>
      <c r="AJ319" s="36">
        <v>0</v>
      </c>
      <c r="AK319" s="36">
        <v>0</v>
      </c>
      <c r="AL319" s="36">
        <v>0</v>
      </c>
      <c r="AM319" s="36">
        <v>0</v>
      </c>
      <c r="AN319" s="36">
        <v>0</v>
      </c>
      <c r="AO319" s="36">
        <v>0</v>
      </c>
      <c r="AP319" s="36">
        <v>0</v>
      </c>
      <c r="AQ319" s="269">
        <v>7.3842155009451798E-6</v>
      </c>
      <c r="AR319" s="36">
        <v>0</v>
      </c>
      <c r="AS319" s="36">
        <v>0</v>
      </c>
      <c r="AT319" s="36">
        <v>0</v>
      </c>
      <c r="AU319" s="36">
        <v>0</v>
      </c>
      <c r="AV319" s="36">
        <v>0</v>
      </c>
      <c r="AW319" s="36">
        <v>0</v>
      </c>
      <c r="AX319" s="269">
        <v>7.3842155009451798E-6</v>
      </c>
      <c r="AY319" s="36">
        <v>0</v>
      </c>
      <c r="AZ319" s="36">
        <v>0</v>
      </c>
      <c r="BA319" s="36">
        <v>0</v>
      </c>
      <c r="BB319" s="269">
        <v>7.3842155009451798E-6</v>
      </c>
      <c r="BC319" s="36">
        <v>0</v>
      </c>
      <c r="BD319" s="37">
        <v>0</v>
      </c>
      <c r="BE319" s="272"/>
      <c r="BF319" s="273"/>
      <c r="BG319" s="273"/>
    </row>
    <row r="320" spans="1:59" s="3" customFormat="1" ht="19" customHeight="1" x14ac:dyDescent="0.2">
      <c r="B320" s="8" t="s">
        <v>224</v>
      </c>
      <c r="C320" s="94">
        <v>368</v>
      </c>
      <c r="H320" s="39">
        <v>15</v>
      </c>
      <c r="I320" s="35">
        <v>0</v>
      </c>
      <c r="J320" s="36">
        <v>0</v>
      </c>
      <c r="K320" s="36">
        <v>0</v>
      </c>
      <c r="L320" s="36">
        <v>0</v>
      </c>
      <c r="M320" s="36">
        <v>0</v>
      </c>
      <c r="N320" s="269">
        <v>7.3842155009451798E-6</v>
      </c>
      <c r="O320" s="36">
        <v>0</v>
      </c>
      <c r="P320" s="36">
        <v>0</v>
      </c>
      <c r="Q320" s="269">
        <v>7.3842155009451798E-6</v>
      </c>
      <c r="R320" s="36">
        <v>0</v>
      </c>
      <c r="S320" s="36">
        <v>0</v>
      </c>
      <c r="T320" s="36">
        <v>0</v>
      </c>
      <c r="U320" s="36">
        <v>0</v>
      </c>
      <c r="V320" s="36">
        <v>0</v>
      </c>
      <c r="W320" s="269">
        <v>7.3842155009451798E-6</v>
      </c>
      <c r="X320" s="36">
        <v>0</v>
      </c>
      <c r="Y320" s="36">
        <v>0</v>
      </c>
      <c r="Z320" s="36">
        <v>0</v>
      </c>
      <c r="AA320" s="36">
        <v>0</v>
      </c>
      <c r="AB320" s="36">
        <v>0</v>
      </c>
      <c r="AC320" s="36">
        <v>0</v>
      </c>
      <c r="AD320" s="269">
        <v>7.3842155009451798E-6</v>
      </c>
      <c r="AE320" s="36">
        <v>0</v>
      </c>
      <c r="AF320" s="36">
        <v>0</v>
      </c>
      <c r="AG320" s="36">
        <v>0</v>
      </c>
      <c r="AH320" s="36">
        <v>0</v>
      </c>
      <c r="AI320" s="36">
        <v>0</v>
      </c>
      <c r="AJ320" s="269">
        <v>7.3842155009451798E-6</v>
      </c>
      <c r="AK320" s="36">
        <v>0</v>
      </c>
      <c r="AL320" s="36">
        <v>0</v>
      </c>
      <c r="AM320" s="36">
        <v>0</v>
      </c>
      <c r="AN320" s="36">
        <v>0</v>
      </c>
      <c r="AO320" s="36">
        <v>0</v>
      </c>
      <c r="AP320" s="36">
        <v>0</v>
      </c>
      <c r="AQ320" s="36">
        <v>0</v>
      </c>
      <c r="AR320" s="36">
        <v>0</v>
      </c>
      <c r="AS320" s="269">
        <v>7.3842155009451798E-6</v>
      </c>
      <c r="AT320" s="36">
        <v>0</v>
      </c>
      <c r="AU320" s="36">
        <v>0</v>
      </c>
      <c r="AV320" s="36">
        <v>0</v>
      </c>
      <c r="AW320" s="36">
        <v>0</v>
      </c>
      <c r="AX320" s="36">
        <v>0</v>
      </c>
      <c r="AY320" s="269">
        <v>7.3842155009451798E-6</v>
      </c>
      <c r="AZ320" s="36">
        <v>0</v>
      </c>
      <c r="BA320" s="36">
        <v>0</v>
      </c>
      <c r="BB320" s="36">
        <v>0</v>
      </c>
      <c r="BC320" s="269">
        <v>7.3842155009451798E-6</v>
      </c>
      <c r="BD320" s="37">
        <v>0</v>
      </c>
      <c r="BE320" s="272"/>
      <c r="BF320" s="273"/>
      <c r="BG320" s="273"/>
    </row>
    <row r="321" spans="2:59" s="3" customFormat="1" ht="19" customHeight="1" x14ac:dyDescent="0.2">
      <c r="B321" s="8" t="s">
        <v>225</v>
      </c>
      <c r="C321" s="270">
        <v>7.3842155009451798E-6</v>
      </c>
      <c r="H321" s="39">
        <v>16</v>
      </c>
      <c r="I321" s="277">
        <v>7.3842155009451798E-6</v>
      </c>
      <c r="J321" s="36">
        <v>0</v>
      </c>
      <c r="K321" s="36">
        <v>0</v>
      </c>
      <c r="L321" s="36">
        <v>0</v>
      </c>
      <c r="M321" s="36">
        <v>0</v>
      </c>
      <c r="N321" s="36">
        <v>0</v>
      </c>
      <c r="O321" s="36">
        <v>0</v>
      </c>
      <c r="P321" s="36">
        <v>0</v>
      </c>
      <c r="Q321" s="36">
        <v>0</v>
      </c>
      <c r="R321" s="269">
        <v>7.3842155009451798E-6</v>
      </c>
      <c r="S321" s="36">
        <v>0</v>
      </c>
      <c r="T321" s="36">
        <v>0</v>
      </c>
      <c r="U321" s="36">
        <v>0</v>
      </c>
      <c r="V321" s="36">
        <v>0</v>
      </c>
      <c r="W321" s="36">
        <v>0</v>
      </c>
      <c r="X321" s="269">
        <v>7.3842155009451798E-6</v>
      </c>
      <c r="Y321" s="36">
        <v>0</v>
      </c>
      <c r="Z321" s="36">
        <v>0</v>
      </c>
      <c r="AA321" s="36">
        <v>0</v>
      </c>
      <c r="AB321" s="36">
        <v>0</v>
      </c>
      <c r="AC321" s="36">
        <v>0</v>
      </c>
      <c r="AD321" s="36">
        <v>0</v>
      </c>
      <c r="AE321" s="269">
        <v>7.3842155009451798E-6</v>
      </c>
      <c r="AF321" s="36">
        <v>0</v>
      </c>
      <c r="AG321" s="36">
        <v>0</v>
      </c>
      <c r="AH321" s="36">
        <v>0</v>
      </c>
      <c r="AI321" s="36">
        <v>0</v>
      </c>
      <c r="AJ321" s="36">
        <v>0</v>
      </c>
      <c r="AK321" s="269">
        <v>7.3842155009451798E-6</v>
      </c>
      <c r="AL321" s="36">
        <v>0</v>
      </c>
      <c r="AM321" s="36">
        <v>0</v>
      </c>
      <c r="AN321" s="36">
        <v>0</v>
      </c>
      <c r="AO321" s="36">
        <v>0</v>
      </c>
      <c r="AP321" s="36">
        <v>0</v>
      </c>
      <c r="AQ321" s="36">
        <v>0</v>
      </c>
      <c r="AR321" s="36">
        <v>0</v>
      </c>
      <c r="AS321" s="36">
        <v>0</v>
      </c>
      <c r="AT321" s="36">
        <v>0</v>
      </c>
      <c r="AU321" s="269">
        <v>7.3842155009451798E-6</v>
      </c>
      <c r="AV321" s="36">
        <v>0</v>
      </c>
      <c r="AW321" s="36">
        <v>0</v>
      </c>
      <c r="AX321" s="36">
        <v>0</v>
      </c>
      <c r="AY321" s="36">
        <v>0</v>
      </c>
      <c r="AZ321" s="36">
        <v>0</v>
      </c>
      <c r="BA321" s="36">
        <v>0</v>
      </c>
      <c r="BB321" s="36">
        <v>0</v>
      </c>
      <c r="BC321" s="36">
        <v>0</v>
      </c>
      <c r="BD321" s="37">
        <v>0</v>
      </c>
      <c r="BE321" s="272"/>
      <c r="BF321" s="273"/>
      <c r="BG321" s="273"/>
    </row>
    <row r="322" spans="2:59" s="3" customFormat="1" ht="18.5" customHeight="1" x14ac:dyDescent="0.2">
      <c r="H322" s="39">
        <v>17</v>
      </c>
      <c r="I322" s="35">
        <v>0</v>
      </c>
      <c r="J322" s="269">
        <v>7.3842155009451798E-6</v>
      </c>
      <c r="K322" s="36">
        <v>0</v>
      </c>
      <c r="L322" s="36">
        <v>0</v>
      </c>
      <c r="M322" s="36">
        <v>0</v>
      </c>
      <c r="N322" s="36">
        <v>0</v>
      </c>
      <c r="O322" s="36">
        <v>0</v>
      </c>
      <c r="P322" s="36">
        <v>0</v>
      </c>
      <c r="Q322" s="36">
        <v>0</v>
      </c>
      <c r="R322" s="36">
        <v>0</v>
      </c>
      <c r="S322" s="269">
        <v>7.3842155009451798E-6</v>
      </c>
      <c r="T322" s="36">
        <v>0</v>
      </c>
      <c r="U322" s="36">
        <v>0</v>
      </c>
      <c r="V322" s="36">
        <v>0</v>
      </c>
      <c r="W322" s="36">
        <v>0</v>
      </c>
      <c r="X322" s="36">
        <v>0</v>
      </c>
      <c r="Y322" s="269">
        <v>7.3842155009451798E-6</v>
      </c>
      <c r="Z322" s="36">
        <v>0</v>
      </c>
      <c r="AA322" s="36">
        <v>0</v>
      </c>
      <c r="AB322" s="36">
        <v>0</v>
      </c>
      <c r="AC322" s="36">
        <v>0</v>
      </c>
      <c r="AD322" s="36">
        <v>0</v>
      </c>
      <c r="AE322" s="36">
        <v>0</v>
      </c>
      <c r="AF322" s="269">
        <v>7.3842155009451798E-6</v>
      </c>
      <c r="AG322" s="36">
        <v>0</v>
      </c>
      <c r="AH322" s="36">
        <v>0</v>
      </c>
      <c r="AI322" s="36">
        <v>0</v>
      </c>
      <c r="AJ322" s="36">
        <v>0</v>
      </c>
      <c r="AK322" s="36">
        <v>0</v>
      </c>
      <c r="AL322" s="269">
        <v>7.3842155009451798E-6</v>
      </c>
      <c r="AM322" s="36">
        <v>0</v>
      </c>
      <c r="AN322" s="36">
        <v>0</v>
      </c>
      <c r="AO322" s="36">
        <v>0</v>
      </c>
      <c r="AP322" s="36">
        <v>0</v>
      </c>
      <c r="AQ322" s="36">
        <v>0</v>
      </c>
      <c r="AR322" s="36">
        <v>0</v>
      </c>
      <c r="AS322" s="36">
        <v>0</v>
      </c>
      <c r="AT322" s="36">
        <v>0</v>
      </c>
      <c r="AU322" s="36">
        <v>0</v>
      </c>
      <c r="AV322" s="269">
        <v>7.3842155009451798E-6</v>
      </c>
      <c r="AW322" s="36">
        <v>0</v>
      </c>
      <c r="AX322" s="36">
        <v>0</v>
      </c>
      <c r="AY322" s="36">
        <v>0</v>
      </c>
      <c r="AZ322" s="36">
        <v>0</v>
      </c>
      <c r="BA322" s="36">
        <v>0</v>
      </c>
      <c r="BB322" s="36">
        <v>0</v>
      </c>
      <c r="BC322" s="36">
        <v>0</v>
      </c>
      <c r="BD322" s="37">
        <v>0</v>
      </c>
      <c r="BE322" s="272"/>
      <c r="BF322" s="273"/>
      <c r="BG322" s="273"/>
    </row>
    <row r="323" spans="2:59" s="3" customFormat="1" ht="18" customHeight="1" x14ac:dyDescent="0.2">
      <c r="H323" s="39">
        <v>18</v>
      </c>
      <c r="I323" s="35">
        <v>0</v>
      </c>
      <c r="J323" s="36">
        <v>0</v>
      </c>
      <c r="K323" s="269">
        <v>7.3842155009451798E-6</v>
      </c>
      <c r="L323" s="36">
        <v>0</v>
      </c>
      <c r="M323" s="36">
        <v>0</v>
      </c>
      <c r="N323" s="36">
        <v>0</v>
      </c>
      <c r="O323" s="269">
        <v>7.3842155009451798E-6</v>
      </c>
      <c r="P323" s="36">
        <v>0</v>
      </c>
      <c r="Q323" s="36">
        <v>0</v>
      </c>
      <c r="R323" s="36">
        <v>0</v>
      </c>
      <c r="S323" s="36">
        <v>0</v>
      </c>
      <c r="T323" s="269">
        <v>7.3842155009451798E-6</v>
      </c>
      <c r="U323" s="36">
        <v>0</v>
      </c>
      <c r="V323" s="36">
        <v>0</v>
      </c>
      <c r="W323" s="36">
        <v>0</v>
      </c>
      <c r="X323" s="36">
        <v>0</v>
      </c>
      <c r="Y323" s="36">
        <v>0</v>
      </c>
      <c r="Z323" s="269">
        <v>7.3842155009451798E-6</v>
      </c>
      <c r="AA323" s="36">
        <v>0</v>
      </c>
      <c r="AB323" s="36">
        <v>0</v>
      </c>
      <c r="AC323" s="36">
        <v>0</v>
      </c>
      <c r="AD323" s="36">
        <v>0</v>
      </c>
      <c r="AE323" s="36">
        <v>0</v>
      </c>
      <c r="AF323" s="36">
        <v>0</v>
      </c>
      <c r="AG323" s="269">
        <v>7.3842155009451798E-6</v>
      </c>
      <c r="AH323" s="36">
        <v>0</v>
      </c>
      <c r="AI323" s="36">
        <v>0</v>
      </c>
      <c r="AJ323" s="36">
        <v>0</v>
      </c>
      <c r="AK323" s="36">
        <v>0</v>
      </c>
      <c r="AL323" s="36">
        <v>0</v>
      </c>
      <c r="AM323" s="36">
        <v>0</v>
      </c>
      <c r="AN323" s="269">
        <v>7.3842155009451798E-6</v>
      </c>
      <c r="AO323" s="36">
        <v>0</v>
      </c>
      <c r="AP323" s="36">
        <v>0</v>
      </c>
      <c r="AQ323" s="36">
        <v>0</v>
      </c>
      <c r="AR323" s="36">
        <v>0</v>
      </c>
      <c r="AS323" s="36">
        <v>0</v>
      </c>
      <c r="AT323" s="36">
        <v>0</v>
      </c>
      <c r="AU323" s="36">
        <v>0</v>
      </c>
      <c r="AV323" s="36">
        <v>0</v>
      </c>
      <c r="AW323" s="269">
        <v>7.3842155009451798E-6</v>
      </c>
      <c r="AX323" s="36">
        <v>0</v>
      </c>
      <c r="AY323" s="36">
        <v>0</v>
      </c>
      <c r="AZ323" s="269">
        <v>7.3842155009451798E-6</v>
      </c>
      <c r="BA323" s="269">
        <v>7.3842155009451798E-6</v>
      </c>
      <c r="BB323" s="36">
        <v>0</v>
      </c>
      <c r="BC323" s="36">
        <v>0</v>
      </c>
      <c r="BD323" s="274">
        <v>7.3842155009451798E-6</v>
      </c>
      <c r="BE323" s="272"/>
      <c r="BF323" s="273"/>
      <c r="BG323" s="273"/>
    </row>
    <row r="324" spans="2:59" s="3" customFormat="1" ht="18" customHeight="1" x14ac:dyDescent="0.2">
      <c r="H324" s="39">
        <v>19</v>
      </c>
      <c r="I324" s="35">
        <v>0</v>
      </c>
      <c r="J324" s="36">
        <v>0</v>
      </c>
      <c r="K324" s="36">
        <v>0</v>
      </c>
      <c r="L324" s="36">
        <v>0</v>
      </c>
      <c r="M324" s="36">
        <v>0</v>
      </c>
      <c r="N324" s="36">
        <v>0</v>
      </c>
      <c r="O324" s="36">
        <v>0</v>
      </c>
      <c r="P324" s="36">
        <v>0</v>
      </c>
      <c r="Q324" s="36">
        <v>0</v>
      </c>
      <c r="R324" s="36">
        <v>0</v>
      </c>
      <c r="S324" s="36">
        <v>0</v>
      </c>
      <c r="T324" s="36">
        <v>0</v>
      </c>
      <c r="U324" s="36">
        <v>0</v>
      </c>
      <c r="V324" s="36">
        <v>0</v>
      </c>
      <c r="W324" s="36">
        <v>0</v>
      </c>
      <c r="X324" s="36">
        <v>0</v>
      </c>
      <c r="Y324" s="36">
        <v>0</v>
      </c>
      <c r="Z324" s="36">
        <v>0</v>
      </c>
      <c r="AA324" s="269">
        <v>7.3842155009451798E-6</v>
      </c>
      <c r="AB324" s="36">
        <v>0</v>
      </c>
      <c r="AC324" s="36">
        <v>0</v>
      </c>
      <c r="AD324" s="36">
        <v>0</v>
      </c>
      <c r="AE324" s="36">
        <v>0</v>
      </c>
      <c r="AF324" s="36">
        <v>0</v>
      </c>
      <c r="AG324" s="36">
        <v>0</v>
      </c>
      <c r="AH324" s="36">
        <v>0</v>
      </c>
      <c r="AI324" s="36">
        <v>0</v>
      </c>
      <c r="AJ324" s="36">
        <v>0</v>
      </c>
      <c r="AK324" s="36">
        <v>0</v>
      </c>
      <c r="AL324" s="36">
        <v>0</v>
      </c>
      <c r="AM324" s="36">
        <v>0</v>
      </c>
      <c r="AN324" s="36">
        <v>0</v>
      </c>
      <c r="AO324" s="269">
        <v>7.3842155009451798E-6</v>
      </c>
      <c r="AP324" s="36">
        <v>0</v>
      </c>
      <c r="AQ324" s="36">
        <v>0</v>
      </c>
      <c r="AR324" s="36">
        <v>0</v>
      </c>
      <c r="AS324" s="36">
        <v>0</v>
      </c>
      <c r="AT324" s="36">
        <v>0</v>
      </c>
      <c r="AU324" s="36">
        <v>0</v>
      </c>
      <c r="AV324" s="36">
        <v>0</v>
      </c>
      <c r="AW324" s="36">
        <v>0</v>
      </c>
      <c r="AX324" s="36">
        <v>0</v>
      </c>
      <c r="AY324" s="36">
        <v>0</v>
      </c>
      <c r="AZ324" s="36">
        <v>0</v>
      </c>
      <c r="BA324" s="36">
        <v>0</v>
      </c>
      <c r="BB324" s="36">
        <v>0</v>
      </c>
      <c r="BC324" s="36">
        <v>0</v>
      </c>
      <c r="BD324" s="37">
        <v>0</v>
      </c>
      <c r="BE324" s="272"/>
      <c r="BF324" s="273"/>
      <c r="BG324" s="273"/>
    </row>
    <row r="325" spans="2:59" s="3" customFormat="1" ht="18" customHeight="1" x14ac:dyDescent="0.2">
      <c r="H325" s="39">
        <v>20</v>
      </c>
      <c r="I325" s="35">
        <v>0</v>
      </c>
      <c r="J325" s="36">
        <v>0</v>
      </c>
      <c r="K325" s="36">
        <v>0</v>
      </c>
      <c r="L325" s="269">
        <v>7.3842155009451798E-6</v>
      </c>
      <c r="M325" s="36">
        <v>0</v>
      </c>
      <c r="N325" s="36">
        <v>0</v>
      </c>
      <c r="O325" s="36">
        <v>0</v>
      </c>
      <c r="P325" s="36">
        <v>0</v>
      </c>
      <c r="Q325" s="36">
        <v>0</v>
      </c>
      <c r="R325" s="36">
        <v>0</v>
      </c>
      <c r="S325" s="36">
        <v>0</v>
      </c>
      <c r="T325" s="36">
        <v>0</v>
      </c>
      <c r="U325" s="269">
        <v>7.3842155009451798E-6</v>
      </c>
      <c r="V325" s="36">
        <v>0</v>
      </c>
      <c r="W325" s="36">
        <v>0</v>
      </c>
      <c r="X325" s="36">
        <v>0</v>
      </c>
      <c r="Y325" s="36">
        <v>0</v>
      </c>
      <c r="Z325" s="36">
        <v>0</v>
      </c>
      <c r="AA325" s="36">
        <v>0</v>
      </c>
      <c r="AB325" s="269">
        <v>7.3842155009451798E-6</v>
      </c>
      <c r="AC325" s="36">
        <v>0</v>
      </c>
      <c r="AD325" s="36">
        <v>0</v>
      </c>
      <c r="AE325" s="36">
        <v>0</v>
      </c>
      <c r="AF325" s="36">
        <v>0</v>
      </c>
      <c r="AG325" s="36">
        <v>0</v>
      </c>
      <c r="AH325" s="269">
        <v>7.3842155009451798E-6</v>
      </c>
      <c r="AI325" s="36">
        <v>0</v>
      </c>
      <c r="AJ325" s="36">
        <v>0</v>
      </c>
      <c r="AK325" s="36">
        <v>0</v>
      </c>
      <c r="AL325" s="36">
        <v>0</v>
      </c>
      <c r="AM325" s="36">
        <v>0</v>
      </c>
      <c r="AN325" s="36">
        <v>0</v>
      </c>
      <c r="AO325" s="36">
        <v>0</v>
      </c>
      <c r="AP325" s="269">
        <v>7.3842155009451798E-6</v>
      </c>
      <c r="AQ325" s="36">
        <v>0</v>
      </c>
      <c r="AR325" s="36">
        <v>0</v>
      </c>
      <c r="AS325" s="36">
        <v>0</v>
      </c>
      <c r="AT325" s="36">
        <v>0</v>
      </c>
      <c r="AU325" s="36">
        <v>0</v>
      </c>
      <c r="AV325" s="36">
        <v>0</v>
      </c>
      <c r="AW325" s="36">
        <v>0</v>
      </c>
      <c r="AX325" s="36">
        <v>0</v>
      </c>
      <c r="AY325" s="36">
        <v>0</v>
      </c>
      <c r="AZ325" s="36">
        <v>0</v>
      </c>
      <c r="BA325" s="36">
        <v>0</v>
      </c>
      <c r="BB325" s="36">
        <v>0</v>
      </c>
      <c r="BC325" s="36">
        <v>0</v>
      </c>
      <c r="BD325" s="37">
        <v>0</v>
      </c>
      <c r="BE325" s="272"/>
      <c r="BF325" s="273"/>
      <c r="BG325" s="273"/>
    </row>
    <row r="326" spans="2:59" s="3" customFormat="1" ht="18" customHeight="1" x14ac:dyDescent="0.2">
      <c r="H326" s="39">
        <v>21</v>
      </c>
      <c r="I326" s="35">
        <v>0</v>
      </c>
      <c r="J326" s="36">
        <v>0</v>
      </c>
      <c r="K326" s="36">
        <v>0</v>
      </c>
      <c r="L326" s="36">
        <v>0</v>
      </c>
      <c r="M326" s="269">
        <v>7.3842155009451798E-6</v>
      </c>
      <c r="N326" s="36">
        <v>0</v>
      </c>
      <c r="O326" s="36">
        <v>0</v>
      </c>
      <c r="P326" s="269">
        <v>7.3842155009451798E-6</v>
      </c>
      <c r="Q326" s="36">
        <v>0</v>
      </c>
      <c r="R326" s="36">
        <v>0</v>
      </c>
      <c r="S326" s="36">
        <v>0</v>
      </c>
      <c r="T326" s="36">
        <v>0</v>
      </c>
      <c r="U326" s="36">
        <v>0</v>
      </c>
      <c r="V326" s="269">
        <v>7.3842155009451798E-6</v>
      </c>
      <c r="W326" s="36">
        <v>0</v>
      </c>
      <c r="X326" s="36">
        <v>0</v>
      </c>
      <c r="Y326" s="36">
        <v>0</v>
      </c>
      <c r="Z326" s="36">
        <v>0</v>
      </c>
      <c r="AA326" s="36">
        <v>0</v>
      </c>
      <c r="AB326" s="36">
        <v>0</v>
      </c>
      <c r="AC326" s="269">
        <v>7.3842155009451798E-6</v>
      </c>
      <c r="AD326" s="36">
        <v>0</v>
      </c>
      <c r="AE326" s="36">
        <v>0</v>
      </c>
      <c r="AF326" s="36">
        <v>0</v>
      </c>
      <c r="AG326" s="36">
        <v>0</v>
      </c>
      <c r="AH326" s="36">
        <v>0</v>
      </c>
      <c r="AI326" s="269">
        <v>7.3842155009451798E-6</v>
      </c>
      <c r="AJ326" s="36">
        <v>0</v>
      </c>
      <c r="AK326" s="36">
        <v>0</v>
      </c>
      <c r="AL326" s="36">
        <v>0</v>
      </c>
      <c r="AM326" s="36">
        <v>0</v>
      </c>
      <c r="AN326" s="36">
        <v>0</v>
      </c>
      <c r="AO326" s="36">
        <v>0</v>
      </c>
      <c r="AP326" s="36">
        <v>0</v>
      </c>
      <c r="AQ326" s="269">
        <v>7.3842155009451798E-6</v>
      </c>
      <c r="AR326" s="36">
        <v>0</v>
      </c>
      <c r="AS326" s="36">
        <v>0</v>
      </c>
      <c r="AT326" s="36">
        <v>0</v>
      </c>
      <c r="AU326" s="36">
        <v>0</v>
      </c>
      <c r="AV326" s="36">
        <v>0</v>
      </c>
      <c r="AW326" s="36">
        <v>0</v>
      </c>
      <c r="AX326" s="269">
        <v>7.3842155009451798E-6</v>
      </c>
      <c r="AY326" s="36">
        <v>0</v>
      </c>
      <c r="AZ326" s="36">
        <v>0</v>
      </c>
      <c r="BA326" s="36">
        <v>0</v>
      </c>
      <c r="BB326" s="269">
        <v>7.3842155009451798E-6</v>
      </c>
      <c r="BC326" s="36">
        <v>0</v>
      </c>
      <c r="BD326" s="37">
        <v>0</v>
      </c>
      <c r="BE326" s="272"/>
      <c r="BF326" s="273"/>
      <c r="BG326" s="273"/>
    </row>
    <row r="327" spans="2:59" s="3" customFormat="1" ht="18" customHeight="1" x14ac:dyDescent="0.2">
      <c r="H327" s="39">
        <v>22</v>
      </c>
      <c r="I327" s="35">
        <v>0</v>
      </c>
      <c r="J327" s="36">
        <v>0</v>
      </c>
      <c r="K327" s="36">
        <v>0</v>
      </c>
      <c r="L327" s="36">
        <v>0</v>
      </c>
      <c r="M327" s="36">
        <v>0</v>
      </c>
      <c r="N327" s="269">
        <v>7.3842155009451798E-6</v>
      </c>
      <c r="O327" s="36">
        <v>0</v>
      </c>
      <c r="P327" s="36">
        <v>0</v>
      </c>
      <c r="Q327" s="269">
        <v>7.3842155009451798E-6</v>
      </c>
      <c r="R327" s="36">
        <v>0</v>
      </c>
      <c r="S327" s="36">
        <v>0</v>
      </c>
      <c r="T327" s="36">
        <v>0</v>
      </c>
      <c r="U327" s="36">
        <v>0</v>
      </c>
      <c r="V327" s="36">
        <v>0</v>
      </c>
      <c r="W327" s="269">
        <v>7.3842155009451798E-6</v>
      </c>
      <c r="X327" s="36">
        <v>0</v>
      </c>
      <c r="Y327" s="36">
        <v>0</v>
      </c>
      <c r="Z327" s="36">
        <v>0</v>
      </c>
      <c r="AA327" s="36">
        <v>0</v>
      </c>
      <c r="AB327" s="36">
        <v>0</v>
      </c>
      <c r="AC327" s="36">
        <v>0</v>
      </c>
      <c r="AD327" s="269">
        <v>7.3842155009451798E-6</v>
      </c>
      <c r="AE327" s="36">
        <v>0</v>
      </c>
      <c r="AF327" s="36">
        <v>0</v>
      </c>
      <c r="AG327" s="36">
        <v>0</v>
      </c>
      <c r="AH327" s="36">
        <v>0</v>
      </c>
      <c r="AI327" s="36">
        <v>0</v>
      </c>
      <c r="AJ327" s="269">
        <v>7.3842155009451798E-6</v>
      </c>
      <c r="AK327" s="36">
        <v>0</v>
      </c>
      <c r="AL327" s="36">
        <v>0</v>
      </c>
      <c r="AM327" s="36">
        <v>0</v>
      </c>
      <c r="AN327" s="36">
        <v>0</v>
      </c>
      <c r="AO327" s="36">
        <v>0</v>
      </c>
      <c r="AP327" s="36">
        <v>0</v>
      </c>
      <c r="AQ327" s="36">
        <v>0</v>
      </c>
      <c r="AR327" s="36">
        <v>0</v>
      </c>
      <c r="AS327" s="269">
        <v>7.3842155009451798E-6</v>
      </c>
      <c r="AT327" s="36">
        <v>0</v>
      </c>
      <c r="AU327" s="36">
        <v>0</v>
      </c>
      <c r="AV327" s="36">
        <v>0</v>
      </c>
      <c r="AW327" s="36">
        <v>0</v>
      </c>
      <c r="AX327" s="36">
        <v>0</v>
      </c>
      <c r="AY327" s="269">
        <v>7.3842155009451798E-6</v>
      </c>
      <c r="AZ327" s="36">
        <v>0</v>
      </c>
      <c r="BA327" s="36">
        <v>0</v>
      </c>
      <c r="BB327" s="36">
        <v>0</v>
      </c>
      <c r="BC327" s="269">
        <v>7.3842155009451798E-6</v>
      </c>
      <c r="BD327" s="37">
        <v>0</v>
      </c>
      <c r="BE327" s="272"/>
      <c r="BF327" s="273"/>
      <c r="BG327" s="273"/>
    </row>
    <row r="328" spans="2:59" s="3" customFormat="1" ht="18" customHeight="1" x14ac:dyDescent="0.2">
      <c r="H328" s="39">
        <v>23</v>
      </c>
      <c r="I328" s="277">
        <v>7.3842155009451798E-6</v>
      </c>
      <c r="J328" s="36">
        <v>0</v>
      </c>
      <c r="K328" s="36">
        <v>0</v>
      </c>
      <c r="L328" s="36">
        <v>0</v>
      </c>
      <c r="M328" s="36">
        <v>0</v>
      </c>
      <c r="N328" s="36">
        <v>0</v>
      </c>
      <c r="O328" s="36">
        <v>0</v>
      </c>
      <c r="P328" s="36">
        <v>0</v>
      </c>
      <c r="Q328" s="36">
        <v>0</v>
      </c>
      <c r="R328" s="269">
        <v>7.3842155009451798E-6</v>
      </c>
      <c r="S328" s="36">
        <v>0</v>
      </c>
      <c r="T328" s="36">
        <v>0</v>
      </c>
      <c r="U328" s="36">
        <v>0</v>
      </c>
      <c r="V328" s="36">
        <v>0</v>
      </c>
      <c r="W328" s="36">
        <v>0</v>
      </c>
      <c r="X328" s="269">
        <v>7.3842155009451798E-6</v>
      </c>
      <c r="Y328" s="36">
        <v>0</v>
      </c>
      <c r="Z328" s="36">
        <v>0</v>
      </c>
      <c r="AA328" s="36">
        <v>0</v>
      </c>
      <c r="AB328" s="36">
        <v>0</v>
      </c>
      <c r="AC328" s="36">
        <v>0</v>
      </c>
      <c r="AD328" s="36">
        <v>0</v>
      </c>
      <c r="AE328" s="269">
        <v>7.3842155009451798E-6</v>
      </c>
      <c r="AF328" s="36">
        <v>0</v>
      </c>
      <c r="AG328" s="36">
        <v>0</v>
      </c>
      <c r="AH328" s="36">
        <v>0</v>
      </c>
      <c r="AI328" s="36">
        <v>0</v>
      </c>
      <c r="AJ328" s="36">
        <v>0</v>
      </c>
      <c r="AK328" s="269">
        <v>7.3842155009451798E-6</v>
      </c>
      <c r="AL328" s="36">
        <v>0</v>
      </c>
      <c r="AM328" s="36">
        <v>0</v>
      </c>
      <c r="AN328" s="36">
        <v>0</v>
      </c>
      <c r="AO328" s="36">
        <v>0</v>
      </c>
      <c r="AP328" s="36">
        <v>0</v>
      </c>
      <c r="AQ328" s="36">
        <v>0</v>
      </c>
      <c r="AR328" s="36">
        <v>0</v>
      </c>
      <c r="AS328" s="36">
        <v>0</v>
      </c>
      <c r="AT328" s="36">
        <v>0</v>
      </c>
      <c r="AU328" s="269">
        <v>7.3842155009451798E-6</v>
      </c>
      <c r="AV328" s="36">
        <v>0</v>
      </c>
      <c r="AW328" s="36">
        <v>0</v>
      </c>
      <c r="AX328" s="36">
        <v>0</v>
      </c>
      <c r="AY328" s="36">
        <v>0</v>
      </c>
      <c r="AZ328" s="36">
        <v>0</v>
      </c>
      <c r="BA328" s="36">
        <v>0</v>
      </c>
      <c r="BB328" s="36">
        <v>0</v>
      </c>
      <c r="BC328" s="36">
        <v>0</v>
      </c>
      <c r="BD328" s="37">
        <v>0</v>
      </c>
      <c r="BE328" s="272"/>
      <c r="BF328" s="273"/>
      <c r="BG328" s="273"/>
    </row>
    <row r="329" spans="2:59" s="3" customFormat="1" ht="18" customHeight="1" x14ac:dyDescent="0.2">
      <c r="H329" s="39">
        <v>24</v>
      </c>
      <c r="I329" s="35">
        <v>0</v>
      </c>
      <c r="J329" s="269">
        <v>7.3842155009451798E-6</v>
      </c>
      <c r="K329" s="36">
        <v>0</v>
      </c>
      <c r="L329" s="36">
        <v>0</v>
      </c>
      <c r="M329" s="36">
        <v>0</v>
      </c>
      <c r="N329" s="36">
        <v>0</v>
      </c>
      <c r="O329" s="36">
        <v>0</v>
      </c>
      <c r="P329" s="36">
        <v>0</v>
      </c>
      <c r="Q329" s="36">
        <v>0</v>
      </c>
      <c r="R329" s="36">
        <v>0</v>
      </c>
      <c r="S329" s="269">
        <v>7.3842155009451798E-6</v>
      </c>
      <c r="T329" s="36">
        <v>0</v>
      </c>
      <c r="U329" s="36">
        <v>0</v>
      </c>
      <c r="V329" s="36">
        <v>0</v>
      </c>
      <c r="W329" s="36">
        <v>0</v>
      </c>
      <c r="X329" s="36">
        <v>0</v>
      </c>
      <c r="Y329" s="269">
        <v>7.3842155009451798E-6</v>
      </c>
      <c r="Z329" s="36">
        <v>0</v>
      </c>
      <c r="AA329" s="36">
        <v>0</v>
      </c>
      <c r="AB329" s="36">
        <v>0</v>
      </c>
      <c r="AC329" s="36">
        <v>0</v>
      </c>
      <c r="AD329" s="36">
        <v>0</v>
      </c>
      <c r="AE329" s="36">
        <v>0</v>
      </c>
      <c r="AF329" s="269">
        <v>7.3842155009451798E-6</v>
      </c>
      <c r="AG329" s="36">
        <v>0</v>
      </c>
      <c r="AH329" s="36">
        <v>0</v>
      </c>
      <c r="AI329" s="36">
        <v>0</v>
      </c>
      <c r="AJ329" s="36">
        <v>0</v>
      </c>
      <c r="AK329" s="36">
        <v>0</v>
      </c>
      <c r="AL329" s="269">
        <v>7.3842155009451798E-6</v>
      </c>
      <c r="AM329" s="36">
        <v>0</v>
      </c>
      <c r="AN329" s="36">
        <v>0</v>
      </c>
      <c r="AO329" s="36">
        <v>0</v>
      </c>
      <c r="AP329" s="36">
        <v>0</v>
      </c>
      <c r="AQ329" s="36">
        <v>0</v>
      </c>
      <c r="AR329" s="36">
        <v>0</v>
      </c>
      <c r="AS329" s="36">
        <v>0</v>
      </c>
      <c r="AT329" s="36">
        <v>0</v>
      </c>
      <c r="AU329" s="36">
        <v>0</v>
      </c>
      <c r="AV329" s="269">
        <v>7.3842155009451798E-6</v>
      </c>
      <c r="AW329" s="36">
        <v>0</v>
      </c>
      <c r="AX329" s="36">
        <v>0</v>
      </c>
      <c r="AY329" s="36">
        <v>0</v>
      </c>
      <c r="AZ329" s="36">
        <v>0</v>
      </c>
      <c r="BA329" s="36">
        <v>0</v>
      </c>
      <c r="BB329" s="36">
        <v>0</v>
      </c>
      <c r="BC329" s="36">
        <v>0</v>
      </c>
      <c r="BD329" s="37">
        <v>0</v>
      </c>
      <c r="BE329" s="272"/>
      <c r="BF329" s="273"/>
      <c r="BG329" s="273"/>
    </row>
    <row r="330" spans="2:59" s="3" customFormat="1" ht="18" customHeight="1" x14ac:dyDescent="0.2">
      <c r="H330" s="39">
        <v>25</v>
      </c>
      <c r="I330" s="35">
        <v>0</v>
      </c>
      <c r="J330" s="36">
        <v>0</v>
      </c>
      <c r="K330" s="269">
        <v>7.3842155009451798E-6</v>
      </c>
      <c r="L330" s="36">
        <v>0</v>
      </c>
      <c r="M330" s="36">
        <v>0</v>
      </c>
      <c r="N330" s="36">
        <v>0</v>
      </c>
      <c r="O330" s="269">
        <v>7.3842155009451798E-6</v>
      </c>
      <c r="P330" s="36">
        <v>0</v>
      </c>
      <c r="Q330" s="36">
        <v>0</v>
      </c>
      <c r="R330" s="36">
        <v>0</v>
      </c>
      <c r="S330" s="36">
        <v>0</v>
      </c>
      <c r="T330" s="269">
        <v>7.3842155009451798E-6</v>
      </c>
      <c r="U330" s="36">
        <v>0</v>
      </c>
      <c r="V330" s="36">
        <v>0</v>
      </c>
      <c r="W330" s="36">
        <v>0</v>
      </c>
      <c r="X330" s="36">
        <v>0</v>
      </c>
      <c r="Y330" s="36">
        <v>0</v>
      </c>
      <c r="Z330" s="269">
        <v>7.3842155009451798E-6</v>
      </c>
      <c r="AA330" s="36">
        <v>0</v>
      </c>
      <c r="AB330" s="36">
        <v>0</v>
      </c>
      <c r="AC330" s="36">
        <v>0</v>
      </c>
      <c r="AD330" s="36">
        <v>0</v>
      </c>
      <c r="AE330" s="36">
        <v>0</v>
      </c>
      <c r="AF330" s="36">
        <v>0</v>
      </c>
      <c r="AG330" s="269">
        <v>7.3842155009451798E-6</v>
      </c>
      <c r="AH330" s="36">
        <v>0</v>
      </c>
      <c r="AI330" s="36">
        <v>0</v>
      </c>
      <c r="AJ330" s="36">
        <v>0</v>
      </c>
      <c r="AK330" s="36">
        <v>0</v>
      </c>
      <c r="AL330" s="36">
        <v>0</v>
      </c>
      <c r="AM330" s="36">
        <v>0</v>
      </c>
      <c r="AN330" s="269">
        <v>7.3842155009451798E-6</v>
      </c>
      <c r="AO330" s="36">
        <v>0</v>
      </c>
      <c r="AP330" s="36">
        <v>0</v>
      </c>
      <c r="AQ330" s="36">
        <v>0</v>
      </c>
      <c r="AR330" s="36">
        <v>0</v>
      </c>
      <c r="AS330" s="36">
        <v>0</v>
      </c>
      <c r="AT330" s="36">
        <v>0</v>
      </c>
      <c r="AU330" s="36">
        <v>0</v>
      </c>
      <c r="AV330" s="36">
        <v>0</v>
      </c>
      <c r="AW330" s="269">
        <v>7.3842155009451798E-6</v>
      </c>
      <c r="AX330" s="36">
        <v>0</v>
      </c>
      <c r="AY330" s="36">
        <v>0</v>
      </c>
      <c r="AZ330" s="269">
        <v>7.3842155009451798E-6</v>
      </c>
      <c r="BA330" s="269">
        <v>7.3842155009451798E-6</v>
      </c>
      <c r="BB330" s="36">
        <v>0</v>
      </c>
      <c r="BC330" s="36">
        <v>0</v>
      </c>
      <c r="BD330" s="274">
        <v>7.3842155009451798E-6</v>
      </c>
      <c r="BE330" s="272"/>
      <c r="BF330" s="273"/>
      <c r="BG330" s="273"/>
    </row>
    <row r="331" spans="2:59" s="3" customFormat="1" ht="18" customHeight="1" x14ac:dyDescent="0.2">
      <c r="H331" s="39">
        <v>26</v>
      </c>
      <c r="I331" s="35">
        <v>0</v>
      </c>
      <c r="J331" s="36">
        <v>0</v>
      </c>
      <c r="K331" s="36">
        <v>0</v>
      </c>
      <c r="L331" s="269">
        <v>7.3842155009451798E-6</v>
      </c>
      <c r="M331" s="36">
        <v>0</v>
      </c>
      <c r="N331" s="36">
        <v>0</v>
      </c>
      <c r="O331" s="36">
        <v>0</v>
      </c>
      <c r="P331" s="36">
        <v>0</v>
      </c>
      <c r="Q331" s="36">
        <v>0</v>
      </c>
      <c r="R331" s="36">
        <v>0</v>
      </c>
      <c r="S331" s="36">
        <v>0</v>
      </c>
      <c r="T331" s="36">
        <v>0</v>
      </c>
      <c r="U331" s="269">
        <v>7.3842155009451798E-6</v>
      </c>
      <c r="V331" s="36">
        <v>0</v>
      </c>
      <c r="W331" s="36">
        <v>0</v>
      </c>
      <c r="X331" s="36">
        <v>0</v>
      </c>
      <c r="Y331" s="36">
        <v>0</v>
      </c>
      <c r="Z331" s="36">
        <v>0</v>
      </c>
      <c r="AA331" s="36">
        <v>0</v>
      </c>
      <c r="AB331" s="269">
        <v>7.3842155009451798E-6</v>
      </c>
      <c r="AC331" s="36">
        <v>0</v>
      </c>
      <c r="AD331" s="36">
        <v>0</v>
      </c>
      <c r="AE331" s="36">
        <v>0</v>
      </c>
      <c r="AF331" s="36">
        <v>0</v>
      </c>
      <c r="AG331" s="36">
        <v>0</v>
      </c>
      <c r="AH331" s="269">
        <v>7.3842155009451798E-6</v>
      </c>
      <c r="AI331" s="36">
        <v>0</v>
      </c>
      <c r="AJ331" s="36">
        <v>0</v>
      </c>
      <c r="AK331" s="36">
        <v>0</v>
      </c>
      <c r="AL331" s="36">
        <v>0</v>
      </c>
      <c r="AM331" s="36">
        <v>0</v>
      </c>
      <c r="AN331" s="36">
        <v>0</v>
      </c>
      <c r="AO331" s="36">
        <v>0</v>
      </c>
      <c r="AP331" s="269">
        <v>7.3842155009451798E-6</v>
      </c>
      <c r="AQ331" s="36">
        <v>0</v>
      </c>
      <c r="AR331" s="36">
        <v>0</v>
      </c>
      <c r="AS331" s="36">
        <v>0</v>
      </c>
      <c r="AT331" s="36">
        <v>0</v>
      </c>
      <c r="AU331" s="36">
        <v>0</v>
      </c>
      <c r="AV331" s="36">
        <v>0</v>
      </c>
      <c r="AW331" s="36">
        <v>0</v>
      </c>
      <c r="AX331" s="36">
        <v>0</v>
      </c>
      <c r="AY331" s="36">
        <v>0</v>
      </c>
      <c r="AZ331" s="36">
        <v>0</v>
      </c>
      <c r="BA331" s="36">
        <v>0</v>
      </c>
      <c r="BB331" s="36">
        <v>0</v>
      </c>
      <c r="BC331" s="36">
        <v>0</v>
      </c>
      <c r="BD331" s="37">
        <v>0</v>
      </c>
      <c r="BE331" s="272"/>
      <c r="BF331" s="273"/>
      <c r="BG331" s="273"/>
    </row>
    <row r="332" spans="2:59" s="3" customFormat="1" ht="18" customHeight="1" x14ac:dyDescent="0.2">
      <c r="H332" s="39">
        <v>27</v>
      </c>
      <c r="I332" s="35">
        <v>0</v>
      </c>
      <c r="J332" s="36">
        <v>0</v>
      </c>
      <c r="K332" s="36">
        <v>0</v>
      </c>
      <c r="L332" s="36">
        <v>0</v>
      </c>
      <c r="M332" s="269">
        <v>7.3842155009451798E-6</v>
      </c>
      <c r="N332" s="36">
        <v>0</v>
      </c>
      <c r="O332" s="36">
        <v>0</v>
      </c>
      <c r="P332" s="269">
        <v>7.3842155009451798E-6</v>
      </c>
      <c r="Q332" s="36">
        <v>0</v>
      </c>
      <c r="R332" s="36">
        <v>0</v>
      </c>
      <c r="S332" s="36">
        <v>0</v>
      </c>
      <c r="T332" s="36">
        <v>0</v>
      </c>
      <c r="U332" s="36">
        <v>0</v>
      </c>
      <c r="V332" s="269">
        <v>7.3842155009451798E-6</v>
      </c>
      <c r="W332" s="36">
        <v>0</v>
      </c>
      <c r="X332" s="36">
        <v>0</v>
      </c>
      <c r="Y332" s="36">
        <v>0</v>
      </c>
      <c r="Z332" s="36">
        <v>0</v>
      </c>
      <c r="AA332" s="36">
        <v>0</v>
      </c>
      <c r="AB332" s="36">
        <v>0</v>
      </c>
      <c r="AC332" s="269">
        <v>7.3842155009451798E-6</v>
      </c>
      <c r="AD332" s="36">
        <v>0</v>
      </c>
      <c r="AE332" s="36">
        <v>0</v>
      </c>
      <c r="AF332" s="36">
        <v>0</v>
      </c>
      <c r="AG332" s="36">
        <v>0</v>
      </c>
      <c r="AH332" s="36">
        <v>0</v>
      </c>
      <c r="AI332" s="269">
        <v>7.3842155009451798E-6</v>
      </c>
      <c r="AJ332" s="36">
        <v>0</v>
      </c>
      <c r="AK332" s="36">
        <v>0</v>
      </c>
      <c r="AL332" s="36">
        <v>0</v>
      </c>
      <c r="AM332" s="36">
        <v>0</v>
      </c>
      <c r="AN332" s="36">
        <v>0</v>
      </c>
      <c r="AO332" s="36">
        <v>0</v>
      </c>
      <c r="AP332" s="36">
        <v>0</v>
      </c>
      <c r="AQ332" s="269">
        <v>7.3842155009451798E-6</v>
      </c>
      <c r="AR332" s="36">
        <v>0</v>
      </c>
      <c r="AS332" s="36">
        <v>0</v>
      </c>
      <c r="AT332" s="36">
        <v>0</v>
      </c>
      <c r="AU332" s="36">
        <v>0</v>
      </c>
      <c r="AV332" s="36">
        <v>0</v>
      </c>
      <c r="AW332" s="36">
        <v>0</v>
      </c>
      <c r="AX332" s="269">
        <v>7.3842155009451798E-6</v>
      </c>
      <c r="AY332" s="36">
        <v>0</v>
      </c>
      <c r="AZ332" s="36">
        <v>0</v>
      </c>
      <c r="BA332" s="36">
        <v>0</v>
      </c>
      <c r="BB332" s="269">
        <v>7.3842155009451798E-6</v>
      </c>
      <c r="BC332" s="36">
        <v>0</v>
      </c>
      <c r="BD332" s="37">
        <v>0</v>
      </c>
      <c r="BE332" s="272"/>
      <c r="BF332" s="273"/>
      <c r="BG332" s="273"/>
    </row>
    <row r="333" spans="2:59" s="3" customFormat="1" ht="18" customHeight="1" x14ac:dyDescent="0.2">
      <c r="H333" s="39">
        <v>28</v>
      </c>
      <c r="I333" s="35">
        <v>0</v>
      </c>
      <c r="J333" s="36">
        <v>0</v>
      </c>
      <c r="K333" s="36">
        <v>0</v>
      </c>
      <c r="L333" s="36">
        <v>0</v>
      </c>
      <c r="M333" s="36">
        <v>0</v>
      </c>
      <c r="N333" s="269">
        <v>7.3842155009451798E-6</v>
      </c>
      <c r="O333" s="36">
        <v>0</v>
      </c>
      <c r="P333" s="36">
        <v>0</v>
      </c>
      <c r="Q333" s="269">
        <v>7.3842155009451798E-6</v>
      </c>
      <c r="R333" s="36">
        <v>0</v>
      </c>
      <c r="S333" s="36">
        <v>0</v>
      </c>
      <c r="T333" s="36">
        <v>0</v>
      </c>
      <c r="U333" s="36">
        <v>0</v>
      </c>
      <c r="V333" s="36">
        <v>0</v>
      </c>
      <c r="W333" s="269">
        <v>7.3842155009451798E-6</v>
      </c>
      <c r="X333" s="36">
        <v>0</v>
      </c>
      <c r="Y333" s="36">
        <v>0</v>
      </c>
      <c r="Z333" s="36">
        <v>0</v>
      </c>
      <c r="AA333" s="36">
        <v>0</v>
      </c>
      <c r="AB333" s="36">
        <v>0</v>
      </c>
      <c r="AC333" s="36">
        <v>0</v>
      </c>
      <c r="AD333" s="269">
        <v>7.3842155009451798E-6</v>
      </c>
      <c r="AE333" s="36">
        <v>0</v>
      </c>
      <c r="AF333" s="36">
        <v>0</v>
      </c>
      <c r="AG333" s="36">
        <v>0</v>
      </c>
      <c r="AH333" s="36">
        <v>0</v>
      </c>
      <c r="AI333" s="36">
        <v>0</v>
      </c>
      <c r="AJ333" s="269">
        <v>7.3842155009451798E-6</v>
      </c>
      <c r="AK333" s="36">
        <v>0</v>
      </c>
      <c r="AL333" s="36">
        <v>0</v>
      </c>
      <c r="AM333" s="36">
        <v>0</v>
      </c>
      <c r="AN333" s="36">
        <v>0</v>
      </c>
      <c r="AO333" s="36">
        <v>0</v>
      </c>
      <c r="AP333" s="36">
        <v>0</v>
      </c>
      <c r="AQ333" s="36">
        <v>0</v>
      </c>
      <c r="AR333" s="36">
        <v>0</v>
      </c>
      <c r="AS333" s="269">
        <v>7.3842155009451798E-6</v>
      </c>
      <c r="AT333" s="36">
        <v>0</v>
      </c>
      <c r="AU333" s="36">
        <v>0</v>
      </c>
      <c r="AV333" s="36">
        <v>0</v>
      </c>
      <c r="AW333" s="36">
        <v>0</v>
      </c>
      <c r="AX333" s="36">
        <v>0</v>
      </c>
      <c r="AY333" s="269">
        <v>7.3842155009451798E-6</v>
      </c>
      <c r="AZ333" s="36">
        <v>0</v>
      </c>
      <c r="BA333" s="36">
        <v>0</v>
      </c>
      <c r="BB333" s="36">
        <v>0</v>
      </c>
      <c r="BC333" s="269">
        <v>7.3842155009451798E-6</v>
      </c>
      <c r="BD333" s="37">
        <v>0</v>
      </c>
      <c r="BE333" s="272"/>
      <c r="BF333" s="273"/>
      <c r="BG333" s="273"/>
    </row>
    <row r="334" spans="2:59" s="3" customFormat="1" ht="18" customHeight="1" x14ac:dyDescent="0.2">
      <c r="H334" s="39">
        <v>29</v>
      </c>
      <c r="I334" s="277">
        <v>7.3842155009451798E-6</v>
      </c>
      <c r="J334" s="36">
        <v>0</v>
      </c>
      <c r="K334" s="36">
        <v>0</v>
      </c>
      <c r="L334" s="36">
        <v>0</v>
      </c>
      <c r="M334" s="36">
        <v>0</v>
      </c>
      <c r="N334" s="36">
        <v>0</v>
      </c>
      <c r="O334" s="36">
        <v>0</v>
      </c>
      <c r="P334" s="36">
        <v>0</v>
      </c>
      <c r="Q334" s="36">
        <v>0</v>
      </c>
      <c r="R334" s="269">
        <v>7.3842155009451798E-6</v>
      </c>
      <c r="S334" s="36">
        <v>0</v>
      </c>
      <c r="T334" s="36">
        <v>0</v>
      </c>
      <c r="U334" s="36">
        <v>0</v>
      </c>
      <c r="V334" s="36">
        <v>0</v>
      </c>
      <c r="W334" s="36">
        <v>0</v>
      </c>
      <c r="X334" s="269">
        <v>7.3842155009451798E-6</v>
      </c>
      <c r="Y334" s="36">
        <v>0</v>
      </c>
      <c r="Z334" s="36">
        <v>0</v>
      </c>
      <c r="AA334" s="36">
        <v>0</v>
      </c>
      <c r="AB334" s="36">
        <v>0</v>
      </c>
      <c r="AC334" s="36">
        <v>0</v>
      </c>
      <c r="AD334" s="36">
        <v>0</v>
      </c>
      <c r="AE334" s="269">
        <v>7.3842155009451798E-6</v>
      </c>
      <c r="AF334" s="36">
        <v>0</v>
      </c>
      <c r="AG334" s="36">
        <v>0</v>
      </c>
      <c r="AH334" s="36">
        <v>0</v>
      </c>
      <c r="AI334" s="36">
        <v>0</v>
      </c>
      <c r="AJ334" s="36">
        <v>0</v>
      </c>
      <c r="AK334" s="269">
        <v>7.3842155009451798E-6</v>
      </c>
      <c r="AL334" s="36">
        <v>0</v>
      </c>
      <c r="AM334" s="36">
        <v>0</v>
      </c>
      <c r="AN334" s="36">
        <v>0</v>
      </c>
      <c r="AO334" s="36">
        <v>0</v>
      </c>
      <c r="AP334" s="36">
        <v>0</v>
      </c>
      <c r="AQ334" s="36">
        <v>0</v>
      </c>
      <c r="AR334" s="36">
        <v>0</v>
      </c>
      <c r="AS334" s="36">
        <v>0</v>
      </c>
      <c r="AT334" s="36">
        <v>0</v>
      </c>
      <c r="AU334" s="269">
        <v>7.3842155009451798E-6</v>
      </c>
      <c r="AV334" s="36">
        <v>0</v>
      </c>
      <c r="AW334" s="36">
        <v>0</v>
      </c>
      <c r="AX334" s="36">
        <v>0</v>
      </c>
      <c r="AY334" s="36">
        <v>0</v>
      </c>
      <c r="AZ334" s="36">
        <v>0</v>
      </c>
      <c r="BA334" s="36">
        <v>0</v>
      </c>
      <c r="BB334" s="36">
        <v>0</v>
      </c>
      <c r="BC334" s="36">
        <v>0</v>
      </c>
      <c r="BD334" s="37">
        <v>0</v>
      </c>
      <c r="BE334" s="272"/>
      <c r="BF334" s="273"/>
      <c r="BG334" s="273"/>
    </row>
    <row r="335" spans="2:59" s="3" customFormat="1" ht="18" customHeight="1" x14ac:dyDescent="0.2">
      <c r="H335" s="39">
        <v>30</v>
      </c>
      <c r="I335" s="35">
        <v>0</v>
      </c>
      <c r="J335" s="269">
        <v>7.3842155009451798E-6</v>
      </c>
      <c r="K335" s="36">
        <v>0</v>
      </c>
      <c r="L335" s="36">
        <v>0</v>
      </c>
      <c r="M335" s="36">
        <v>0</v>
      </c>
      <c r="N335" s="36">
        <v>0</v>
      </c>
      <c r="O335" s="36">
        <v>0</v>
      </c>
      <c r="P335" s="36">
        <v>0</v>
      </c>
      <c r="Q335" s="36">
        <v>0</v>
      </c>
      <c r="R335" s="36">
        <v>0</v>
      </c>
      <c r="S335" s="269">
        <v>7.3842155009451798E-6</v>
      </c>
      <c r="T335" s="36">
        <v>0</v>
      </c>
      <c r="U335" s="36">
        <v>0</v>
      </c>
      <c r="V335" s="36">
        <v>0</v>
      </c>
      <c r="W335" s="36">
        <v>0</v>
      </c>
      <c r="X335" s="36">
        <v>0</v>
      </c>
      <c r="Y335" s="269">
        <v>7.3842155009451798E-6</v>
      </c>
      <c r="Z335" s="36">
        <v>0</v>
      </c>
      <c r="AA335" s="36">
        <v>0</v>
      </c>
      <c r="AB335" s="36">
        <v>0</v>
      </c>
      <c r="AC335" s="36">
        <v>0</v>
      </c>
      <c r="AD335" s="36">
        <v>0</v>
      </c>
      <c r="AE335" s="36">
        <v>0</v>
      </c>
      <c r="AF335" s="269">
        <v>7.3842155009451798E-6</v>
      </c>
      <c r="AG335" s="36">
        <v>0</v>
      </c>
      <c r="AH335" s="36">
        <v>0</v>
      </c>
      <c r="AI335" s="36">
        <v>0</v>
      </c>
      <c r="AJ335" s="36">
        <v>0</v>
      </c>
      <c r="AK335" s="36">
        <v>0</v>
      </c>
      <c r="AL335" s="269">
        <v>7.3842155009451798E-6</v>
      </c>
      <c r="AM335" s="36">
        <v>0</v>
      </c>
      <c r="AN335" s="36">
        <v>0</v>
      </c>
      <c r="AO335" s="36">
        <v>0</v>
      </c>
      <c r="AP335" s="36">
        <v>0</v>
      </c>
      <c r="AQ335" s="36">
        <v>0</v>
      </c>
      <c r="AR335" s="36">
        <v>0</v>
      </c>
      <c r="AS335" s="36">
        <v>0</v>
      </c>
      <c r="AT335" s="36">
        <v>0</v>
      </c>
      <c r="AU335" s="36">
        <v>0</v>
      </c>
      <c r="AV335" s="269">
        <v>7.3842155009451798E-6</v>
      </c>
      <c r="AW335" s="36">
        <v>0</v>
      </c>
      <c r="AX335" s="36">
        <v>0</v>
      </c>
      <c r="AY335" s="36">
        <v>0</v>
      </c>
      <c r="AZ335" s="36">
        <v>0</v>
      </c>
      <c r="BA335" s="36">
        <v>0</v>
      </c>
      <c r="BB335" s="36">
        <v>0</v>
      </c>
      <c r="BC335" s="36">
        <v>0</v>
      </c>
      <c r="BD335" s="37">
        <v>0</v>
      </c>
      <c r="BE335" s="272"/>
      <c r="BF335" s="273"/>
      <c r="BG335" s="273"/>
    </row>
    <row r="336" spans="2:59" s="3" customFormat="1" ht="18" customHeight="1" x14ac:dyDescent="0.2">
      <c r="H336" s="39">
        <v>31</v>
      </c>
      <c r="I336" s="35">
        <v>0</v>
      </c>
      <c r="J336" s="36">
        <v>0</v>
      </c>
      <c r="K336" s="36">
        <v>0</v>
      </c>
      <c r="L336" s="36">
        <v>0</v>
      </c>
      <c r="M336" s="36">
        <v>0</v>
      </c>
      <c r="N336" s="36">
        <v>0</v>
      </c>
      <c r="O336" s="36">
        <v>0</v>
      </c>
      <c r="P336" s="36">
        <v>0</v>
      </c>
      <c r="Q336" s="36">
        <v>0</v>
      </c>
      <c r="R336" s="36">
        <v>0</v>
      </c>
      <c r="S336" s="36">
        <v>0</v>
      </c>
      <c r="T336" s="36">
        <v>0</v>
      </c>
      <c r="U336" s="36">
        <v>0</v>
      </c>
      <c r="V336" s="36">
        <v>0</v>
      </c>
      <c r="W336" s="36">
        <v>0</v>
      </c>
      <c r="X336" s="36">
        <v>0</v>
      </c>
      <c r="Y336" s="36">
        <v>0</v>
      </c>
      <c r="Z336" s="36">
        <v>0</v>
      </c>
      <c r="AA336" s="36">
        <v>0</v>
      </c>
      <c r="AB336" s="36">
        <v>0</v>
      </c>
      <c r="AC336" s="36">
        <v>0</v>
      </c>
      <c r="AD336" s="36">
        <v>0</v>
      </c>
      <c r="AE336" s="36">
        <v>0</v>
      </c>
      <c r="AF336" s="36">
        <v>0</v>
      </c>
      <c r="AG336" s="36">
        <v>0</v>
      </c>
      <c r="AH336" s="36">
        <v>0</v>
      </c>
      <c r="AI336" s="36">
        <v>0</v>
      </c>
      <c r="AJ336" s="36">
        <v>0</v>
      </c>
      <c r="AK336" s="36">
        <v>0</v>
      </c>
      <c r="AL336" s="36">
        <v>0</v>
      </c>
      <c r="AM336" s="269">
        <v>7.3842155009451798E-6</v>
      </c>
      <c r="AN336" s="36">
        <v>0</v>
      </c>
      <c r="AO336" s="36">
        <v>0</v>
      </c>
      <c r="AP336" s="36">
        <v>0</v>
      </c>
      <c r="AQ336" s="36">
        <v>0</v>
      </c>
      <c r="AR336" s="36">
        <v>0</v>
      </c>
      <c r="AS336" s="36">
        <v>0</v>
      </c>
      <c r="AT336" s="36">
        <v>0</v>
      </c>
      <c r="AU336" s="36">
        <v>0</v>
      </c>
      <c r="AV336" s="36">
        <v>0</v>
      </c>
      <c r="AW336" s="36">
        <v>0</v>
      </c>
      <c r="AX336" s="36">
        <v>0</v>
      </c>
      <c r="AY336" s="36">
        <v>0</v>
      </c>
      <c r="AZ336" s="36">
        <v>0</v>
      </c>
      <c r="BA336" s="36">
        <v>0</v>
      </c>
      <c r="BB336" s="36">
        <v>0</v>
      </c>
      <c r="BC336" s="36">
        <v>0</v>
      </c>
      <c r="BD336" s="37">
        <v>0</v>
      </c>
      <c r="BE336" s="272"/>
      <c r="BF336" s="273"/>
      <c r="BG336" s="273"/>
    </row>
    <row r="337" spans="1:59" s="3" customFormat="1" ht="18" customHeight="1" x14ac:dyDescent="0.2">
      <c r="H337" s="39">
        <v>32</v>
      </c>
      <c r="I337" s="35">
        <v>0</v>
      </c>
      <c r="J337" s="36">
        <v>0</v>
      </c>
      <c r="K337" s="269">
        <v>7.3842155009451798E-6</v>
      </c>
      <c r="L337" s="36">
        <v>0</v>
      </c>
      <c r="M337" s="36">
        <v>0</v>
      </c>
      <c r="N337" s="36">
        <v>0</v>
      </c>
      <c r="O337" s="269">
        <v>7.3842155009451798E-6</v>
      </c>
      <c r="P337" s="36">
        <v>0</v>
      </c>
      <c r="Q337" s="36">
        <v>0</v>
      </c>
      <c r="R337" s="36">
        <v>0</v>
      </c>
      <c r="S337" s="36">
        <v>0</v>
      </c>
      <c r="T337" s="269">
        <v>7.3842155009451798E-6</v>
      </c>
      <c r="U337" s="36">
        <v>0</v>
      </c>
      <c r="V337" s="36">
        <v>0</v>
      </c>
      <c r="W337" s="36">
        <v>0</v>
      </c>
      <c r="X337" s="36">
        <v>0</v>
      </c>
      <c r="Y337" s="36">
        <v>0</v>
      </c>
      <c r="Z337" s="269">
        <v>7.3842155009451798E-6</v>
      </c>
      <c r="AA337" s="36">
        <v>0</v>
      </c>
      <c r="AB337" s="36">
        <v>0</v>
      </c>
      <c r="AC337" s="36">
        <v>0</v>
      </c>
      <c r="AD337" s="36">
        <v>0</v>
      </c>
      <c r="AE337" s="36">
        <v>0</v>
      </c>
      <c r="AF337" s="36">
        <v>0</v>
      </c>
      <c r="AG337" s="269">
        <v>7.3842155009451798E-6</v>
      </c>
      <c r="AH337" s="36">
        <v>0</v>
      </c>
      <c r="AI337" s="36">
        <v>0</v>
      </c>
      <c r="AJ337" s="36">
        <v>0</v>
      </c>
      <c r="AK337" s="36">
        <v>0</v>
      </c>
      <c r="AL337" s="36">
        <v>0</v>
      </c>
      <c r="AM337" s="36">
        <v>0</v>
      </c>
      <c r="AN337" s="269">
        <v>7.3842155009451798E-6</v>
      </c>
      <c r="AO337" s="36">
        <v>0</v>
      </c>
      <c r="AP337" s="36">
        <v>0</v>
      </c>
      <c r="AQ337" s="36">
        <v>0</v>
      </c>
      <c r="AR337" s="36">
        <v>0</v>
      </c>
      <c r="AS337" s="36">
        <v>0</v>
      </c>
      <c r="AT337" s="36">
        <v>0</v>
      </c>
      <c r="AU337" s="36">
        <v>0</v>
      </c>
      <c r="AV337" s="36">
        <v>0</v>
      </c>
      <c r="AW337" s="269">
        <v>7.3842155009451798E-6</v>
      </c>
      <c r="AX337" s="36">
        <v>0</v>
      </c>
      <c r="AY337" s="36">
        <v>0</v>
      </c>
      <c r="AZ337" s="269">
        <v>7.3842155009451798E-6</v>
      </c>
      <c r="BA337" s="269">
        <v>7.3842155009451798E-6</v>
      </c>
      <c r="BB337" s="36">
        <v>0</v>
      </c>
      <c r="BC337" s="36">
        <v>0</v>
      </c>
      <c r="BD337" s="274">
        <v>7.3842155009451798E-6</v>
      </c>
      <c r="BE337" s="272"/>
      <c r="BF337" s="273"/>
      <c r="BG337" s="273"/>
    </row>
    <row r="338" spans="1:59" s="3" customFormat="1" ht="18" customHeight="1" x14ac:dyDescent="0.2">
      <c r="H338" s="39">
        <v>33</v>
      </c>
      <c r="I338" s="35">
        <v>0</v>
      </c>
      <c r="J338" s="36">
        <v>0</v>
      </c>
      <c r="K338" s="36">
        <v>0</v>
      </c>
      <c r="L338" s="36">
        <v>0</v>
      </c>
      <c r="M338" s="36">
        <v>0</v>
      </c>
      <c r="N338" s="36">
        <v>0</v>
      </c>
      <c r="O338" s="36">
        <v>0</v>
      </c>
      <c r="P338" s="36">
        <v>0</v>
      </c>
      <c r="Q338" s="36">
        <v>0</v>
      </c>
      <c r="R338" s="36">
        <v>0</v>
      </c>
      <c r="S338" s="36">
        <v>0</v>
      </c>
      <c r="T338" s="36">
        <v>0</v>
      </c>
      <c r="U338" s="36">
        <v>0</v>
      </c>
      <c r="V338" s="36">
        <v>0</v>
      </c>
      <c r="W338" s="36">
        <v>0</v>
      </c>
      <c r="X338" s="36">
        <v>0</v>
      </c>
      <c r="Y338" s="36">
        <v>0</v>
      </c>
      <c r="Z338" s="36">
        <v>0</v>
      </c>
      <c r="AA338" s="269">
        <v>7.3842155009451798E-6</v>
      </c>
      <c r="AB338" s="36">
        <v>0</v>
      </c>
      <c r="AC338" s="36">
        <v>0</v>
      </c>
      <c r="AD338" s="36">
        <v>0</v>
      </c>
      <c r="AE338" s="36">
        <v>0</v>
      </c>
      <c r="AF338" s="36">
        <v>0</v>
      </c>
      <c r="AG338" s="36">
        <v>0</v>
      </c>
      <c r="AH338" s="36">
        <v>0</v>
      </c>
      <c r="AI338" s="36">
        <v>0</v>
      </c>
      <c r="AJ338" s="36">
        <v>0</v>
      </c>
      <c r="AK338" s="36">
        <v>0</v>
      </c>
      <c r="AL338" s="36">
        <v>0</v>
      </c>
      <c r="AM338" s="36">
        <v>0</v>
      </c>
      <c r="AN338" s="36">
        <v>0</v>
      </c>
      <c r="AO338" s="269">
        <v>7.3842155009451798E-6</v>
      </c>
      <c r="AP338" s="36">
        <v>0</v>
      </c>
      <c r="AQ338" s="36">
        <v>0</v>
      </c>
      <c r="AR338" s="36">
        <v>0</v>
      </c>
      <c r="AS338" s="36">
        <v>0</v>
      </c>
      <c r="AT338" s="36">
        <v>0</v>
      </c>
      <c r="AU338" s="36">
        <v>0</v>
      </c>
      <c r="AV338" s="36">
        <v>0</v>
      </c>
      <c r="AW338" s="36">
        <v>0</v>
      </c>
      <c r="AX338" s="36">
        <v>0</v>
      </c>
      <c r="AY338" s="36">
        <v>0</v>
      </c>
      <c r="AZ338" s="36">
        <v>0</v>
      </c>
      <c r="BA338" s="36">
        <v>0</v>
      </c>
      <c r="BB338" s="36">
        <v>0</v>
      </c>
      <c r="BC338" s="36">
        <v>0</v>
      </c>
      <c r="BD338" s="37">
        <v>0</v>
      </c>
      <c r="BE338" s="272"/>
      <c r="BF338" s="273"/>
      <c r="BG338" s="273"/>
    </row>
    <row r="339" spans="1:59" s="3" customFormat="1" ht="18" customHeight="1" x14ac:dyDescent="0.2">
      <c r="H339" s="39">
        <v>34</v>
      </c>
      <c r="I339" s="35">
        <v>0</v>
      </c>
      <c r="J339" s="36">
        <v>0</v>
      </c>
      <c r="K339" s="36">
        <v>0</v>
      </c>
      <c r="L339" s="269">
        <v>7.3842155009451798E-6</v>
      </c>
      <c r="M339" s="36">
        <v>0</v>
      </c>
      <c r="N339" s="36">
        <v>0</v>
      </c>
      <c r="O339" s="36">
        <v>0</v>
      </c>
      <c r="P339" s="36">
        <v>0</v>
      </c>
      <c r="Q339" s="36">
        <v>0</v>
      </c>
      <c r="R339" s="36">
        <v>0</v>
      </c>
      <c r="S339" s="36">
        <v>0</v>
      </c>
      <c r="T339" s="36">
        <v>0</v>
      </c>
      <c r="U339" s="269">
        <v>7.3842155009451798E-6</v>
      </c>
      <c r="V339" s="36">
        <v>0</v>
      </c>
      <c r="W339" s="36">
        <v>0</v>
      </c>
      <c r="X339" s="36">
        <v>0</v>
      </c>
      <c r="Y339" s="36">
        <v>0</v>
      </c>
      <c r="Z339" s="36">
        <v>0</v>
      </c>
      <c r="AA339" s="36">
        <v>0</v>
      </c>
      <c r="AB339" s="269">
        <v>7.3842155009451798E-6</v>
      </c>
      <c r="AC339" s="36">
        <v>0</v>
      </c>
      <c r="AD339" s="36">
        <v>0</v>
      </c>
      <c r="AE339" s="36">
        <v>0</v>
      </c>
      <c r="AF339" s="36">
        <v>0</v>
      </c>
      <c r="AG339" s="36">
        <v>0</v>
      </c>
      <c r="AH339" s="269">
        <v>7.3842155009451798E-6</v>
      </c>
      <c r="AI339" s="36">
        <v>0</v>
      </c>
      <c r="AJ339" s="36">
        <v>0</v>
      </c>
      <c r="AK339" s="36">
        <v>0</v>
      </c>
      <c r="AL339" s="36">
        <v>0</v>
      </c>
      <c r="AM339" s="36">
        <v>0</v>
      </c>
      <c r="AN339" s="36">
        <v>0</v>
      </c>
      <c r="AO339" s="36">
        <v>0</v>
      </c>
      <c r="AP339" s="269">
        <v>7.3842155009451798E-6</v>
      </c>
      <c r="AQ339" s="36">
        <v>0</v>
      </c>
      <c r="AR339" s="36">
        <v>0</v>
      </c>
      <c r="AS339" s="36">
        <v>0</v>
      </c>
      <c r="AT339" s="36">
        <v>0</v>
      </c>
      <c r="AU339" s="36">
        <v>0</v>
      </c>
      <c r="AV339" s="36">
        <v>0</v>
      </c>
      <c r="AW339" s="36">
        <v>0</v>
      </c>
      <c r="AX339" s="36">
        <v>0</v>
      </c>
      <c r="AY339" s="36">
        <v>0</v>
      </c>
      <c r="AZ339" s="36">
        <v>0</v>
      </c>
      <c r="BA339" s="36">
        <v>0</v>
      </c>
      <c r="BB339" s="36">
        <v>0</v>
      </c>
      <c r="BC339" s="36">
        <v>0</v>
      </c>
      <c r="BD339" s="37">
        <v>0</v>
      </c>
      <c r="BE339" s="272"/>
      <c r="BF339" s="273"/>
      <c r="BG339" s="273"/>
    </row>
    <row r="340" spans="1:59" s="3" customFormat="1" ht="18" customHeight="1" x14ac:dyDescent="0.2">
      <c r="H340" s="39">
        <v>35</v>
      </c>
      <c r="I340" s="35">
        <v>0</v>
      </c>
      <c r="J340" s="36">
        <v>0</v>
      </c>
      <c r="K340" s="36">
        <v>0</v>
      </c>
      <c r="L340" s="36">
        <v>0</v>
      </c>
      <c r="M340" s="269">
        <v>7.3842155009451798E-6</v>
      </c>
      <c r="N340" s="36">
        <v>0</v>
      </c>
      <c r="O340" s="36">
        <v>0</v>
      </c>
      <c r="P340" s="269">
        <v>7.3842155009451798E-6</v>
      </c>
      <c r="Q340" s="36">
        <v>0</v>
      </c>
      <c r="R340" s="36">
        <v>0</v>
      </c>
      <c r="S340" s="36">
        <v>0</v>
      </c>
      <c r="T340" s="36">
        <v>0</v>
      </c>
      <c r="U340" s="36">
        <v>0</v>
      </c>
      <c r="V340" s="269">
        <v>7.3842155009451798E-6</v>
      </c>
      <c r="W340" s="36">
        <v>0</v>
      </c>
      <c r="X340" s="36">
        <v>0</v>
      </c>
      <c r="Y340" s="36">
        <v>0</v>
      </c>
      <c r="Z340" s="36">
        <v>0</v>
      </c>
      <c r="AA340" s="36">
        <v>0</v>
      </c>
      <c r="AB340" s="36">
        <v>0</v>
      </c>
      <c r="AC340" s="269">
        <v>7.3842155009451798E-6</v>
      </c>
      <c r="AD340" s="36">
        <v>0</v>
      </c>
      <c r="AE340" s="36">
        <v>0</v>
      </c>
      <c r="AF340" s="36">
        <v>0</v>
      </c>
      <c r="AG340" s="36">
        <v>0</v>
      </c>
      <c r="AH340" s="36">
        <v>0</v>
      </c>
      <c r="AI340" s="269">
        <v>7.3842155009451798E-6</v>
      </c>
      <c r="AJ340" s="36">
        <v>0</v>
      </c>
      <c r="AK340" s="36">
        <v>0</v>
      </c>
      <c r="AL340" s="36">
        <v>0</v>
      </c>
      <c r="AM340" s="36">
        <v>0</v>
      </c>
      <c r="AN340" s="36">
        <v>0</v>
      </c>
      <c r="AO340" s="36">
        <v>0</v>
      </c>
      <c r="AP340" s="36">
        <v>0</v>
      </c>
      <c r="AQ340" s="269">
        <v>7.3842155009451798E-6</v>
      </c>
      <c r="AR340" s="36">
        <v>0</v>
      </c>
      <c r="AS340" s="36">
        <v>0</v>
      </c>
      <c r="AT340" s="36">
        <v>0</v>
      </c>
      <c r="AU340" s="36">
        <v>0</v>
      </c>
      <c r="AV340" s="36">
        <v>0</v>
      </c>
      <c r="AW340" s="36">
        <v>0</v>
      </c>
      <c r="AX340" s="269">
        <v>7.3842155009451798E-6</v>
      </c>
      <c r="AY340" s="36">
        <v>0</v>
      </c>
      <c r="AZ340" s="36">
        <v>0</v>
      </c>
      <c r="BA340" s="36">
        <v>0</v>
      </c>
      <c r="BB340" s="269">
        <v>7.3842155009451798E-6</v>
      </c>
      <c r="BC340" s="36">
        <v>0</v>
      </c>
      <c r="BD340" s="37">
        <v>0</v>
      </c>
      <c r="BE340" s="272"/>
      <c r="BF340" s="273"/>
      <c r="BG340" s="273"/>
    </row>
    <row r="341" spans="1:59" s="3" customFormat="1" ht="18" customHeight="1" x14ac:dyDescent="0.2">
      <c r="H341" s="39">
        <v>36</v>
      </c>
      <c r="I341" s="35">
        <v>0</v>
      </c>
      <c r="J341" s="36">
        <v>0</v>
      </c>
      <c r="K341" s="36">
        <v>0</v>
      </c>
      <c r="L341" s="36">
        <v>0</v>
      </c>
      <c r="M341" s="36">
        <v>0</v>
      </c>
      <c r="N341" s="36">
        <v>0</v>
      </c>
      <c r="O341" s="36">
        <v>0</v>
      </c>
      <c r="P341" s="36">
        <v>0</v>
      </c>
      <c r="Q341" s="36">
        <v>0</v>
      </c>
      <c r="R341" s="36">
        <v>0</v>
      </c>
      <c r="S341" s="36">
        <v>0</v>
      </c>
      <c r="T341" s="36">
        <v>0</v>
      </c>
      <c r="U341" s="36">
        <v>0</v>
      </c>
      <c r="V341" s="36">
        <v>0</v>
      </c>
      <c r="W341" s="36">
        <v>0</v>
      </c>
      <c r="X341" s="36">
        <v>0</v>
      </c>
      <c r="Y341" s="36">
        <v>0</v>
      </c>
      <c r="Z341" s="36">
        <v>0</v>
      </c>
      <c r="AA341" s="36">
        <v>0</v>
      </c>
      <c r="AB341" s="36">
        <v>0</v>
      </c>
      <c r="AC341" s="36">
        <v>0</v>
      </c>
      <c r="AD341" s="36">
        <v>0</v>
      </c>
      <c r="AE341" s="36">
        <v>0</v>
      </c>
      <c r="AF341" s="36">
        <v>0</v>
      </c>
      <c r="AG341" s="36">
        <v>0</v>
      </c>
      <c r="AH341" s="36">
        <v>0</v>
      </c>
      <c r="AI341" s="36">
        <v>0</v>
      </c>
      <c r="AJ341" s="36">
        <v>0</v>
      </c>
      <c r="AK341" s="36">
        <v>0</v>
      </c>
      <c r="AL341" s="36">
        <v>0</v>
      </c>
      <c r="AM341" s="36">
        <v>0</v>
      </c>
      <c r="AN341" s="36">
        <v>0</v>
      </c>
      <c r="AO341" s="36">
        <v>0</v>
      </c>
      <c r="AP341" s="36">
        <v>0</v>
      </c>
      <c r="AQ341" s="36">
        <v>0</v>
      </c>
      <c r="AR341" s="269">
        <v>7.3842155009451798E-6</v>
      </c>
      <c r="AS341" s="36">
        <v>0</v>
      </c>
      <c r="AT341" s="36">
        <v>0</v>
      </c>
      <c r="AU341" s="36">
        <v>0</v>
      </c>
      <c r="AV341" s="36">
        <v>0</v>
      </c>
      <c r="AW341" s="36">
        <v>0</v>
      </c>
      <c r="AX341" s="36">
        <v>0</v>
      </c>
      <c r="AY341" s="36">
        <v>0</v>
      </c>
      <c r="AZ341" s="36">
        <v>0</v>
      </c>
      <c r="BA341" s="36">
        <v>0</v>
      </c>
      <c r="BB341" s="36">
        <v>0</v>
      </c>
      <c r="BC341" s="36">
        <v>0</v>
      </c>
      <c r="BD341" s="37">
        <v>0</v>
      </c>
      <c r="BE341" s="272"/>
      <c r="BF341" s="273"/>
      <c r="BG341" s="273"/>
    </row>
    <row r="342" spans="1:59" s="3" customFormat="1" ht="18" customHeight="1" x14ac:dyDescent="0.2">
      <c r="H342" s="39">
        <v>37</v>
      </c>
      <c r="I342" s="35">
        <v>0</v>
      </c>
      <c r="J342" s="36">
        <v>0</v>
      </c>
      <c r="K342" s="36">
        <v>0</v>
      </c>
      <c r="L342" s="36">
        <v>0</v>
      </c>
      <c r="M342" s="36">
        <v>0</v>
      </c>
      <c r="N342" s="269">
        <v>7.3842155009451798E-6</v>
      </c>
      <c r="O342" s="36">
        <v>0</v>
      </c>
      <c r="P342" s="36">
        <v>0</v>
      </c>
      <c r="Q342" s="269">
        <v>7.3842155009451798E-6</v>
      </c>
      <c r="R342" s="36">
        <v>0</v>
      </c>
      <c r="S342" s="36">
        <v>0</v>
      </c>
      <c r="T342" s="36">
        <v>0</v>
      </c>
      <c r="U342" s="36">
        <v>0</v>
      </c>
      <c r="V342" s="36">
        <v>0</v>
      </c>
      <c r="W342" s="269">
        <v>7.3842155009451798E-6</v>
      </c>
      <c r="X342" s="36">
        <v>0</v>
      </c>
      <c r="Y342" s="36">
        <v>0</v>
      </c>
      <c r="Z342" s="36">
        <v>0</v>
      </c>
      <c r="AA342" s="36">
        <v>0</v>
      </c>
      <c r="AB342" s="36">
        <v>0</v>
      </c>
      <c r="AC342" s="36">
        <v>0</v>
      </c>
      <c r="AD342" s="269">
        <v>7.3842155009451798E-6</v>
      </c>
      <c r="AE342" s="36">
        <v>0</v>
      </c>
      <c r="AF342" s="36">
        <v>0</v>
      </c>
      <c r="AG342" s="36">
        <v>0</v>
      </c>
      <c r="AH342" s="36">
        <v>0</v>
      </c>
      <c r="AI342" s="36">
        <v>0</v>
      </c>
      <c r="AJ342" s="269">
        <v>7.3842155009451798E-6</v>
      </c>
      <c r="AK342" s="36">
        <v>0</v>
      </c>
      <c r="AL342" s="36">
        <v>0</v>
      </c>
      <c r="AM342" s="36">
        <v>0</v>
      </c>
      <c r="AN342" s="36">
        <v>0</v>
      </c>
      <c r="AO342" s="36">
        <v>0</v>
      </c>
      <c r="AP342" s="36">
        <v>0</v>
      </c>
      <c r="AQ342" s="36">
        <v>0</v>
      </c>
      <c r="AR342" s="36">
        <v>0</v>
      </c>
      <c r="AS342" s="269">
        <v>7.3842155009451798E-6</v>
      </c>
      <c r="AT342" s="36">
        <v>0</v>
      </c>
      <c r="AU342" s="36">
        <v>0</v>
      </c>
      <c r="AV342" s="36">
        <v>0</v>
      </c>
      <c r="AW342" s="36">
        <v>0</v>
      </c>
      <c r="AX342" s="36">
        <v>0</v>
      </c>
      <c r="AY342" s="269">
        <v>7.3842155009451798E-6</v>
      </c>
      <c r="AZ342" s="36">
        <v>0</v>
      </c>
      <c r="BA342" s="36">
        <v>0</v>
      </c>
      <c r="BB342" s="36">
        <v>0</v>
      </c>
      <c r="BC342" s="269">
        <v>7.3842155009451798E-6</v>
      </c>
      <c r="BD342" s="37">
        <v>0</v>
      </c>
      <c r="BE342" s="272"/>
      <c r="BF342" s="273"/>
      <c r="BG342" s="273"/>
    </row>
    <row r="343" spans="1:59" s="3" customFormat="1" ht="18" customHeight="1" x14ac:dyDescent="0.2">
      <c r="H343" s="39">
        <v>38</v>
      </c>
      <c r="I343" s="35">
        <v>0</v>
      </c>
      <c r="J343" s="36">
        <v>0</v>
      </c>
      <c r="K343" s="36">
        <v>0</v>
      </c>
      <c r="L343" s="36">
        <v>0</v>
      </c>
      <c r="M343" s="36">
        <v>0</v>
      </c>
      <c r="N343" s="36">
        <v>0</v>
      </c>
      <c r="O343" s="36">
        <v>0</v>
      </c>
      <c r="P343" s="36">
        <v>0</v>
      </c>
      <c r="Q343" s="36">
        <v>0</v>
      </c>
      <c r="R343" s="36">
        <v>0</v>
      </c>
      <c r="S343" s="36">
        <v>0</v>
      </c>
      <c r="T343" s="36">
        <v>0</v>
      </c>
      <c r="U343" s="36">
        <v>0</v>
      </c>
      <c r="V343" s="36">
        <v>0</v>
      </c>
      <c r="W343" s="36">
        <v>0</v>
      </c>
      <c r="X343" s="36">
        <v>0</v>
      </c>
      <c r="Y343" s="36">
        <v>0</v>
      </c>
      <c r="Z343" s="36">
        <v>0</v>
      </c>
      <c r="AA343" s="36">
        <v>0</v>
      </c>
      <c r="AB343" s="36">
        <v>0</v>
      </c>
      <c r="AC343" s="36">
        <v>0</v>
      </c>
      <c r="AD343" s="36">
        <v>0</v>
      </c>
      <c r="AE343" s="36">
        <v>0</v>
      </c>
      <c r="AF343" s="36">
        <v>0</v>
      </c>
      <c r="AG343" s="36">
        <v>0</v>
      </c>
      <c r="AH343" s="36">
        <v>0</v>
      </c>
      <c r="AI343" s="36">
        <v>0</v>
      </c>
      <c r="AJ343" s="36">
        <v>0</v>
      </c>
      <c r="AK343" s="36">
        <v>0</v>
      </c>
      <c r="AL343" s="36">
        <v>0</v>
      </c>
      <c r="AM343" s="36">
        <v>0</v>
      </c>
      <c r="AN343" s="36">
        <v>0</v>
      </c>
      <c r="AO343" s="36">
        <v>0</v>
      </c>
      <c r="AP343" s="36">
        <v>0</v>
      </c>
      <c r="AQ343" s="36">
        <v>0</v>
      </c>
      <c r="AR343" s="36">
        <v>0</v>
      </c>
      <c r="AS343" s="36">
        <v>0</v>
      </c>
      <c r="AT343" s="269">
        <v>7.3842155009451798E-6</v>
      </c>
      <c r="AU343" s="36">
        <v>0</v>
      </c>
      <c r="AV343" s="36">
        <v>0</v>
      </c>
      <c r="AW343" s="36">
        <v>0</v>
      </c>
      <c r="AX343" s="36">
        <v>0</v>
      </c>
      <c r="AY343" s="36">
        <v>0</v>
      </c>
      <c r="AZ343" s="36">
        <v>0</v>
      </c>
      <c r="BA343" s="36">
        <v>0</v>
      </c>
      <c r="BB343" s="36">
        <v>0</v>
      </c>
      <c r="BC343" s="36">
        <v>0</v>
      </c>
      <c r="BD343" s="37">
        <v>0</v>
      </c>
      <c r="BE343" s="272"/>
      <c r="BF343" s="273"/>
      <c r="BG343" s="273"/>
    </row>
    <row r="344" spans="1:59" s="3" customFormat="1" ht="18" customHeight="1" x14ac:dyDescent="0.2">
      <c r="H344" s="39">
        <v>39</v>
      </c>
      <c r="I344" s="277">
        <v>7.3842155009451798E-6</v>
      </c>
      <c r="J344" s="36">
        <v>0</v>
      </c>
      <c r="K344" s="36">
        <v>0</v>
      </c>
      <c r="L344" s="36">
        <v>0</v>
      </c>
      <c r="M344" s="36">
        <v>0</v>
      </c>
      <c r="N344" s="36">
        <v>0</v>
      </c>
      <c r="O344" s="36">
        <v>0</v>
      </c>
      <c r="P344" s="36">
        <v>0</v>
      </c>
      <c r="Q344" s="36">
        <v>0</v>
      </c>
      <c r="R344" s="269">
        <v>7.3842155009451798E-6</v>
      </c>
      <c r="S344" s="36">
        <v>0</v>
      </c>
      <c r="T344" s="36">
        <v>0</v>
      </c>
      <c r="U344" s="36">
        <v>0</v>
      </c>
      <c r="V344" s="36">
        <v>0</v>
      </c>
      <c r="W344" s="36">
        <v>0</v>
      </c>
      <c r="X344" s="269">
        <v>7.3842155009451798E-6</v>
      </c>
      <c r="Y344" s="36">
        <v>0</v>
      </c>
      <c r="Z344" s="36">
        <v>0</v>
      </c>
      <c r="AA344" s="36">
        <v>0</v>
      </c>
      <c r="AB344" s="36">
        <v>0</v>
      </c>
      <c r="AC344" s="36">
        <v>0</v>
      </c>
      <c r="AD344" s="36">
        <v>0</v>
      </c>
      <c r="AE344" s="269">
        <v>7.3842155009451798E-6</v>
      </c>
      <c r="AF344" s="36">
        <v>0</v>
      </c>
      <c r="AG344" s="36">
        <v>0</v>
      </c>
      <c r="AH344" s="36">
        <v>0</v>
      </c>
      <c r="AI344" s="36">
        <v>0</v>
      </c>
      <c r="AJ344" s="36">
        <v>0</v>
      </c>
      <c r="AK344" s="269">
        <v>7.3842155009451798E-6</v>
      </c>
      <c r="AL344" s="36">
        <v>0</v>
      </c>
      <c r="AM344" s="36">
        <v>0</v>
      </c>
      <c r="AN344" s="36">
        <v>0</v>
      </c>
      <c r="AO344" s="36">
        <v>0</v>
      </c>
      <c r="AP344" s="36">
        <v>0</v>
      </c>
      <c r="AQ344" s="36">
        <v>0</v>
      </c>
      <c r="AR344" s="36">
        <v>0</v>
      </c>
      <c r="AS344" s="36">
        <v>0</v>
      </c>
      <c r="AT344" s="36">
        <v>0</v>
      </c>
      <c r="AU344" s="269">
        <v>7.3842155009451798E-6</v>
      </c>
      <c r="AV344" s="36">
        <v>0</v>
      </c>
      <c r="AW344" s="36">
        <v>0</v>
      </c>
      <c r="AX344" s="36">
        <v>0</v>
      </c>
      <c r="AY344" s="36">
        <v>0</v>
      </c>
      <c r="AZ344" s="36">
        <v>0</v>
      </c>
      <c r="BA344" s="36">
        <v>0</v>
      </c>
      <c r="BB344" s="36">
        <v>0</v>
      </c>
      <c r="BC344" s="36">
        <v>0</v>
      </c>
      <c r="BD344" s="37">
        <v>0</v>
      </c>
      <c r="BE344" s="272"/>
      <c r="BF344" s="273"/>
      <c r="BG344" s="273"/>
    </row>
    <row r="345" spans="1:59" s="3" customFormat="1" ht="18" customHeight="1" x14ac:dyDescent="0.2">
      <c r="H345" s="39">
        <v>40</v>
      </c>
      <c r="I345" s="35">
        <v>0</v>
      </c>
      <c r="J345" s="269">
        <v>7.3842155009451798E-6</v>
      </c>
      <c r="K345" s="36">
        <v>0</v>
      </c>
      <c r="L345" s="36">
        <v>0</v>
      </c>
      <c r="M345" s="36">
        <v>0</v>
      </c>
      <c r="N345" s="36">
        <v>0</v>
      </c>
      <c r="O345" s="36">
        <v>0</v>
      </c>
      <c r="P345" s="36">
        <v>0</v>
      </c>
      <c r="Q345" s="36">
        <v>0</v>
      </c>
      <c r="R345" s="36">
        <v>0</v>
      </c>
      <c r="S345" s="269">
        <v>7.3842155009451798E-6</v>
      </c>
      <c r="T345" s="36">
        <v>0</v>
      </c>
      <c r="U345" s="36">
        <v>0</v>
      </c>
      <c r="V345" s="36">
        <v>0</v>
      </c>
      <c r="W345" s="36">
        <v>0</v>
      </c>
      <c r="X345" s="36">
        <v>0</v>
      </c>
      <c r="Y345" s="269">
        <v>7.3842155009451798E-6</v>
      </c>
      <c r="Z345" s="36">
        <v>0</v>
      </c>
      <c r="AA345" s="36">
        <v>0</v>
      </c>
      <c r="AB345" s="36">
        <v>0</v>
      </c>
      <c r="AC345" s="36">
        <v>0</v>
      </c>
      <c r="AD345" s="36">
        <v>0</v>
      </c>
      <c r="AE345" s="36">
        <v>0</v>
      </c>
      <c r="AF345" s="269">
        <v>7.3842155009451798E-6</v>
      </c>
      <c r="AG345" s="36">
        <v>0</v>
      </c>
      <c r="AH345" s="36">
        <v>0</v>
      </c>
      <c r="AI345" s="36">
        <v>0</v>
      </c>
      <c r="AJ345" s="36">
        <v>0</v>
      </c>
      <c r="AK345" s="36">
        <v>0</v>
      </c>
      <c r="AL345" s="269">
        <v>7.3842155009451798E-6</v>
      </c>
      <c r="AM345" s="36">
        <v>0</v>
      </c>
      <c r="AN345" s="36">
        <v>0</v>
      </c>
      <c r="AO345" s="36">
        <v>0</v>
      </c>
      <c r="AP345" s="36">
        <v>0</v>
      </c>
      <c r="AQ345" s="36">
        <v>0</v>
      </c>
      <c r="AR345" s="36">
        <v>0</v>
      </c>
      <c r="AS345" s="36">
        <v>0</v>
      </c>
      <c r="AT345" s="36">
        <v>0</v>
      </c>
      <c r="AU345" s="36">
        <v>0</v>
      </c>
      <c r="AV345" s="269">
        <v>7.3842155009451798E-6</v>
      </c>
      <c r="AW345" s="36">
        <v>0</v>
      </c>
      <c r="AX345" s="36">
        <v>0</v>
      </c>
      <c r="AY345" s="36">
        <v>0</v>
      </c>
      <c r="AZ345" s="36">
        <v>0</v>
      </c>
      <c r="BA345" s="36">
        <v>0</v>
      </c>
      <c r="BB345" s="36">
        <v>0</v>
      </c>
      <c r="BC345" s="36">
        <v>0</v>
      </c>
      <c r="BD345" s="37">
        <v>0</v>
      </c>
      <c r="BE345" s="272"/>
      <c r="BF345" s="273"/>
      <c r="BG345" s="273"/>
    </row>
    <row r="346" spans="1:59" s="3" customFormat="1" ht="18" customHeight="1" x14ac:dyDescent="0.2">
      <c r="H346" s="39">
        <v>41</v>
      </c>
      <c r="I346" s="35">
        <v>0</v>
      </c>
      <c r="J346" s="36">
        <v>0</v>
      </c>
      <c r="K346" s="269">
        <v>7.3842155009451798E-6</v>
      </c>
      <c r="L346" s="36">
        <v>0</v>
      </c>
      <c r="M346" s="36">
        <v>0</v>
      </c>
      <c r="N346" s="36">
        <v>0</v>
      </c>
      <c r="O346" s="269">
        <v>7.3842155009451798E-6</v>
      </c>
      <c r="P346" s="36">
        <v>0</v>
      </c>
      <c r="Q346" s="36">
        <v>0</v>
      </c>
      <c r="R346" s="36">
        <v>0</v>
      </c>
      <c r="S346" s="36">
        <v>0</v>
      </c>
      <c r="T346" s="269">
        <v>7.3842155009451798E-6</v>
      </c>
      <c r="U346" s="36">
        <v>0</v>
      </c>
      <c r="V346" s="36">
        <v>0</v>
      </c>
      <c r="W346" s="36">
        <v>0</v>
      </c>
      <c r="X346" s="36">
        <v>0</v>
      </c>
      <c r="Y346" s="36">
        <v>0</v>
      </c>
      <c r="Z346" s="269">
        <v>7.3842155009451798E-6</v>
      </c>
      <c r="AA346" s="36">
        <v>0</v>
      </c>
      <c r="AB346" s="36">
        <v>0</v>
      </c>
      <c r="AC346" s="36">
        <v>0</v>
      </c>
      <c r="AD346" s="36">
        <v>0</v>
      </c>
      <c r="AE346" s="36">
        <v>0</v>
      </c>
      <c r="AF346" s="36">
        <v>0</v>
      </c>
      <c r="AG346" s="269">
        <v>7.3842155009451798E-6</v>
      </c>
      <c r="AH346" s="36">
        <v>0</v>
      </c>
      <c r="AI346" s="36">
        <v>0</v>
      </c>
      <c r="AJ346" s="36">
        <v>0</v>
      </c>
      <c r="AK346" s="36">
        <v>0</v>
      </c>
      <c r="AL346" s="36">
        <v>0</v>
      </c>
      <c r="AM346" s="36">
        <v>0</v>
      </c>
      <c r="AN346" s="269">
        <v>7.3842155009451798E-6</v>
      </c>
      <c r="AO346" s="36">
        <v>0</v>
      </c>
      <c r="AP346" s="36">
        <v>0</v>
      </c>
      <c r="AQ346" s="36">
        <v>0</v>
      </c>
      <c r="AR346" s="36">
        <v>0</v>
      </c>
      <c r="AS346" s="36">
        <v>0</v>
      </c>
      <c r="AT346" s="36">
        <v>0</v>
      </c>
      <c r="AU346" s="36">
        <v>0</v>
      </c>
      <c r="AV346" s="36">
        <v>0</v>
      </c>
      <c r="AW346" s="269">
        <v>7.3842155009451798E-6</v>
      </c>
      <c r="AX346" s="36">
        <v>0</v>
      </c>
      <c r="AY346" s="36">
        <v>0</v>
      </c>
      <c r="AZ346" s="269">
        <v>7.3842155009451798E-6</v>
      </c>
      <c r="BA346" s="269">
        <v>7.3842155009451798E-6</v>
      </c>
      <c r="BB346" s="36">
        <v>0</v>
      </c>
      <c r="BC346" s="36">
        <v>0</v>
      </c>
      <c r="BD346" s="274">
        <v>7.3842155009451798E-6</v>
      </c>
      <c r="BE346" s="272"/>
      <c r="BF346" s="273"/>
      <c r="BG346" s="273"/>
    </row>
    <row r="347" spans="1:59" s="3" customFormat="1" ht="18" customHeight="1" x14ac:dyDescent="0.2">
      <c r="A347" s="121"/>
      <c r="B347" s="121"/>
      <c r="H347" s="39">
        <v>42</v>
      </c>
      <c r="I347" s="35">
        <v>0</v>
      </c>
      <c r="J347" s="36">
        <v>0</v>
      </c>
      <c r="K347" s="36">
        <v>0</v>
      </c>
      <c r="L347" s="36">
        <v>0</v>
      </c>
      <c r="M347" s="269">
        <v>7.3842155009451798E-6</v>
      </c>
      <c r="N347" s="36">
        <v>0</v>
      </c>
      <c r="O347" s="36">
        <v>0</v>
      </c>
      <c r="P347" s="269">
        <v>7.3842155009451798E-6</v>
      </c>
      <c r="Q347" s="36">
        <v>0</v>
      </c>
      <c r="R347" s="36">
        <v>0</v>
      </c>
      <c r="S347" s="36">
        <v>0</v>
      </c>
      <c r="T347" s="36">
        <v>0</v>
      </c>
      <c r="U347" s="36">
        <v>0</v>
      </c>
      <c r="V347" s="269">
        <v>7.3842155009451798E-6</v>
      </c>
      <c r="W347" s="36">
        <v>0</v>
      </c>
      <c r="X347" s="36">
        <v>0</v>
      </c>
      <c r="Y347" s="36">
        <v>0</v>
      </c>
      <c r="Z347" s="36">
        <v>0</v>
      </c>
      <c r="AA347" s="36">
        <v>0</v>
      </c>
      <c r="AB347" s="36">
        <v>0</v>
      </c>
      <c r="AC347" s="269">
        <v>7.3842155009451798E-6</v>
      </c>
      <c r="AD347" s="36">
        <v>0</v>
      </c>
      <c r="AE347" s="36">
        <v>0</v>
      </c>
      <c r="AF347" s="36">
        <v>0</v>
      </c>
      <c r="AG347" s="36">
        <v>0</v>
      </c>
      <c r="AH347" s="36">
        <v>0</v>
      </c>
      <c r="AI347" s="269">
        <v>7.3842155009451798E-6</v>
      </c>
      <c r="AJ347" s="36">
        <v>0</v>
      </c>
      <c r="AK347" s="36">
        <v>0</v>
      </c>
      <c r="AL347" s="36">
        <v>0</v>
      </c>
      <c r="AM347" s="36">
        <v>0</v>
      </c>
      <c r="AN347" s="36">
        <v>0</v>
      </c>
      <c r="AO347" s="36">
        <v>0</v>
      </c>
      <c r="AP347" s="36">
        <v>0</v>
      </c>
      <c r="AQ347" s="269">
        <v>7.3842155009451798E-6</v>
      </c>
      <c r="AR347" s="36">
        <v>0</v>
      </c>
      <c r="AS347" s="36">
        <v>0</v>
      </c>
      <c r="AT347" s="36">
        <v>0</v>
      </c>
      <c r="AU347" s="36">
        <v>0</v>
      </c>
      <c r="AV347" s="36">
        <v>0</v>
      </c>
      <c r="AW347" s="36">
        <v>0</v>
      </c>
      <c r="AX347" s="269">
        <v>7.3842155009451798E-6</v>
      </c>
      <c r="AY347" s="36">
        <v>0</v>
      </c>
      <c r="AZ347" s="36">
        <v>0</v>
      </c>
      <c r="BA347" s="36">
        <v>0</v>
      </c>
      <c r="BB347" s="269">
        <v>7.3842155009451798E-6</v>
      </c>
      <c r="BC347" s="36">
        <v>0</v>
      </c>
      <c r="BD347" s="37">
        <v>0</v>
      </c>
      <c r="BE347" s="272"/>
      <c r="BF347" s="273"/>
      <c r="BG347" s="273"/>
    </row>
    <row r="348" spans="1:59" s="3" customFormat="1" ht="18" customHeight="1" x14ac:dyDescent="0.2">
      <c r="A348" s="121"/>
      <c r="B348" s="121"/>
      <c r="H348" s="39">
        <v>43</v>
      </c>
      <c r="I348" s="35">
        <v>0</v>
      </c>
      <c r="J348" s="36">
        <v>0</v>
      </c>
      <c r="K348" s="36">
        <v>0</v>
      </c>
      <c r="L348" s="36">
        <v>0</v>
      </c>
      <c r="M348" s="36">
        <v>0</v>
      </c>
      <c r="N348" s="269">
        <v>7.3842155009451798E-6</v>
      </c>
      <c r="O348" s="36">
        <v>0</v>
      </c>
      <c r="P348" s="36">
        <v>0</v>
      </c>
      <c r="Q348" s="269">
        <v>7.3842155009451798E-6</v>
      </c>
      <c r="R348" s="36">
        <v>0</v>
      </c>
      <c r="S348" s="36">
        <v>0</v>
      </c>
      <c r="T348" s="36">
        <v>0</v>
      </c>
      <c r="U348" s="36">
        <v>0</v>
      </c>
      <c r="V348" s="36">
        <v>0</v>
      </c>
      <c r="W348" s="269">
        <v>7.3842155009451798E-6</v>
      </c>
      <c r="X348" s="36">
        <v>0</v>
      </c>
      <c r="Y348" s="36">
        <v>0</v>
      </c>
      <c r="Z348" s="36">
        <v>0</v>
      </c>
      <c r="AA348" s="36">
        <v>0</v>
      </c>
      <c r="AB348" s="36">
        <v>0</v>
      </c>
      <c r="AC348" s="36">
        <v>0</v>
      </c>
      <c r="AD348" s="269">
        <v>7.3842155009451798E-6</v>
      </c>
      <c r="AE348" s="36">
        <v>0</v>
      </c>
      <c r="AF348" s="36">
        <v>0</v>
      </c>
      <c r="AG348" s="36">
        <v>0</v>
      </c>
      <c r="AH348" s="36">
        <v>0</v>
      </c>
      <c r="AI348" s="36">
        <v>0</v>
      </c>
      <c r="AJ348" s="269">
        <v>7.3842155009451798E-6</v>
      </c>
      <c r="AK348" s="36">
        <v>0</v>
      </c>
      <c r="AL348" s="36">
        <v>0</v>
      </c>
      <c r="AM348" s="36">
        <v>0</v>
      </c>
      <c r="AN348" s="36">
        <v>0</v>
      </c>
      <c r="AO348" s="36">
        <v>0</v>
      </c>
      <c r="AP348" s="36">
        <v>0</v>
      </c>
      <c r="AQ348" s="36">
        <v>0</v>
      </c>
      <c r="AR348" s="36">
        <v>0</v>
      </c>
      <c r="AS348" s="269">
        <v>7.3842155009451798E-6</v>
      </c>
      <c r="AT348" s="36">
        <v>0</v>
      </c>
      <c r="AU348" s="36">
        <v>0</v>
      </c>
      <c r="AV348" s="36">
        <v>0</v>
      </c>
      <c r="AW348" s="36">
        <v>0</v>
      </c>
      <c r="AX348" s="36">
        <v>0</v>
      </c>
      <c r="AY348" s="269">
        <v>7.3842155009451798E-6</v>
      </c>
      <c r="AZ348" s="36">
        <v>0</v>
      </c>
      <c r="BA348" s="36">
        <v>0</v>
      </c>
      <c r="BB348" s="36">
        <v>0</v>
      </c>
      <c r="BC348" s="269">
        <v>7.3842155009451798E-6</v>
      </c>
      <c r="BD348" s="37">
        <v>0</v>
      </c>
      <c r="BE348" s="272"/>
      <c r="BF348" s="273"/>
      <c r="BG348" s="273"/>
    </row>
    <row r="349" spans="1:59" s="3" customFormat="1" ht="18" customHeight="1" x14ac:dyDescent="0.2">
      <c r="A349" s="121"/>
      <c r="B349" s="121"/>
      <c r="H349" s="39">
        <v>44</v>
      </c>
      <c r="I349" s="35">
        <v>0</v>
      </c>
      <c r="J349" s="36">
        <v>0</v>
      </c>
      <c r="K349" s="269">
        <v>7.3842155009451798E-6</v>
      </c>
      <c r="L349" s="36">
        <v>0</v>
      </c>
      <c r="M349" s="36">
        <v>0</v>
      </c>
      <c r="N349" s="36">
        <v>0</v>
      </c>
      <c r="O349" s="269">
        <v>7.3842155009451798E-6</v>
      </c>
      <c r="P349" s="36">
        <v>0</v>
      </c>
      <c r="Q349" s="36">
        <v>0</v>
      </c>
      <c r="R349" s="36">
        <v>0</v>
      </c>
      <c r="S349" s="36">
        <v>0</v>
      </c>
      <c r="T349" s="269">
        <v>7.3842155009451798E-6</v>
      </c>
      <c r="U349" s="36">
        <v>0</v>
      </c>
      <c r="V349" s="36">
        <v>0</v>
      </c>
      <c r="W349" s="36">
        <v>0</v>
      </c>
      <c r="X349" s="36">
        <v>0</v>
      </c>
      <c r="Y349" s="36">
        <v>0</v>
      </c>
      <c r="Z349" s="269">
        <v>7.3842155009451798E-6</v>
      </c>
      <c r="AA349" s="36">
        <v>0</v>
      </c>
      <c r="AB349" s="36">
        <v>0</v>
      </c>
      <c r="AC349" s="36">
        <v>0</v>
      </c>
      <c r="AD349" s="36">
        <v>0</v>
      </c>
      <c r="AE349" s="36">
        <v>0</v>
      </c>
      <c r="AF349" s="36">
        <v>0</v>
      </c>
      <c r="AG349" s="269">
        <v>7.3842155009451798E-6</v>
      </c>
      <c r="AH349" s="36">
        <v>0</v>
      </c>
      <c r="AI349" s="36">
        <v>0</v>
      </c>
      <c r="AJ349" s="36">
        <v>0</v>
      </c>
      <c r="AK349" s="36">
        <v>0</v>
      </c>
      <c r="AL349" s="36">
        <v>0</v>
      </c>
      <c r="AM349" s="36">
        <v>0</v>
      </c>
      <c r="AN349" s="269">
        <v>7.3842155009451798E-6</v>
      </c>
      <c r="AO349" s="36">
        <v>0</v>
      </c>
      <c r="AP349" s="36">
        <v>0</v>
      </c>
      <c r="AQ349" s="36">
        <v>0</v>
      </c>
      <c r="AR349" s="36">
        <v>0</v>
      </c>
      <c r="AS349" s="36">
        <v>0</v>
      </c>
      <c r="AT349" s="36">
        <v>0</v>
      </c>
      <c r="AU349" s="36">
        <v>0</v>
      </c>
      <c r="AV349" s="36">
        <v>0</v>
      </c>
      <c r="AW349" s="269">
        <v>7.3842155009451798E-6</v>
      </c>
      <c r="AX349" s="36">
        <v>0</v>
      </c>
      <c r="AY349" s="36">
        <v>0</v>
      </c>
      <c r="AZ349" s="269">
        <v>7.3842155009451798E-6</v>
      </c>
      <c r="BA349" s="269">
        <v>7.3842155009451798E-6</v>
      </c>
      <c r="BB349" s="36">
        <v>0</v>
      </c>
      <c r="BC349" s="36">
        <v>0</v>
      </c>
      <c r="BD349" s="274">
        <v>7.3842155009451798E-6</v>
      </c>
      <c r="BE349" s="272"/>
      <c r="BF349" s="273"/>
      <c r="BG349" s="273"/>
    </row>
    <row r="350" spans="1:59" s="3" customFormat="1" ht="18" customHeight="1" x14ac:dyDescent="0.2">
      <c r="A350" s="121"/>
      <c r="B350" s="121"/>
      <c r="H350" s="39">
        <v>45</v>
      </c>
      <c r="I350" s="35">
        <v>0</v>
      </c>
      <c r="J350" s="36">
        <v>0</v>
      </c>
      <c r="K350" s="269">
        <v>7.3842155009451798E-6</v>
      </c>
      <c r="L350" s="36">
        <v>0</v>
      </c>
      <c r="M350" s="36">
        <v>0</v>
      </c>
      <c r="N350" s="36">
        <v>0</v>
      </c>
      <c r="O350" s="269">
        <v>7.3842155009451798E-6</v>
      </c>
      <c r="P350" s="36">
        <v>0</v>
      </c>
      <c r="Q350" s="36">
        <v>0</v>
      </c>
      <c r="R350" s="36">
        <v>0</v>
      </c>
      <c r="S350" s="36">
        <v>0</v>
      </c>
      <c r="T350" s="269">
        <v>7.3842155009451798E-6</v>
      </c>
      <c r="U350" s="36">
        <v>0</v>
      </c>
      <c r="V350" s="36">
        <v>0</v>
      </c>
      <c r="W350" s="36">
        <v>0</v>
      </c>
      <c r="X350" s="36">
        <v>0</v>
      </c>
      <c r="Y350" s="36">
        <v>0</v>
      </c>
      <c r="Z350" s="269">
        <v>7.3842155009451798E-6</v>
      </c>
      <c r="AA350" s="36">
        <v>0</v>
      </c>
      <c r="AB350" s="36">
        <v>0</v>
      </c>
      <c r="AC350" s="36">
        <v>0</v>
      </c>
      <c r="AD350" s="36">
        <v>0</v>
      </c>
      <c r="AE350" s="36">
        <v>0</v>
      </c>
      <c r="AF350" s="36">
        <v>0</v>
      </c>
      <c r="AG350" s="269">
        <v>7.3842155009451798E-6</v>
      </c>
      <c r="AH350" s="36">
        <v>0</v>
      </c>
      <c r="AI350" s="36">
        <v>0</v>
      </c>
      <c r="AJ350" s="36">
        <v>0</v>
      </c>
      <c r="AK350" s="36">
        <v>0</v>
      </c>
      <c r="AL350" s="36">
        <v>0</v>
      </c>
      <c r="AM350" s="36">
        <v>0</v>
      </c>
      <c r="AN350" s="269">
        <v>7.3842155009451798E-6</v>
      </c>
      <c r="AO350" s="36">
        <v>0</v>
      </c>
      <c r="AP350" s="36">
        <v>0</v>
      </c>
      <c r="AQ350" s="36">
        <v>0</v>
      </c>
      <c r="AR350" s="36">
        <v>0</v>
      </c>
      <c r="AS350" s="36">
        <v>0</v>
      </c>
      <c r="AT350" s="36">
        <v>0</v>
      </c>
      <c r="AU350" s="36">
        <v>0</v>
      </c>
      <c r="AV350" s="36">
        <v>0</v>
      </c>
      <c r="AW350" s="269">
        <v>7.3842155009451798E-6</v>
      </c>
      <c r="AX350" s="36">
        <v>0</v>
      </c>
      <c r="AY350" s="36">
        <v>0</v>
      </c>
      <c r="AZ350" s="269">
        <v>7.3842155009451798E-6</v>
      </c>
      <c r="BA350" s="269">
        <v>7.3842155009451798E-6</v>
      </c>
      <c r="BB350" s="36">
        <v>0</v>
      </c>
      <c r="BC350" s="36">
        <v>0</v>
      </c>
      <c r="BD350" s="274">
        <v>7.3842155009451798E-6</v>
      </c>
      <c r="BE350" s="272"/>
      <c r="BF350" s="273"/>
      <c r="BG350" s="273"/>
    </row>
    <row r="351" spans="1:59" s="3" customFormat="1" ht="18" customHeight="1" x14ac:dyDescent="0.2">
      <c r="A351" s="121"/>
      <c r="B351" s="121"/>
      <c r="H351" s="39">
        <v>46</v>
      </c>
      <c r="I351" s="35">
        <v>0</v>
      </c>
      <c r="J351" s="36">
        <v>0</v>
      </c>
      <c r="K351" s="36">
        <v>0</v>
      </c>
      <c r="L351" s="36">
        <v>0</v>
      </c>
      <c r="M351" s="269">
        <v>7.3842155009451798E-6</v>
      </c>
      <c r="N351" s="36">
        <v>0</v>
      </c>
      <c r="O351" s="36">
        <v>0</v>
      </c>
      <c r="P351" s="269">
        <v>7.3842155009451798E-6</v>
      </c>
      <c r="Q351" s="36">
        <v>0</v>
      </c>
      <c r="R351" s="36">
        <v>0</v>
      </c>
      <c r="S351" s="36">
        <v>0</v>
      </c>
      <c r="T351" s="36">
        <v>0</v>
      </c>
      <c r="U351" s="36">
        <v>0</v>
      </c>
      <c r="V351" s="269">
        <v>7.3842155009451798E-6</v>
      </c>
      <c r="W351" s="36">
        <v>0</v>
      </c>
      <c r="X351" s="36">
        <v>0</v>
      </c>
      <c r="Y351" s="36">
        <v>0</v>
      </c>
      <c r="Z351" s="36">
        <v>0</v>
      </c>
      <c r="AA351" s="36">
        <v>0</v>
      </c>
      <c r="AB351" s="36">
        <v>0</v>
      </c>
      <c r="AC351" s="269">
        <v>7.3842155009451798E-6</v>
      </c>
      <c r="AD351" s="36">
        <v>0</v>
      </c>
      <c r="AE351" s="36">
        <v>0</v>
      </c>
      <c r="AF351" s="36">
        <v>0</v>
      </c>
      <c r="AG351" s="36">
        <v>0</v>
      </c>
      <c r="AH351" s="36">
        <v>0</v>
      </c>
      <c r="AI351" s="269">
        <v>7.3842155009451798E-6</v>
      </c>
      <c r="AJ351" s="36">
        <v>0</v>
      </c>
      <c r="AK351" s="36">
        <v>0</v>
      </c>
      <c r="AL351" s="36">
        <v>0</v>
      </c>
      <c r="AM351" s="36">
        <v>0</v>
      </c>
      <c r="AN351" s="36">
        <v>0</v>
      </c>
      <c r="AO351" s="36">
        <v>0</v>
      </c>
      <c r="AP351" s="36">
        <v>0</v>
      </c>
      <c r="AQ351" s="269">
        <v>7.3842155009451798E-6</v>
      </c>
      <c r="AR351" s="36">
        <v>0</v>
      </c>
      <c r="AS351" s="36">
        <v>0</v>
      </c>
      <c r="AT351" s="36">
        <v>0</v>
      </c>
      <c r="AU351" s="36">
        <v>0</v>
      </c>
      <c r="AV351" s="36">
        <v>0</v>
      </c>
      <c r="AW351" s="36">
        <v>0</v>
      </c>
      <c r="AX351" s="269">
        <v>7.3842155009451798E-6</v>
      </c>
      <c r="AY351" s="36">
        <v>0</v>
      </c>
      <c r="AZ351" s="36">
        <v>0</v>
      </c>
      <c r="BA351" s="36">
        <v>0</v>
      </c>
      <c r="BB351" s="269">
        <v>7.3842155009451798E-6</v>
      </c>
      <c r="BC351" s="36">
        <v>0</v>
      </c>
      <c r="BD351" s="37">
        <v>0</v>
      </c>
      <c r="BE351" s="272"/>
      <c r="BF351" s="273"/>
      <c r="BG351" s="273"/>
    </row>
    <row r="352" spans="1:59" s="3" customFormat="1" ht="18" customHeight="1" x14ac:dyDescent="0.2">
      <c r="A352" s="121"/>
      <c r="B352" s="121"/>
      <c r="H352" s="39">
        <v>47</v>
      </c>
      <c r="I352" s="35">
        <v>0</v>
      </c>
      <c r="J352" s="36">
        <v>0</v>
      </c>
      <c r="K352" s="36">
        <v>0</v>
      </c>
      <c r="L352" s="36">
        <v>0</v>
      </c>
      <c r="M352" s="36">
        <v>0</v>
      </c>
      <c r="N352" s="269">
        <v>7.3842155009451798E-6</v>
      </c>
      <c r="O352" s="36">
        <v>0</v>
      </c>
      <c r="P352" s="36">
        <v>0</v>
      </c>
      <c r="Q352" s="269">
        <v>7.3842155009451798E-6</v>
      </c>
      <c r="R352" s="36">
        <v>0</v>
      </c>
      <c r="S352" s="36">
        <v>0</v>
      </c>
      <c r="T352" s="36">
        <v>0</v>
      </c>
      <c r="U352" s="36">
        <v>0</v>
      </c>
      <c r="V352" s="36">
        <v>0</v>
      </c>
      <c r="W352" s="269">
        <v>7.3842155009451798E-6</v>
      </c>
      <c r="X352" s="36">
        <v>0</v>
      </c>
      <c r="Y352" s="36">
        <v>0</v>
      </c>
      <c r="Z352" s="36">
        <v>0</v>
      </c>
      <c r="AA352" s="36">
        <v>0</v>
      </c>
      <c r="AB352" s="36">
        <v>0</v>
      </c>
      <c r="AC352" s="36">
        <v>0</v>
      </c>
      <c r="AD352" s="269">
        <v>7.3842155009451798E-6</v>
      </c>
      <c r="AE352" s="36">
        <v>0</v>
      </c>
      <c r="AF352" s="36">
        <v>0</v>
      </c>
      <c r="AG352" s="36">
        <v>0</v>
      </c>
      <c r="AH352" s="36">
        <v>0</v>
      </c>
      <c r="AI352" s="36">
        <v>0</v>
      </c>
      <c r="AJ352" s="269">
        <v>7.3842155009451798E-6</v>
      </c>
      <c r="AK352" s="36">
        <v>0</v>
      </c>
      <c r="AL352" s="36">
        <v>0</v>
      </c>
      <c r="AM352" s="36">
        <v>0</v>
      </c>
      <c r="AN352" s="36">
        <v>0</v>
      </c>
      <c r="AO352" s="36">
        <v>0</v>
      </c>
      <c r="AP352" s="36">
        <v>0</v>
      </c>
      <c r="AQ352" s="36">
        <v>0</v>
      </c>
      <c r="AR352" s="36">
        <v>0</v>
      </c>
      <c r="AS352" s="269">
        <v>7.3842155009451798E-6</v>
      </c>
      <c r="AT352" s="36">
        <v>0</v>
      </c>
      <c r="AU352" s="36">
        <v>0</v>
      </c>
      <c r="AV352" s="36">
        <v>0</v>
      </c>
      <c r="AW352" s="36">
        <v>0</v>
      </c>
      <c r="AX352" s="36">
        <v>0</v>
      </c>
      <c r="AY352" s="269">
        <v>7.3842155009451798E-6</v>
      </c>
      <c r="AZ352" s="36">
        <v>0</v>
      </c>
      <c r="BA352" s="36">
        <v>0</v>
      </c>
      <c r="BB352" s="36">
        <v>0</v>
      </c>
      <c r="BC352" s="269">
        <v>7.3842155009451798E-6</v>
      </c>
      <c r="BD352" s="37">
        <v>0</v>
      </c>
      <c r="BE352" s="272"/>
      <c r="BF352" s="273"/>
      <c r="BG352" s="273"/>
    </row>
    <row r="353" spans="1:59" s="3" customFormat="1" ht="18.5" customHeight="1" x14ac:dyDescent="0.2">
      <c r="A353" s="121"/>
      <c r="B353" s="121"/>
      <c r="H353" s="56">
        <v>48</v>
      </c>
      <c r="I353" s="32">
        <v>0</v>
      </c>
      <c r="J353" s="33">
        <v>0</v>
      </c>
      <c r="K353" s="279">
        <v>7.3842155009451798E-6</v>
      </c>
      <c r="L353" s="33">
        <v>0</v>
      </c>
      <c r="M353" s="33">
        <v>0</v>
      </c>
      <c r="N353" s="33">
        <v>0</v>
      </c>
      <c r="O353" s="279">
        <v>7.3842155009451798E-6</v>
      </c>
      <c r="P353" s="33">
        <v>0</v>
      </c>
      <c r="Q353" s="33">
        <v>0</v>
      </c>
      <c r="R353" s="33">
        <v>0</v>
      </c>
      <c r="S353" s="33">
        <v>0</v>
      </c>
      <c r="T353" s="279">
        <v>7.3842155009451798E-6</v>
      </c>
      <c r="U353" s="33">
        <v>0</v>
      </c>
      <c r="V353" s="33">
        <v>0</v>
      </c>
      <c r="W353" s="33">
        <v>0</v>
      </c>
      <c r="X353" s="33">
        <v>0</v>
      </c>
      <c r="Y353" s="33">
        <v>0</v>
      </c>
      <c r="Z353" s="279">
        <v>7.3842155009451798E-6</v>
      </c>
      <c r="AA353" s="33">
        <v>0</v>
      </c>
      <c r="AB353" s="33">
        <v>0</v>
      </c>
      <c r="AC353" s="33">
        <v>0</v>
      </c>
      <c r="AD353" s="33">
        <v>0</v>
      </c>
      <c r="AE353" s="33">
        <v>0</v>
      </c>
      <c r="AF353" s="33">
        <v>0</v>
      </c>
      <c r="AG353" s="279">
        <v>7.3842155009451798E-6</v>
      </c>
      <c r="AH353" s="33">
        <v>0</v>
      </c>
      <c r="AI353" s="33">
        <v>0</v>
      </c>
      <c r="AJ353" s="33">
        <v>0</v>
      </c>
      <c r="AK353" s="33">
        <v>0</v>
      </c>
      <c r="AL353" s="33">
        <v>0</v>
      </c>
      <c r="AM353" s="33">
        <v>0</v>
      </c>
      <c r="AN353" s="279">
        <v>7.3842155009451798E-6</v>
      </c>
      <c r="AO353" s="33">
        <v>0</v>
      </c>
      <c r="AP353" s="33">
        <v>0</v>
      </c>
      <c r="AQ353" s="33">
        <v>0</v>
      </c>
      <c r="AR353" s="33">
        <v>0</v>
      </c>
      <c r="AS353" s="33">
        <v>0</v>
      </c>
      <c r="AT353" s="33">
        <v>0</v>
      </c>
      <c r="AU353" s="33">
        <v>0</v>
      </c>
      <c r="AV353" s="33">
        <v>0</v>
      </c>
      <c r="AW353" s="279">
        <v>7.3842155009451798E-6</v>
      </c>
      <c r="AX353" s="33">
        <v>0</v>
      </c>
      <c r="AY353" s="33">
        <v>0</v>
      </c>
      <c r="AZ353" s="279">
        <v>7.3842155009451798E-6</v>
      </c>
      <c r="BA353" s="279">
        <v>7.3842155009451798E-6</v>
      </c>
      <c r="BB353" s="33">
        <v>0</v>
      </c>
      <c r="BC353" s="33">
        <v>0</v>
      </c>
      <c r="BD353" s="280">
        <v>7.3842155009451798E-6</v>
      </c>
      <c r="BE353" s="272"/>
      <c r="BF353" s="273"/>
      <c r="BG353" s="273"/>
    </row>
    <row r="354" spans="1:59" s="3" customFormat="1" ht="18.5" customHeight="1" x14ac:dyDescent="0.2">
      <c r="A354" s="121"/>
      <c r="B354" s="121"/>
      <c r="I354" s="281"/>
      <c r="J354" s="281"/>
      <c r="K354" s="281"/>
      <c r="L354" s="281"/>
      <c r="M354" s="281"/>
      <c r="N354" s="281"/>
      <c r="O354" s="281"/>
      <c r="P354" s="281"/>
      <c r="Q354" s="281"/>
      <c r="R354" s="281"/>
      <c r="S354" s="281"/>
      <c r="T354" s="281"/>
      <c r="U354" s="281"/>
      <c r="V354" s="281"/>
      <c r="W354" s="281"/>
      <c r="X354" s="281"/>
      <c r="Y354" s="281"/>
      <c r="Z354" s="281"/>
      <c r="AA354" s="281"/>
      <c r="AB354" s="281"/>
      <c r="AC354" s="281"/>
      <c r="AD354" s="281"/>
      <c r="AE354" s="281"/>
      <c r="AF354" s="281"/>
      <c r="AG354" s="281"/>
      <c r="AH354" s="281"/>
      <c r="AI354" s="281"/>
      <c r="AJ354" s="281"/>
      <c r="AK354" s="281"/>
      <c r="AL354" s="281"/>
      <c r="AM354" s="281"/>
      <c r="AN354" s="281"/>
      <c r="AO354" s="281"/>
      <c r="AP354" s="281"/>
      <c r="AQ354" s="281"/>
      <c r="AR354" s="281"/>
      <c r="AS354" s="281"/>
      <c r="AT354" s="281"/>
      <c r="AU354" s="281"/>
      <c r="AV354" s="281"/>
      <c r="AW354" s="281"/>
      <c r="AX354" s="281"/>
      <c r="AY354" s="281"/>
      <c r="AZ354" s="281"/>
      <c r="BA354" s="281"/>
      <c r="BB354" s="281"/>
      <c r="BC354" s="281"/>
      <c r="BD354" s="281"/>
      <c r="BE354" s="273"/>
      <c r="BF354" s="273"/>
      <c r="BG354" s="273"/>
    </row>
    <row r="355" spans="1:59" s="3" customFormat="1" ht="18" customHeight="1" x14ac:dyDescent="0.2">
      <c r="A355" s="121"/>
      <c r="B355" s="121"/>
      <c r="I355" s="273"/>
      <c r="J355" s="273"/>
      <c r="K355" s="273"/>
      <c r="L355" s="273"/>
      <c r="M355" s="273"/>
      <c r="N355" s="273"/>
      <c r="O355" s="273"/>
      <c r="P355" s="273"/>
      <c r="Q355" s="273"/>
      <c r="R355" s="273"/>
      <c r="S355" s="273"/>
      <c r="T355" s="273"/>
      <c r="U355" s="273"/>
      <c r="V355" s="273"/>
      <c r="W355" s="273"/>
      <c r="X355" s="273"/>
      <c r="Y355" s="273"/>
      <c r="Z355" s="273"/>
      <c r="AA355" s="273"/>
      <c r="AB355" s="273"/>
      <c r="AC355" s="273"/>
      <c r="AD355" s="273"/>
      <c r="AE355" s="273"/>
      <c r="AF355" s="273"/>
      <c r="AG355" s="273"/>
      <c r="AH355" s="273"/>
      <c r="AI355" s="273"/>
      <c r="AJ355" s="273"/>
      <c r="AK355" s="273"/>
      <c r="AL355" s="273"/>
      <c r="AM355" s="273"/>
      <c r="AN355" s="273"/>
      <c r="AO355" s="273"/>
      <c r="AP355" s="273"/>
      <c r="AQ355" s="273"/>
      <c r="AR355" s="273"/>
      <c r="AS355" s="273"/>
      <c r="AT355" s="273"/>
      <c r="AU355" s="273"/>
      <c r="AV355" s="273"/>
      <c r="AW355" s="273"/>
      <c r="AX355" s="273"/>
      <c r="AY355" s="273"/>
      <c r="AZ355" s="273"/>
      <c r="BA355" s="273"/>
      <c r="BB355" s="273"/>
      <c r="BC355" s="273"/>
      <c r="BD355" s="273"/>
      <c r="BE355" s="273"/>
      <c r="BF355" s="273"/>
      <c r="BG355" s="273"/>
    </row>
    <row r="356" spans="1:59" s="3" customFormat="1" ht="18" customHeight="1" x14ac:dyDescent="0.2">
      <c r="A356" s="121"/>
      <c r="B356" s="121"/>
      <c r="I356" s="273"/>
      <c r="J356" s="273"/>
      <c r="K356" s="273"/>
      <c r="L356" s="273"/>
      <c r="M356" s="273"/>
      <c r="N356" s="273"/>
      <c r="O356" s="273"/>
      <c r="P356" s="273"/>
      <c r="Q356" s="273"/>
      <c r="R356" s="273"/>
      <c r="S356" s="273"/>
      <c r="T356" s="273"/>
      <c r="U356" s="273"/>
      <c r="V356" s="273"/>
      <c r="W356" s="273"/>
      <c r="X356" s="273"/>
      <c r="Y356" s="273"/>
      <c r="Z356" s="273"/>
      <c r="AA356" s="273"/>
      <c r="AB356" s="273"/>
      <c r="AC356" s="273"/>
      <c r="AD356" s="273"/>
      <c r="AE356" s="273"/>
      <c r="AF356" s="273"/>
      <c r="AG356" s="273"/>
      <c r="AH356" s="273"/>
      <c r="AI356" s="273"/>
      <c r="AJ356" s="273"/>
      <c r="AK356" s="273"/>
      <c r="AL356" s="273"/>
      <c r="AM356" s="273"/>
      <c r="AN356" s="273"/>
      <c r="AO356" s="273"/>
      <c r="AP356" s="273"/>
      <c r="AQ356" s="273"/>
      <c r="AR356" s="273"/>
      <c r="AS356" s="273"/>
      <c r="AT356" s="273"/>
      <c r="AU356" s="273"/>
      <c r="AV356" s="273"/>
      <c r="AW356" s="273"/>
      <c r="AX356" s="273"/>
      <c r="AY356" s="273"/>
      <c r="AZ356" s="273"/>
      <c r="BA356" s="273"/>
      <c r="BB356" s="273"/>
      <c r="BC356" s="273"/>
      <c r="BD356" s="273"/>
      <c r="BE356" s="273"/>
      <c r="BF356" s="273"/>
      <c r="BG356" s="273"/>
    </row>
    <row r="357" spans="1:59" s="3" customFormat="1" ht="18" customHeight="1" x14ac:dyDescent="0.2">
      <c r="A357" s="121"/>
      <c r="B357" s="121"/>
    </row>
    <row r="358" spans="1:59" s="3" customFormat="1" ht="18" customHeight="1" x14ac:dyDescent="0.2">
      <c r="A358" s="121"/>
      <c r="B358" s="121"/>
    </row>
    <row r="359" spans="1:59" s="3" customFormat="1" ht="18.5" customHeight="1" x14ac:dyDescent="0.2">
      <c r="A359" s="121"/>
      <c r="B359" s="121"/>
    </row>
    <row r="360" spans="1:59" s="3" customFormat="1" ht="19" customHeight="1" x14ac:dyDescent="0.2">
      <c r="A360" s="121"/>
      <c r="B360" s="121"/>
      <c r="H360" s="6" t="s">
        <v>234</v>
      </c>
      <c r="I360" s="101" t="s">
        <v>235</v>
      </c>
      <c r="J360" s="282"/>
    </row>
    <row r="361" spans="1:59" s="3" customFormat="1" ht="19" customHeight="1" x14ac:dyDescent="0.2">
      <c r="A361" s="121"/>
      <c r="B361" s="121"/>
      <c r="I361" s="4" t="s">
        <v>236</v>
      </c>
    </row>
    <row r="362" spans="1:59" s="3" customFormat="1" ht="19" customHeight="1" x14ac:dyDescent="0.2">
      <c r="A362" s="121"/>
      <c r="B362" s="121"/>
      <c r="H362" s="8" t="s">
        <v>237</v>
      </c>
      <c r="I362" s="9">
        <v>1</v>
      </c>
      <c r="J362" s="10">
        <v>2</v>
      </c>
      <c r="K362" s="10">
        <v>3</v>
      </c>
      <c r="L362" s="10">
        <v>4</v>
      </c>
      <c r="M362" s="10">
        <v>5</v>
      </c>
      <c r="N362" s="10">
        <v>6</v>
      </c>
      <c r="O362" s="10">
        <v>7</v>
      </c>
      <c r="P362" s="33">
        <v>8</v>
      </c>
      <c r="Q362" s="33">
        <v>9</v>
      </c>
      <c r="R362" s="33">
        <v>10</v>
      </c>
      <c r="S362" s="33">
        <v>11</v>
      </c>
      <c r="T362" s="33">
        <v>12</v>
      </c>
      <c r="U362" s="33">
        <v>13</v>
      </c>
      <c r="V362" s="33">
        <v>14</v>
      </c>
      <c r="W362" s="33">
        <v>15</v>
      </c>
      <c r="X362" s="33">
        <v>16</v>
      </c>
      <c r="Y362" s="33">
        <v>17</v>
      </c>
      <c r="Z362" s="33">
        <v>18</v>
      </c>
      <c r="AA362" s="33">
        <v>19</v>
      </c>
      <c r="AB362" s="33">
        <v>20</v>
      </c>
      <c r="AC362" s="33">
        <v>21</v>
      </c>
      <c r="AD362" s="33">
        <v>22</v>
      </c>
      <c r="AE362" s="33">
        <v>23</v>
      </c>
      <c r="AF362" s="33">
        <v>24</v>
      </c>
      <c r="AG362" s="33">
        <v>25</v>
      </c>
      <c r="AH362" s="33">
        <v>26</v>
      </c>
      <c r="AI362" s="33">
        <v>27</v>
      </c>
      <c r="AJ362" s="33">
        <v>28</v>
      </c>
      <c r="AK362" s="33">
        <v>29</v>
      </c>
      <c r="AL362" s="33">
        <v>30</v>
      </c>
      <c r="AM362" s="33">
        <v>31</v>
      </c>
      <c r="AN362" s="33">
        <v>32</v>
      </c>
      <c r="AO362" s="33">
        <v>33</v>
      </c>
      <c r="AP362" s="33">
        <v>34</v>
      </c>
      <c r="AQ362" s="33">
        <v>35</v>
      </c>
      <c r="AR362" s="33">
        <v>36</v>
      </c>
      <c r="AS362" s="33">
        <v>37</v>
      </c>
      <c r="AT362" s="33">
        <v>38</v>
      </c>
      <c r="AU362" s="33">
        <v>39</v>
      </c>
      <c r="AV362" s="33">
        <v>40</v>
      </c>
      <c r="AW362" s="33">
        <v>41</v>
      </c>
      <c r="AX362" s="33">
        <v>42</v>
      </c>
      <c r="AY362" s="33">
        <v>43</v>
      </c>
      <c r="AZ362" s="33">
        <v>44</v>
      </c>
      <c r="BA362" s="33">
        <v>45</v>
      </c>
      <c r="BB362" s="33">
        <v>46</v>
      </c>
      <c r="BC362" s="33">
        <v>47</v>
      </c>
      <c r="BD362" s="33">
        <v>48</v>
      </c>
    </row>
    <row r="363" spans="1:59" s="3" customFormat="1" ht="18.5" customHeight="1" x14ac:dyDescent="0.2">
      <c r="A363" s="121"/>
      <c r="B363" s="121"/>
      <c r="H363" s="28">
        <v>1</v>
      </c>
      <c r="I363" s="283">
        <v>0.13352138468809099</v>
      </c>
      <c r="J363" s="284">
        <v>0.13352138468809099</v>
      </c>
      <c r="K363" s="284">
        <v>0.13352138468809099</v>
      </c>
      <c r="L363" s="284">
        <v>0.13352138468809099</v>
      </c>
      <c r="M363" s="284">
        <v>0.13352138468809099</v>
      </c>
      <c r="N363" s="284">
        <v>0.13352138468809099</v>
      </c>
      <c r="O363" s="284">
        <v>0.13352138468809099</v>
      </c>
      <c r="P363" s="284">
        <v>0.13352138468809099</v>
      </c>
      <c r="Q363" s="284">
        <v>0.13352138468809099</v>
      </c>
      <c r="R363" s="284">
        <v>0.13352138468809099</v>
      </c>
      <c r="S363" s="284">
        <v>0.13352138468809099</v>
      </c>
      <c r="T363" s="284">
        <v>0.13352138468809099</v>
      </c>
      <c r="U363" s="284">
        <v>0.13352138468809099</v>
      </c>
      <c r="V363" s="284">
        <v>0.13352138468809099</v>
      </c>
      <c r="W363" s="284">
        <v>0.13352138468809099</v>
      </c>
      <c r="X363" s="284">
        <v>0.13352138468809099</v>
      </c>
      <c r="Y363" s="284">
        <v>0.13352138468809099</v>
      </c>
      <c r="Z363" s="284">
        <v>0.13352138468809099</v>
      </c>
      <c r="AA363" s="284">
        <v>0.13352138468809099</v>
      </c>
      <c r="AB363" s="284">
        <v>0.13352138468809099</v>
      </c>
      <c r="AC363" s="284">
        <v>0.13352138468809099</v>
      </c>
      <c r="AD363" s="284">
        <v>0.13352138468809099</v>
      </c>
      <c r="AE363" s="284">
        <v>0.13352138468809099</v>
      </c>
      <c r="AF363" s="284">
        <v>0.13352138468809099</v>
      </c>
      <c r="AG363" s="284">
        <v>0.13352138468809099</v>
      </c>
      <c r="AH363" s="284">
        <v>0.13352138468809099</v>
      </c>
      <c r="AI363" s="284">
        <v>0.13352138468809099</v>
      </c>
      <c r="AJ363" s="284">
        <v>0.13352138468809099</v>
      </c>
      <c r="AK363" s="284">
        <v>0.13352138468809099</v>
      </c>
      <c r="AL363" s="284">
        <v>0.13352138468809099</v>
      </c>
      <c r="AM363" s="284">
        <v>0.13352138468809099</v>
      </c>
      <c r="AN363" s="284">
        <v>0.13352138468809099</v>
      </c>
      <c r="AO363" s="284">
        <v>0.13352138468809099</v>
      </c>
      <c r="AP363" s="284">
        <v>0.13352138468809099</v>
      </c>
      <c r="AQ363" s="284">
        <v>0.13352138468809099</v>
      </c>
      <c r="AR363" s="284">
        <v>0.13352138468809099</v>
      </c>
      <c r="AS363" s="284">
        <v>0.13352138468809099</v>
      </c>
      <c r="AT363" s="284">
        <v>0.13352138468809099</v>
      </c>
      <c r="AU363" s="284">
        <v>0.13352138468809099</v>
      </c>
      <c r="AV363" s="284">
        <v>0.13352138468809099</v>
      </c>
      <c r="AW363" s="284">
        <v>0.13352138468809099</v>
      </c>
      <c r="AX363" s="284">
        <v>0.13352138468809099</v>
      </c>
      <c r="AY363" s="284">
        <v>0.13352138468809099</v>
      </c>
      <c r="AZ363" s="284">
        <v>0.13352138468809099</v>
      </c>
      <c r="BA363" s="284">
        <v>0.13352138468809099</v>
      </c>
      <c r="BB363" s="284">
        <v>0.13352138468809099</v>
      </c>
      <c r="BC363" s="284">
        <v>0.13352138468809099</v>
      </c>
      <c r="BD363" s="285">
        <v>0.13352138468809099</v>
      </c>
    </row>
    <row r="364" spans="1:59" s="3" customFormat="1" ht="18" customHeight="1" x14ac:dyDescent="0.2">
      <c r="A364" s="121"/>
      <c r="B364" s="121"/>
      <c r="H364" s="39">
        <v>2</v>
      </c>
      <c r="I364" s="286">
        <v>0.13352138468809099</v>
      </c>
      <c r="J364" s="287">
        <v>0.13352138468809099</v>
      </c>
      <c r="K364" s="287">
        <v>0.13352138468809099</v>
      </c>
      <c r="L364" s="287">
        <v>0.13352138468809099</v>
      </c>
      <c r="M364" s="287">
        <v>0.13352138468809099</v>
      </c>
      <c r="N364" s="287">
        <v>0.13352138468809099</v>
      </c>
      <c r="O364" s="287">
        <v>0.13352138468809099</v>
      </c>
      <c r="P364" s="287">
        <v>0.13352138468809099</v>
      </c>
      <c r="Q364" s="287">
        <v>0.13352138468809099</v>
      </c>
      <c r="R364" s="287">
        <v>0.13352138468809099</v>
      </c>
      <c r="S364" s="287">
        <v>0.13352138468809099</v>
      </c>
      <c r="T364" s="287">
        <v>0.13352138468809099</v>
      </c>
      <c r="U364" s="287">
        <v>0.13352138468809099</v>
      </c>
      <c r="V364" s="287">
        <v>0.13352138468809099</v>
      </c>
      <c r="W364" s="287">
        <v>0.13352138468809099</v>
      </c>
      <c r="X364" s="287">
        <v>0.13352138468809099</v>
      </c>
      <c r="Y364" s="287">
        <v>0.13352138468809099</v>
      </c>
      <c r="Z364" s="287">
        <v>0.13352138468809099</v>
      </c>
      <c r="AA364" s="287">
        <v>0.13352138468809099</v>
      </c>
      <c r="AB364" s="287">
        <v>0.13352138468809099</v>
      </c>
      <c r="AC364" s="287">
        <v>0.13352138468809099</v>
      </c>
      <c r="AD364" s="287">
        <v>0.13352138468809099</v>
      </c>
      <c r="AE364" s="287">
        <v>0.13352138468809099</v>
      </c>
      <c r="AF364" s="287">
        <v>0.13352138468809099</v>
      </c>
      <c r="AG364" s="287">
        <v>0.13352138468809099</v>
      </c>
      <c r="AH364" s="287">
        <v>0.13352138468809099</v>
      </c>
      <c r="AI364" s="287">
        <v>0.13352138468809099</v>
      </c>
      <c r="AJ364" s="287">
        <v>0.13352138468809099</v>
      </c>
      <c r="AK364" s="287">
        <v>0.13352138468809099</v>
      </c>
      <c r="AL364" s="287">
        <v>0.13352138468809099</v>
      </c>
      <c r="AM364" s="287">
        <v>0.13352138468809099</v>
      </c>
      <c r="AN364" s="287">
        <v>0.13352138468809099</v>
      </c>
      <c r="AO364" s="287">
        <v>0.13352138468809099</v>
      </c>
      <c r="AP364" s="287">
        <v>0.13352138468809099</v>
      </c>
      <c r="AQ364" s="287">
        <v>0.13352138468809099</v>
      </c>
      <c r="AR364" s="287">
        <v>0.13352138468809099</v>
      </c>
      <c r="AS364" s="287">
        <v>0.13352138468809099</v>
      </c>
      <c r="AT364" s="287">
        <v>0.13352138468809099</v>
      </c>
      <c r="AU364" s="287">
        <v>0.13352138468809099</v>
      </c>
      <c r="AV364" s="287">
        <v>0.13352138468809099</v>
      </c>
      <c r="AW364" s="287">
        <v>0.13352138468809099</v>
      </c>
      <c r="AX364" s="287">
        <v>0.13352138468809099</v>
      </c>
      <c r="AY364" s="287">
        <v>0.13352138468809099</v>
      </c>
      <c r="AZ364" s="287">
        <v>0.13352138468809099</v>
      </c>
      <c r="BA364" s="287">
        <v>0.13352138468809099</v>
      </c>
      <c r="BB364" s="287">
        <v>0.13352138468809099</v>
      </c>
      <c r="BC364" s="287">
        <v>0.13352138468809099</v>
      </c>
      <c r="BD364" s="288">
        <v>0.13352138468809099</v>
      </c>
    </row>
    <row r="365" spans="1:59" s="3" customFormat="1" ht="18" customHeight="1" x14ac:dyDescent="0.2">
      <c r="A365" s="121"/>
      <c r="B365" s="121"/>
      <c r="H365" s="39">
        <v>3</v>
      </c>
      <c r="I365" s="286">
        <v>0.13352138468809099</v>
      </c>
      <c r="J365" s="287">
        <v>0.13352138468809099</v>
      </c>
      <c r="K365" s="287">
        <v>0.13352138468809099</v>
      </c>
      <c r="L365" s="287">
        <v>0.13352138468809099</v>
      </c>
      <c r="M365" s="287">
        <v>0.13352138468809099</v>
      </c>
      <c r="N365" s="287">
        <v>0.13352138468809099</v>
      </c>
      <c r="O365" s="287">
        <v>0.13352138468809099</v>
      </c>
      <c r="P365" s="287">
        <v>0.13352138468809099</v>
      </c>
      <c r="Q365" s="287">
        <v>0.13352138468809099</v>
      </c>
      <c r="R365" s="287">
        <v>0.13352138468809099</v>
      </c>
      <c r="S365" s="287">
        <v>0.13352138468809099</v>
      </c>
      <c r="T365" s="287">
        <v>0.13352138468809099</v>
      </c>
      <c r="U365" s="287">
        <v>0.13352138468809099</v>
      </c>
      <c r="V365" s="287">
        <v>0.13352138468809099</v>
      </c>
      <c r="W365" s="287">
        <v>0.13352138468809099</v>
      </c>
      <c r="X365" s="287">
        <v>0.13352138468809099</v>
      </c>
      <c r="Y365" s="287">
        <v>0.13352138468809099</v>
      </c>
      <c r="Z365" s="287">
        <v>0.13352138468809099</v>
      </c>
      <c r="AA365" s="287">
        <v>0.13352138468809099</v>
      </c>
      <c r="AB365" s="287">
        <v>0.13352138468809099</v>
      </c>
      <c r="AC365" s="287">
        <v>0.13352138468809099</v>
      </c>
      <c r="AD365" s="287">
        <v>0.13352138468809099</v>
      </c>
      <c r="AE365" s="287">
        <v>0.13352138468809099</v>
      </c>
      <c r="AF365" s="287">
        <v>0.13352138468809099</v>
      </c>
      <c r="AG365" s="287">
        <v>0.13352138468809099</v>
      </c>
      <c r="AH365" s="287">
        <v>0.13352138468809099</v>
      </c>
      <c r="AI365" s="287">
        <v>0.13352138468809099</v>
      </c>
      <c r="AJ365" s="287">
        <v>0.13352138468809099</v>
      </c>
      <c r="AK365" s="287">
        <v>0.13352138468809099</v>
      </c>
      <c r="AL365" s="287">
        <v>0.13352138468809099</v>
      </c>
      <c r="AM365" s="287">
        <v>0.13352138468809099</v>
      </c>
      <c r="AN365" s="287">
        <v>0.13352138468809099</v>
      </c>
      <c r="AO365" s="287">
        <v>0.13352138468809099</v>
      </c>
      <c r="AP365" s="287">
        <v>0.13352138468809099</v>
      </c>
      <c r="AQ365" s="287">
        <v>0.13352138468809099</v>
      </c>
      <c r="AR365" s="287">
        <v>0.13352138468809099</v>
      </c>
      <c r="AS365" s="287">
        <v>0.13352138468809099</v>
      </c>
      <c r="AT365" s="287">
        <v>0.13352138468809099</v>
      </c>
      <c r="AU365" s="287">
        <v>0.13352138468809099</v>
      </c>
      <c r="AV365" s="287">
        <v>0.13352138468809099</v>
      </c>
      <c r="AW365" s="287">
        <v>0.13352138468809099</v>
      </c>
      <c r="AX365" s="287">
        <v>0.13352138468809099</v>
      </c>
      <c r="AY365" s="287">
        <v>0.13352138468809099</v>
      </c>
      <c r="AZ365" s="287">
        <v>0.13352138468809099</v>
      </c>
      <c r="BA365" s="287">
        <v>0.13352138468809099</v>
      </c>
      <c r="BB365" s="287">
        <v>0.13352138468809099</v>
      </c>
      <c r="BC365" s="287">
        <v>0.13352138468809099</v>
      </c>
      <c r="BD365" s="288">
        <v>0.13352138468809099</v>
      </c>
    </row>
    <row r="366" spans="1:59" s="3" customFormat="1" ht="18" customHeight="1" x14ac:dyDescent="0.2">
      <c r="A366" s="121"/>
      <c r="B366" s="121"/>
      <c r="H366" s="39">
        <v>4</v>
      </c>
      <c r="I366" s="286">
        <v>0.13352138468809099</v>
      </c>
      <c r="J366" s="287">
        <v>0.13352138468809099</v>
      </c>
      <c r="K366" s="287">
        <v>0.13352138468809099</v>
      </c>
      <c r="L366" s="287">
        <v>0.13352138468809099</v>
      </c>
      <c r="M366" s="287">
        <v>0.13352138468809099</v>
      </c>
      <c r="N366" s="287">
        <v>0.13352138468809099</v>
      </c>
      <c r="O366" s="287">
        <v>0.13352138468809099</v>
      </c>
      <c r="P366" s="287">
        <v>0.13352138468809099</v>
      </c>
      <c r="Q366" s="287">
        <v>0.13352138468809099</v>
      </c>
      <c r="R366" s="287">
        <v>0.13352138468809099</v>
      </c>
      <c r="S366" s="287">
        <v>0.13352138468809099</v>
      </c>
      <c r="T366" s="287">
        <v>0.13352138468809099</v>
      </c>
      <c r="U366" s="287">
        <v>0.13352138468809099</v>
      </c>
      <c r="V366" s="287">
        <v>0.13352138468809099</v>
      </c>
      <c r="W366" s="287">
        <v>0.13352138468809099</v>
      </c>
      <c r="X366" s="287">
        <v>0.13352138468809099</v>
      </c>
      <c r="Y366" s="287">
        <v>0.13352138468809099</v>
      </c>
      <c r="Z366" s="287">
        <v>0.13352138468809099</v>
      </c>
      <c r="AA366" s="287">
        <v>0.13352138468809099</v>
      </c>
      <c r="AB366" s="287">
        <v>0.13352138468809099</v>
      </c>
      <c r="AC366" s="287">
        <v>0.13352138468809099</v>
      </c>
      <c r="AD366" s="287">
        <v>0.13352138468809099</v>
      </c>
      <c r="AE366" s="287">
        <v>0.13352138468809099</v>
      </c>
      <c r="AF366" s="287">
        <v>0.13352138468809099</v>
      </c>
      <c r="AG366" s="287">
        <v>0.13352138468809099</v>
      </c>
      <c r="AH366" s="287">
        <v>0.13352138468809099</v>
      </c>
      <c r="AI366" s="287">
        <v>0.13352138468809099</v>
      </c>
      <c r="AJ366" s="287">
        <v>0.13352138468809099</v>
      </c>
      <c r="AK366" s="287">
        <v>0.13352138468809099</v>
      </c>
      <c r="AL366" s="287">
        <v>0.13352138468809099</v>
      </c>
      <c r="AM366" s="287">
        <v>0.13352138468809099</v>
      </c>
      <c r="AN366" s="287">
        <v>0.13352138468809099</v>
      </c>
      <c r="AO366" s="287">
        <v>0.13352138468809099</v>
      </c>
      <c r="AP366" s="287">
        <v>0.13352138468809099</v>
      </c>
      <c r="AQ366" s="287">
        <v>0.13352138468809099</v>
      </c>
      <c r="AR366" s="287">
        <v>0.13352138468809099</v>
      </c>
      <c r="AS366" s="287">
        <v>0.13352138468809099</v>
      </c>
      <c r="AT366" s="287">
        <v>0.13352138468809099</v>
      </c>
      <c r="AU366" s="287">
        <v>0.13352138468809099</v>
      </c>
      <c r="AV366" s="287">
        <v>0.13352138468809099</v>
      </c>
      <c r="AW366" s="287">
        <v>0.13352138468809099</v>
      </c>
      <c r="AX366" s="287">
        <v>0.13352138468809099</v>
      </c>
      <c r="AY366" s="287">
        <v>0.13352138468809099</v>
      </c>
      <c r="AZ366" s="287">
        <v>0.13352138468809099</v>
      </c>
      <c r="BA366" s="287">
        <v>0.13352138468809099</v>
      </c>
      <c r="BB366" s="287">
        <v>0.13352138468809099</v>
      </c>
      <c r="BC366" s="287">
        <v>0.13352138468809099</v>
      </c>
      <c r="BD366" s="288">
        <v>0.13352138468809099</v>
      </c>
    </row>
    <row r="367" spans="1:59" s="3" customFormat="1" ht="18" customHeight="1" x14ac:dyDescent="0.2">
      <c r="A367" s="121"/>
      <c r="B367" s="121"/>
      <c r="H367" s="39">
        <v>5</v>
      </c>
      <c r="I367" s="286">
        <v>0.13352138468809099</v>
      </c>
      <c r="J367" s="287">
        <v>0.13352138468809099</v>
      </c>
      <c r="K367" s="287">
        <v>0.13352138468809099</v>
      </c>
      <c r="L367" s="287">
        <v>0.13352138468809099</v>
      </c>
      <c r="M367" s="287">
        <v>0.13352138468809099</v>
      </c>
      <c r="N367" s="287">
        <v>0.13352138468809099</v>
      </c>
      <c r="O367" s="287">
        <v>0.13352138468809099</v>
      </c>
      <c r="P367" s="287">
        <v>0.13352138468809099</v>
      </c>
      <c r="Q367" s="287">
        <v>0.13352138468809099</v>
      </c>
      <c r="R367" s="287">
        <v>0.13352138468809099</v>
      </c>
      <c r="S367" s="287">
        <v>0.13352138468809099</v>
      </c>
      <c r="T367" s="287">
        <v>0.13352138468809099</v>
      </c>
      <c r="U367" s="287">
        <v>0.13352138468809099</v>
      </c>
      <c r="V367" s="287">
        <v>0.13352138468809099</v>
      </c>
      <c r="W367" s="287">
        <v>0.13352138468809099</v>
      </c>
      <c r="X367" s="287">
        <v>0.13352138468809099</v>
      </c>
      <c r="Y367" s="287">
        <v>0.13352138468809099</v>
      </c>
      <c r="Z367" s="287">
        <v>0.13352138468809099</v>
      </c>
      <c r="AA367" s="287">
        <v>0.13352138468809099</v>
      </c>
      <c r="AB367" s="287">
        <v>0.13352138468809099</v>
      </c>
      <c r="AC367" s="287">
        <v>0.13352138468809099</v>
      </c>
      <c r="AD367" s="287">
        <v>0.13352138468809099</v>
      </c>
      <c r="AE367" s="287">
        <v>0.13352138468809099</v>
      </c>
      <c r="AF367" s="287">
        <v>0.13352138468809099</v>
      </c>
      <c r="AG367" s="287">
        <v>0.13352138468809099</v>
      </c>
      <c r="AH367" s="287">
        <v>0.13352138468809099</v>
      </c>
      <c r="AI367" s="287">
        <v>0.13352138468809099</v>
      </c>
      <c r="AJ367" s="287">
        <v>0.13352138468809099</v>
      </c>
      <c r="AK367" s="287">
        <v>0.13352138468809099</v>
      </c>
      <c r="AL367" s="287">
        <v>0.13352138468809099</v>
      </c>
      <c r="AM367" s="287">
        <v>0.13352138468809099</v>
      </c>
      <c r="AN367" s="287">
        <v>0.13352138468809099</v>
      </c>
      <c r="AO367" s="287">
        <v>0.13352138468809099</v>
      </c>
      <c r="AP367" s="287">
        <v>0.13352138468809099</v>
      </c>
      <c r="AQ367" s="287">
        <v>0.13352138468809099</v>
      </c>
      <c r="AR367" s="287">
        <v>0.13352138468809099</v>
      </c>
      <c r="AS367" s="287">
        <v>0.13352138468809099</v>
      </c>
      <c r="AT367" s="287">
        <v>0.13352138468809099</v>
      </c>
      <c r="AU367" s="287">
        <v>0.13352138468809099</v>
      </c>
      <c r="AV367" s="287">
        <v>0.13352138468809099</v>
      </c>
      <c r="AW367" s="287">
        <v>0.13352138468809099</v>
      </c>
      <c r="AX367" s="287">
        <v>0.13352138468809099</v>
      </c>
      <c r="AY367" s="287">
        <v>0.13352138468809099</v>
      </c>
      <c r="AZ367" s="287">
        <v>0.13352138468809099</v>
      </c>
      <c r="BA367" s="287">
        <v>0.13352138468809099</v>
      </c>
      <c r="BB367" s="287">
        <v>0.13352138468809099</v>
      </c>
      <c r="BC367" s="287">
        <v>0.13352138468809099</v>
      </c>
      <c r="BD367" s="288">
        <v>0.13352138468809099</v>
      </c>
    </row>
    <row r="368" spans="1:59" s="3" customFormat="1" ht="18" customHeight="1" x14ac:dyDescent="0.2">
      <c r="A368" s="121"/>
      <c r="B368" s="121"/>
      <c r="H368" s="39">
        <v>6</v>
      </c>
      <c r="I368" s="286">
        <v>0.13352138468809099</v>
      </c>
      <c r="J368" s="287">
        <v>0.13352138468809099</v>
      </c>
      <c r="K368" s="287">
        <v>0.13352138468809099</v>
      </c>
      <c r="L368" s="287">
        <v>0.13352138468809099</v>
      </c>
      <c r="M368" s="287">
        <v>0.13352138468809099</v>
      </c>
      <c r="N368" s="287">
        <v>0.13352138468809099</v>
      </c>
      <c r="O368" s="287">
        <v>0.13352138468809099</v>
      </c>
      <c r="P368" s="287">
        <v>0.13352138468809099</v>
      </c>
      <c r="Q368" s="287">
        <v>0.13352138468809099</v>
      </c>
      <c r="R368" s="287">
        <v>0.13352138468809099</v>
      </c>
      <c r="S368" s="287">
        <v>0.13352138468809099</v>
      </c>
      <c r="T368" s="287">
        <v>0.13352138468809099</v>
      </c>
      <c r="U368" s="287">
        <v>0.13352138468809099</v>
      </c>
      <c r="V368" s="287">
        <v>0.13352138468809099</v>
      </c>
      <c r="W368" s="287">
        <v>0.13352138468809099</v>
      </c>
      <c r="X368" s="287">
        <v>0.13352138468809099</v>
      </c>
      <c r="Y368" s="287">
        <v>0.13352138468809099</v>
      </c>
      <c r="Z368" s="287">
        <v>0.13352138468809099</v>
      </c>
      <c r="AA368" s="287">
        <v>0.13352138468809099</v>
      </c>
      <c r="AB368" s="287">
        <v>0.13352138468809099</v>
      </c>
      <c r="AC368" s="287">
        <v>0.13352138468809099</v>
      </c>
      <c r="AD368" s="287">
        <v>0.13352138468809099</v>
      </c>
      <c r="AE368" s="287">
        <v>0.13352138468809099</v>
      </c>
      <c r="AF368" s="287">
        <v>0.13352138468809099</v>
      </c>
      <c r="AG368" s="287">
        <v>0.13352138468809099</v>
      </c>
      <c r="AH368" s="287">
        <v>0.13352138468809099</v>
      </c>
      <c r="AI368" s="287">
        <v>0.13352138468809099</v>
      </c>
      <c r="AJ368" s="287">
        <v>0.13352138468809099</v>
      </c>
      <c r="AK368" s="287">
        <v>0.13352138468809099</v>
      </c>
      <c r="AL368" s="287">
        <v>0.13352138468809099</v>
      </c>
      <c r="AM368" s="287">
        <v>0.13352138468809099</v>
      </c>
      <c r="AN368" s="287">
        <v>0.13352138468809099</v>
      </c>
      <c r="AO368" s="287">
        <v>0.13352138468809099</v>
      </c>
      <c r="AP368" s="287">
        <v>0.13352138468809099</v>
      </c>
      <c r="AQ368" s="287">
        <v>0.13352138468809099</v>
      </c>
      <c r="AR368" s="287">
        <v>0.13352138468809099</v>
      </c>
      <c r="AS368" s="287">
        <v>0.13352138468809099</v>
      </c>
      <c r="AT368" s="287">
        <v>0.13352138468809099</v>
      </c>
      <c r="AU368" s="287">
        <v>0.13352138468809099</v>
      </c>
      <c r="AV368" s="287">
        <v>0.13352138468809099</v>
      </c>
      <c r="AW368" s="287">
        <v>0.13352138468809099</v>
      </c>
      <c r="AX368" s="287">
        <v>0.13352138468809099</v>
      </c>
      <c r="AY368" s="287">
        <v>0.13352138468809099</v>
      </c>
      <c r="AZ368" s="287">
        <v>0.13352138468809099</v>
      </c>
      <c r="BA368" s="287">
        <v>0.13352138468809099</v>
      </c>
      <c r="BB368" s="287">
        <v>0.13352138468809099</v>
      </c>
      <c r="BC368" s="287">
        <v>0.13352138468809099</v>
      </c>
      <c r="BD368" s="288">
        <v>0.13352138468809099</v>
      </c>
    </row>
    <row r="369" spans="1:56" s="3" customFormat="1" ht="18" customHeight="1" x14ac:dyDescent="0.2">
      <c r="A369" s="121"/>
      <c r="B369" s="121"/>
      <c r="H369" s="39">
        <v>7</v>
      </c>
      <c r="I369" s="286">
        <v>0.13352138468809099</v>
      </c>
      <c r="J369" s="287">
        <v>0.13352138468809099</v>
      </c>
      <c r="K369" s="287">
        <v>0.13352138468809099</v>
      </c>
      <c r="L369" s="287">
        <v>0.13352138468809099</v>
      </c>
      <c r="M369" s="287">
        <v>0.13352138468809099</v>
      </c>
      <c r="N369" s="287">
        <v>0.13352138468809099</v>
      </c>
      <c r="O369" s="287">
        <v>0.13352138468809099</v>
      </c>
      <c r="P369" s="287">
        <v>0.13352138468809099</v>
      </c>
      <c r="Q369" s="287">
        <v>0.13352138468809099</v>
      </c>
      <c r="R369" s="287">
        <v>0.13352138468809099</v>
      </c>
      <c r="S369" s="287">
        <v>0.13352138468809099</v>
      </c>
      <c r="T369" s="287">
        <v>0.13352138468809099</v>
      </c>
      <c r="U369" s="287">
        <v>0.13352138468809099</v>
      </c>
      <c r="V369" s="287">
        <v>0.13352138468809099</v>
      </c>
      <c r="W369" s="287">
        <v>0.13352138468809099</v>
      </c>
      <c r="X369" s="287">
        <v>0.13352138468809099</v>
      </c>
      <c r="Y369" s="287">
        <v>0.13352138468809099</v>
      </c>
      <c r="Z369" s="287">
        <v>0.13352138468809099</v>
      </c>
      <c r="AA369" s="287">
        <v>0.13352138468809099</v>
      </c>
      <c r="AB369" s="287">
        <v>0.13352138468809099</v>
      </c>
      <c r="AC369" s="287">
        <v>0.13352138468809099</v>
      </c>
      <c r="AD369" s="287">
        <v>0.13352138468809099</v>
      </c>
      <c r="AE369" s="287">
        <v>0.13352138468809099</v>
      </c>
      <c r="AF369" s="287">
        <v>0.13352138468809099</v>
      </c>
      <c r="AG369" s="287">
        <v>0.13352138468809099</v>
      </c>
      <c r="AH369" s="287">
        <v>0.13352138468809099</v>
      </c>
      <c r="AI369" s="287">
        <v>0.13352138468809099</v>
      </c>
      <c r="AJ369" s="287">
        <v>0.13352138468809099</v>
      </c>
      <c r="AK369" s="287">
        <v>0.13352138468809099</v>
      </c>
      <c r="AL369" s="287">
        <v>0.13352138468809099</v>
      </c>
      <c r="AM369" s="287">
        <v>0.13352138468809099</v>
      </c>
      <c r="AN369" s="287">
        <v>0.13352138468809099</v>
      </c>
      <c r="AO369" s="287">
        <v>0.13352138468809099</v>
      </c>
      <c r="AP369" s="287">
        <v>0.13352138468809099</v>
      </c>
      <c r="AQ369" s="287">
        <v>0.13352138468809099</v>
      </c>
      <c r="AR369" s="287">
        <v>0.13352138468809099</v>
      </c>
      <c r="AS369" s="287">
        <v>0.13352138468809099</v>
      </c>
      <c r="AT369" s="287">
        <v>0.13352138468809099</v>
      </c>
      <c r="AU369" s="287">
        <v>0.13352138468809099</v>
      </c>
      <c r="AV369" s="287">
        <v>0.13352138468809099</v>
      </c>
      <c r="AW369" s="287">
        <v>0.13352138468809099</v>
      </c>
      <c r="AX369" s="287">
        <v>0.13352138468809099</v>
      </c>
      <c r="AY369" s="287">
        <v>0.13352138468809099</v>
      </c>
      <c r="AZ369" s="287">
        <v>0.13352138468809099</v>
      </c>
      <c r="BA369" s="287">
        <v>0.13352138468809099</v>
      </c>
      <c r="BB369" s="287">
        <v>0.13352138468809099</v>
      </c>
      <c r="BC369" s="287">
        <v>0.13352138468809099</v>
      </c>
      <c r="BD369" s="288">
        <v>0.13352138468809099</v>
      </c>
    </row>
    <row r="370" spans="1:56" s="3" customFormat="1" ht="18" customHeight="1" x14ac:dyDescent="0.2">
      <c r="A370" s="121"/>
      <c r="B370" s="121"/>
      <c r="H370" s="39">
        <v>8</v>
      </c>
      <c r="I370" s="286">
        <v>0.13352138468809099</v>
      </c>
      <c r="J370" s="287">
        <v>0.13352138468809099</v>
      </c>
      <c r="K370" s="287">
        <v>0.13352138468809099</v>
      </c>
      <c r="L370" s="287">
        <v>0.13352138468809099</v>
      </c>
      <c r="M370" s="287">
        <v>0.13352138468809099</v>
      </c>
      <c r="N370" s="287">
        <v>0.13352138468809099</v>
      </c>
      <c r="O370" s="287">
        <v>0.13352138468809099</v>
      </c>
      <c r="P370" s="287">
        <v>0.13352138468809099</v>
      </c>
      <c r="Q370" s="287">
        <v>0.13352138468809099</v>
      </c>
      <c r="R370" s="287">
        <v>0.13352138468809099</v>
      </c>
      <c r="S370" s="287">
        <v>0.13352138468809099</v>
      </c>
      <c r="T370" s="287">
        <v>0.13352138468809099</v>
      </c>
      <c r="U370" s="287">
        <v>0.13352138468809099</v>
      </c>
      <c r="V370" s="287">
        <v>0.13352138468809099</v>
      </c>
      <c r="W370" s="287">
        <v>0.13352138468809099</v>
      </c>
      <c r="X370" s="287">
        <v>0.13352138468809099</v>
      </c>
      <c r="Y370" s="287">
        <v>0.13352138468809099</v>
      </c>
      <c r="Z370" s="287">
        <v>0.13352138468809099</v>
      </c>
      <c r="AA370" s="287">
        <v>0.13352138468809099</v>
      </c>
      <c r="AB370" s="287">
        <v>0.13352138468809099</v>
      </c>
      <c r="AC370" s="287">
        <v>0.13352138468809099</v>
      </c>
      <c r="AD370" s="287">
        <v>0.13352138468809099</v>
      </c>
      <c r="AE370" s="287">
        <v>0.13352138468809099</v>
      </c>
      <c r="AF370" s="287">
        <v>0.13352138468809099</v>
      </c>
      <c r="AG370" s="287">
        <v>0.13352138468809099</v>
      </c>
      <c r="AH370" s="287">
        <v>0.13352138468809099</v>
      </c>
      <c r="AI370" s="287">
        <v>0.13352138468809099</v>
      </c>
      <c r="AJ370" s="287">
        <v>0.13352138468809099</v>
      </c>
      <c r="AK370" s="287">
        <v>0.13352138468809099</v>
      </c>
      <c r="AL370" s="287">
        <v>0.13352138468809099</v>
      </c>
      <c r="AM370" s="287">
        <v>0.13352138468809099</v>
      </c>
      <c r="AN370" s="287">
        <v>0.13352138468809099</v>
      </c>
      <c r="AO370" s="287">
        <v>0.13352138468809099</v>
      </c>
      <c r="AP370" s="287">
        <v>0.13352138468809099</v>
      </c>
      <c r="AQ370" s="287">
        <v>0.13352138468809099</v>
      </c>
      <c r="AR370" s="287">
        <v>0.13352138468809099</v>
      </c>
      <c r="AS370" s="287">
        <v>0.13352138468809099</v>
      </c>
      <c r="AT370" s="287">
        <v>0.13352138468809099</v>
      </c>
      <c r="AU370" s="287">
        <v>0.13352138468809099</v>
      </c>
      <c r="AV370" s="287">
        <v>0.13352138468809099</v>
      </c>
      <c r="AW370" s="287">
        <v>0.13352138468809099</v>
      </c>
      <c r="AX370" s="287">
        <v>0.13352138468809099</v>
      </c>
      <c r="AY370" s="287">
        <v>0.13352138468809099</v>
      </c>
      <c r="AZ370" s="287">
        <v>0.13352138468809099</v>
      </c>
      <c r="BA370" s="287">
        <v>0.13352138468809099</v>
      </c>
      <c r="BB370" s="287">
        <v>0.13352138468809099</v>
      </c>
      <c r="BC370" s="287">
        <v>0.13352138468809099</v>
      </c>
      <c r="BD370" s="288">
        <v>0.13352138468809099</v>
      </c>
    </row>
    <row r="371" spans="1:56" s="3" customFormat="1" ht="18" customHeight="1" x14ac:dyDescent="0.2">
      <c r="A371" s="121"/>
      <c r="B371" s="121"/>
      <c r="H371" s="39">
        <v>9</v>
      </c>
      <c r="I371" s="286">
        <v>0.13352138468809099</v>
      </c>
      <c r="J371" s="287">
        <v>0.13352138468809099</v>
      </c>
      <c r="K371" s="287">
        <v>0.13352138468809099</v>
      </c>
      <c r="L371" s="287">
        <v>0.13352138468809099</v>
      </c>
      <c r="M371" s="287">
        <v>0.13352138468809099</v>
      </c>
      <c r="N371" s="287">
        <v>0.13352138468809099</v>
      </c>
      <c r="O371" s="287">
        <v>0.13352138468809099</v>
      </c>
      <c r="P371" s="287">
        <v>0.13352138468809099</v>
      </c>
      <c r="Q371" s="287">
        <v>0.13352138468809099</v>
      </c>
      <c r="R371" s="287">
        <v>0.13352138468809099</v>
      </c>
      <c r="S371" s="287">
        <v>0.13352138468809099</v>
      </c>
      <c r="T371" s="287">
        <v>0.13352138468809099</v>
      </c>
      <c r="U371" s="287">
        <v>0.13352138468809099</v>
      </c>
      <c r="V371" s="287">
        <v>0.13352138468809099</v>
      </c>
      <c r="W371" s="287">
        <v>0.13352138468809099</v>
      </c>
      <c r="X371" s="287">
        <v>0.13352138468809099</v>
      </c>
      <c r="Y371" s="287">
        <v>0.13352138468809099</v>
      </c>
      <c r="Z371" s="287">
        <v>0.13352138468809099</v>
      </c>
      <c r="AA371" s="287">
        <v>0.13352138468809099</v>
      </c>
      <c r="AB371" s="287">
        <v>0.13352138468809099</v>
      </c>
      <c r="AC371" s="287">
        <v>0.13352138468809099</v>
      </c>
      <c r="AD371" s="287">
        <v>0.13352138468809099</v>
      </c>
      <c r="AE371" s="287">
        <v>0.13352138468809099</v>
      </c>
      <c r="AF371" s="287">
        <v>0.13352138468809099</v>
      </c>
      <c r="AG371" s="287">
        <v>0.13352138468809099</v>
      </c>
      <c r="AH371" s="287">
        <v>0.13352138468809099</v>
      </c>
      <c r="AI371" s="287">
        <v>0.13352138468809099</v>
      </c>
      <c r="AJ371" s="287">
        <v>0.13352138468809099</v>
      </c>
      <c r="AK371" s="287">
        <v>0.13352138468809099</v>
      </c>
      <c r="AL371" s="287">
        <v>0.13352138468809099</v>
      </c>
      <c r="AM371" s="287">
        <v>0.13352138468809099</v>
      </c>
      <c r="AN371" s="287">
        <v>0.13352138468809099</v>
      </c>
      <c r="AO371" s="287">
        <v>0.13352138468809099</v>
      </c>
      <c r="AP371" s="287">
        <v>0.13352138468809099</v>
      </c>
      <c r="AQ371" s="287">
        <v>0.13352138468809099</v>
      </c>
      <c r="AR371" s="287">
        <v>0.13352138468809099</v>
      </c>
      <c r="AS371" s="287">
        <v>0.13352138468809099</v>
      </c>
      <c r="AT371" s="287">
        <v>0.13352138468809099</v>
      </c>
      <c r="AU371" s="287">
        <v>0.13352138468809099</v>
      </c>
      <c r="AV371" s="287">
        <v>0.13352138468809099</v>
      </c>
      <c r="AW371" s="287">
        <v>0.13352138468809099</v>
      </c>
      <c r="AX371" s="287">
        <v>0.13352138468809099</v>
      </c>
      <c r="AY371" s="287">
        <v>0.13352138468809099</v>
      </c>
      <c r="AZ371" s="287">
        <v>0.13352138468809099</v>
      </c>
      <c r="BA371" s="287">
        <v>0.13352138468809099</v>
      </c>
      <c r="BB371" s="287">
        <v>0.13352138468809099</v>
      </c>
      <c r="BC371" s="287">
        <v>0.13352138468809099</v>
      </c>
      <c r="BD371" s="288">
        <v>0.13352138468809099</v>
      </c>
    </row>
    <row r="372" spans="1:56" s="3" customFormat="1" ht="18" customHeight="1" x14ac:dyDescent="0.2">
      <c r="A372" s="121"/>
      <c r="B372" s="121"/>
      <c r="H372" s="39">
        <v>10</v>
      </c>
      <c r="I372" s="286">
        <v>0.13352138468809099</v>
      </c>
      <c r="J372" s="287">
        <v>0.13352138468809099</v>
      </c>
      <c r="K372" s="287">
        <v>0.13352138468809099</v>
      </c>
      <c r="L372" s="287">
        <v>0.13352138468809099</v>
      </c>
      <c r="M372" s="287">
        <v>0.13352138468809099</v>
      </c>
      <c r="N372" s="287">
        <v>0.13352138468809099</v>
      </c>
      <c r="O372" s="287">
        <v>0.13352138468809099</v>
      </c>
      <c r="P372" s="287">
        <v>0.13352138468809099</v>
      </c>
      <c r="Q372" s="287">
        <v>0.13352138468809099</v>
      </c>
      <c r="R372" s="287">
        <v>0.13352138468809099</v>
      </c>
      <c r="S372" s="287">
        <v>0.13352138468809099</v>
      </c>
      <c r="T372" s="287">
        <v>0.13352138468809099</v>
      </c>
      <c r="U372" s="287">
        <v>0.13352138468809099</v>
      </c>
      <c r="V372" s="287">
        <v>0.13352138468809099</v>
      </c>
      <c r="W372" s="287">
        <v>0.13352138468809099</v>
      </c>
      <c r="X372" s="287">
        <v>0.13352138468809099</v>
      </c>
      <c r="Y372" s="287">
        <v>0.13352138468809099</v>
      </c>
      <c r="Z372" s="287">
        <v>0.13352138468809099</v>
      </c>
      <c r="AA372" s="287">
        <v>0.13352138468809099</v>
      </c>
      <c r="AB372" s="287">
        <v>0.13352138468809099</v>
      </c>
      <c r="AC372" s="287">
        <v>0.13352138468809099</v>
      </c>
      <c r="AD372" s="287">
        <v>0.13352138468809099</v>
      </c>
      <c r="AE372" s="287">
        <v>0.13352138468809099</v>
      </c>
      <c r="AF372" s="287">
        <v>0.13352138468809099</v>
      </c>
      <c r="AG372" s="287">
        <v>0.13352138468809099</v>
      </c>
      <c r="AH372" s="287">
        <v>0.13352138468809099</v>
      </c>
      <c r="AI372" s="287">
        <v>0.13352138468809099</v>
      </c>
      <c r="AJ372" s="287">
        <v>0.13352138468809099</v>
      </c>
      <c r="AK372" s="287">
        <v>0.13352138468809099</v>
      </c>
      <c r="AL372" s="287">
        <v>0.13352138468809099</v>
      </c>
      <c r="AM372" s="287">
        <v>0.13352138468809099</v>
      </c>
      <c r="AN372" s="287">
        <v>0.13352138468809099</v>
      </c>
      <c r="AO372" s="287">
        <v>0.13352138468809099</v>
      </c>
      <c r="AP372" s="287">
        <v>0.13352138468809099</v>
      </c>
      <c r="AQ372" s="287">
        <v>0.13352138468809099</v>
      </c>
      <c r="AR372" s="287">
        <v>0.13352138468809099</v>
      </c>
      <c r="AS372" s="287">
        <v>0.13352138468809099</v>
      </c>
      <c r="AT372" s="287">
        <v>0.13352138468809099</v>
      </c>
      <c r="AU372" s="287">
        <v>0.13352138468809099</v>
      </c>
      <c r="AV372" s="287">
        <v>0.13352138468809099</v>
      </c>
      <c r="AW372" s="287">
        <v>0.13352138468809099</v>
      </c>
      <c r="AX372" s="287">
        <v>0.13352138468809099</v>
      </c>
      <c r="AY372" s="287">
        <v>0.13352138468809099</v>
      </c>
      <c r="AZ372" s="287">
        <v>0.13352138468809099</v>
      </c>
      <c r="BA372" s="287">
        <v>0.13352138468809099</v>
      </c>
      <c r="BB372" s="287">
        <v>0.13352138468809099</v>
      </c>
      <c r="BC372" s="287">
        <v>0.13352138468809099</v>
      </c>
      <c r="BD372" s="288">
        <v>0.13352138468809099</v>
      </c>
    </row>
    <row r="373" spans="1:56" s="3" customFormat="1" ht="18" customHeight="1" x14ac:dyDescent="0.2">
      <c r="A373" s="121"/>
      <c r="B373" s="121"/>
      <c r="H373" s="39">
        <v>11</v>
      </c>
      <c r="I373" s="286">
        <v>0.13352138468809099</v>
      </c>
      <c r="J373" s="287">
        <v>0.13352138468809099</v>
      </c>
      <c r="K373" s="287">
        <v>0.13352138468809099</v>
      </c>
      <c r="L373" s="287">
        <v>0.13352138468809099</v>
      </c>
      <c r="M373" s="287">
        <v>0.13352138468809099</v>
      </c>
      <c r="N373" s="287">
        <v>0.13352138468809099</v>
      </c>
      <c r="O373" s="287">
        <v>0.13352138468809099</v>
      </c>
      <c r="P373" s="287">
        <v>0.13352138468809099</v>
      </c>
      <c r="Q373" s="287">
        <v>0.13352138468809099</v>
      </c>
      <c r="R373" s="287">
        <v>0.13352138468809099</v>
      </c>
      <c r="S373" s="287">
        <v>0.13352138468809099</v>
      </c>
      <c r="T373" s="287">
        <v>0.13352138468809099</v>
      </c>
      <c r="U373" s="287">
        <v>0.13352138468809099</v>
      </c>
      <c r="V373" s="287">
        <v>0.13352138468809099</v>
      </c>
      <c r="W373" s="287">
        <v>0.13352138468809099</v>
      </c>
      <c r="X373" s="287">
        <v>0.13352138468809099</v>
      </c>
      <c r="Y373" s="287">
        <v>0.13352138468809099</v>
      </c>
      <c r="Z373" s="287">
        <v>0.13352138468809099</v>
      </c>
      <c r="AA373" s="287">
        <v>0.13352138468809099</v>
      </c>
      <c r="AB373" s="287">
        <v>0.13352138468809099</v>
      </c>
      <c r="AC373" s="287">
        <v>0.13352138468809099</v>
      </c>
      <c r="AD373" s="287">
        <v>0.13352138468809099</v>
      </c>
      <c r="AE373" s="287">
        <v>0.13352138468809099</v>
      </c>
      <c r="AF373" s="287">
        <v>0.13352138468809099</v>
      </c>
      <c r="AG373" s="287">
        <v>0.13352138468809099</v>
      </c>
      <c r="AH373" s="287">
        <v>0.13352138468809099</v>
      </c>
      <c r="AI373" s="287">
        <v>0.13352138468809099</v>
      </c>
      <c r="AJ373" s="287">
        <v>0.13352138468809099</v>
      </c>
      <c r="AK373" s="287">
        <v>0.13352138468809099</v>
      </c>
      <c r="AL373" s="287">
        <v>0.13352138468809099</v>
      </c>
      <c r="AM373" s="287">
        <v>0.13352138468809099</v>
      </c>
      <c r="AN373" s="287">
        <v>0.13352138468809099</v>
      </c>
      <c r="AO373" s="287">
        <v>0.13352138468809099</v>
      </c>
      <c r="AP373" s="287">
        <v>0.13352138468809099</v>
      </c>
      <c r="AQ373" s="287">
        <v>0.13352138468809099</v>
      </c>
      <c r="AR373" s="287">
        <v>0.13352138468809099</v>
      </c>
      <c r="AS373" s="287">
        <v>0.13352138468809099</v>
      </c>
      <c r="AT373" s="287">
        <v>0.13352138468809099</v>
      </c>
      <c r="AU373" s="287">
        <v>0.13352138468809099</v>
      </c>
      <c r="AV373" s="287">
        <v>0.13352138468809099</v>
      </c>
      <c r="AW373" s="287">
        <v>0.13352138468809099</v>
      </c>
      <c r="AX373" s="287">
        <v>0.13352138468809099</v>
      </c>
      <c r="AY373" s="287">
        <v>0.13352138468809099</v>
      </c>
      <c r="AZ373" s="287">
        <v>0.13352138468809099</v>
      </c>
      <c r="BA373" s="287">
        <v>0.13352138468809099</v>
      </c>
      <c r="BB373" s="287">
        <v>0.13352138468809099</v>
      </c>
      <c r="BC373" s="287">
        <v>0.13352138468809099</v>
      </c>
      <c r="BD373" s="288">
        <v>0.13352138468809099</v>
      </c>
    </row>
    <row r="374" spans="1:56" s="3" customFormat="1" ht="18" customHeight="1" x14ac:dyDescent="0.2">
      <c r="A374" s="121"/>
      <c r="B374" s="121"/>
      <c r="H374" s="39">
        <v>12</v>
      </c>
      <c r="I374" s="286">
        <v>0.13352138468809099</v>
      </c>
      <c r="J374" s="287">
        <v>0.13352138468809099</v>
      </c>
      <c r="K374" s="287">
        <v>0.13352138468809099</v>
      </c>
      <c r="L374" s="287">
        <v>0.13352138468809099</v>
      </c>
      <c r="M374" s="287">
        <v>0.13352138468809099</v>
      </c>
      <c r="N374" s="287">
        <v>0.13352138468809099</v>
      </c>
      <c r="O374" s="287">
        <v>0.13352138468809099</v>
      </c>
      <c r="P374" s="287">
        <v>0.13352138468809099</v>
      </c>
      <c r="Q374" s="287">
        <v>0.13352138468809099</v>
      </c>
      <c r="R374" s="287">
        <v>0.13352138468809099</v>
      </c>
      <c r="S374" s="287">
        <v>0.13352138468809099</v>
      </c>
      <c r="T374" s="287">
        <v>0.13352138468809099</v>
      </c>
      <c r="U374" s="287">
        <v>0.13352138468809099</v>
      </c>
      <c r="V374" s="287">
        <v>0.13352138468809099</v>
      </c>
      <c r="W374" s="287">
        <v>0.13352138468809099</v>
      </c>
      <c r="X374" s="287">
        <v>0.13352138468809099</v>
      </c>
      <c r="Y374" s="287">
        <v>0.13352138468809099</v>
      </c>
      <c r="Z374" s="287">
        <v>0.13352138468809099</v>
      </c>
      <c r="AA374" s="287">
        <v>0.13352138468809099</v>
      </c>
      <c r="AB374" s="287">
        <v>0.13352138468809099</v>
      </c>
      <c r="AC374" s="287">
        <v>0.13352138468809099</v>
      </c>
      <c r="AD374" s="287">
        <v>0.13352138468809099</v>
      </c>
      <c r="AE374" s="287">
        <v>0.13352138468809099</v>
      </c>
      <c r="AF374" s="287">
        <v>0.13352138468809099</v>
      </c>
      <c r="AG374" s="287">
        <v>0.13352138468809099</v>
      </c>
      <c r="AH374" s="287">
        <v>0.13352138468809099</v>
      </c>
      <c r="AI374" s="287">
        <v>0.13352138468809099</v>
      </c>
      <c r="AJ374" s="287">
        <v>0.13352138468809099</v>
      </c>
      <c r="AK374" s="287">
        <v>0.13352138468809099</v>
      </c>
      <c r="AL374" s="287">
        <v>0.13352138468809099</v>
      </c>
      <c r="AM374" s="287">
        <v>0.13352138468809099</v>
      </c>
      <c r="AN374" s="287">
        <v>0.13352138468809099</v>
      </c>
      <c r="AO374" s="287">
        <v>0.13352138468809099</v>
      </c>
      <c r="AP374" s="287">
        <v>0.13352138468809099</v>
      </c>
      <c r="AQ374" s="287">
        <v>0.13352138468809099</v>
      </c>
      <c r="AR374" s="287">
        <v>0.13352138468809099</v>
      </c>
      <c r="AS374" s="287">
        <v>0.13352138468809099</v>
      </c>
      <c r="AT374" s="287">
        <v>0.13352138468809099</v>
      </c>
      <c r="AU374" s="287">
        <v>0.13352138468809099</v>
      </c>
      <c r="AV374" s="287">
        <v>0.13352138468809099</v>
      </c>
      <c r="AW374" s="287">
        <v>0.13352138468809099</v>
      </c>
      <c r="AX374" s="287">
        <v>0.13352138468809099</v>
      </c>
      <c r="AY374" s="287">
        <v>0.13352138468809099</v>
      </c>
      <c r="AZ374" s="287">
        <v>0.13352138468809099</v>
      </c>
      <c r="BA374" s="287">
        <v>0.13352138468809099</v>
      </c>
      <c r="BB374" s="287">
        <v>0.13352138468809099</v>
      </c>
      <c r="BC374" s="287">
        <v>0.13352138468809099</v>
      </c>
      <c r="BD374" s="288">
        <v>0.13352138468809099</v>
      </c>
    </row>
    <row r="375" spans="1:56" s="3" customFormat="1" ht="18" customHeight="1" x14ac:dyDescent="0.2">
      <c r="A375" s="121"/>
      <c r="B375" s="121"/>
      <c r="H375" s="39">
        <v>13</v>
      </c>
      <c r="I375" s="286">
        <v>0.13352138468809099</v>
      </c>
      <c r="J375" s="287">
        <v>0.13352138468809099</v>
      </c>
      <c r="K375" s="287">
        <v>0.13352138468809099</v>
      </c>
      <c r="L375" s="287">
        <v>0.13352138468809099</v>
      </c>
      <c r="M375" s="287">
        <v>0.13352138468809099</v>
      </c>
      <c r="N375" s="287">
        <v>0.13352138468809099</v>
      </c>
      <c r="O375" s="287">
        <v>0.13352138468809099</v>
      </c>
      <c r="P375" s="287">
        <v>0.13352138468809099</v>
      </c>
      <c r="Q375" s="287">
        <v>0.13352138468809099</v>
      </c>
      <c r="R375" s="287">
        <v>0.13352138468809099</v>
      </c>
      <c r="S375" s="287">
        <v>0.13352138468809099</v>
      </c>
      <c r="T375" s="287">
        <v>0.13352138468809099</v>
      </c>
      <c r="U375" s="287">
        <v>0.13352138468809099</v>
      </c>
      <c r="V375" s="287">
        <v>0.13352138468809099</v>
      </c>
      <c r="W375" s="287">
        <v>0.13352138468809099</v>
      </c>
      <c r="X375" s="287">
        <v>0.13352138468809099</v>
      </c>
      <c r="Y375" s="287">
        <v>0.13352138468809099</v>
      </c>
      <c r="Z375" s="287">
        <v>0.13352138468809099</v>
      </c>
      <c r="AA375" s="287">
        <v>0.13352138468809099</v>
      </c>
      <c r="AB375" s="287">
        <v>0.13352138468809099</v>
      </c>
      <c r="AC375" s="287">
        <v>0.13352138468809099</v>
      </c>
      <c r="AD375" s="287">
        <v>0.13352138468809099</v>
      </c>
      <c r="AE375" s="287">
        <v>0.13352138468809099</v>
      </c>
      <c r="AF375" s="287">
        <v>0.13352138468809099</v>
      </c>
      <c r="AG375" s="287">
        <v>0.13352138468809099</v>
      </c>
      <c r="AH375" s="287">
        <v>0.13352138468809099</v>
      </c>
      <c r="AI375" s="287">
        <v>0.13352138468809099</v>
      </c>
      <c r="AJ375" s="287">
        <v>0.13352138468809099</v>
      </c>
      <c r="AK375" s="287">
        <v>0.13352138468809099</v>
      </c>
      <c r="AL375" s="287">
        <v>0.13352138468809099</v>
      </c>
      <c r="AM375" s="287">
        <v>0.13352138468809099</v>
      </c>
      <c r="AN375" s="287">
        <v>0.13352138468809099</v>
      </c>
      <c r="AO375" s="287">
        <v>0.13352138468809099</v>
      </c>
      <c r="AP375" s="287">
        <v>0.13352138468809099</v>
      </c>
      <c r="AQ375" s="287">
        <v>0.13352138468809099</v>
      </c>
      <c r="AR375" s="287">
        <v>0.13352138468809099</v>
      </c>
      <c r="AS375" s="287">
        <v>0.13352138468809099</v>
      </c>
      <c r="AT375" s="287">
        <v>0.13352138468809099</v>
      </c>
      <c r="AU375" s="287">
        <v>0.13352138468809099</v>
      </c>
      <c r="AV375" s="287">
        <v>0.13352138468809099</v>
      </c>
      <c r="AW375" s="287">
        <v>0.13352138468809099</v>
      </c>
      <c r="AX375" s="287">
        <v>0.13352138468809099</v>
      </c>
      <c r="AY375" s="287">
        <v>0.13352138468809099</v>
      </c>
      <c r="AZ375" s="287">
        <v>0.13352138468809099</v>
      </c>
      <c r="BA375" s="287">
        <v>0.13352138468809099</v>
      </c>
      <c r="BB375" s="287">
        <v>0.13352138468809099</v>
      </c>
      <c r="BC375" s="287">
        <v>0.13352138468809099</v>
      </c>
      <c r="BD375" s="288">
        <v>0.13352138468809099</v>
      </c>
    </row>
    <row r="376" spans="1:56" s="3" customFormat="1" ht="18" customHeight="1" x14ac:dyDescent="0.2">
      <c r="A376" s="121"/>
      <c r="B376" s="121"/>
      <c r="H376" s="39">
        <v>14</v>
      </c>
      <c r="I376" s="286">
        <v>0.13352138468809099</v>
      </c>
      <c r="J376" s="287">
        <v>0.13352138468809099</v>
      </c>
      <c r="K376" s="287">
        <v>0.13352138468809099</v>
      </c>
      <c r="L376" s="287">
        <v>0.13352138468809099</v>
      </c>
      <c r="M376" s="287">
        <v>0.13352138468809099</v>
      </c>
      <c r="N376" s="287">
        <v>0.13352138468809099</v>
      </c>
      <c r="O376" s="287">
        <v>0.13352138468809099</v>
      </c>
      <c r="P376" s="287">
        <v>0.13352138468809099</v>
      </c>
      <c r="Q376" s="287">
        <v>0.13352138468809099</v>
      </c>
      <c r="R376" s="287">
        <v>0.13352138468809099</v>
      </c>
      <c r="S376" s="287">
        <v>0.13352138468809099</v>
      </c>
      <c r="T376" s="287">
        <v>0.13352138468809099</v>
      </c>
      <c r="U376" s="287">
        <v>0.13352138468809099</v>
      </c>
      <c r="V376" s="287">
        <v>0.13352138468809099</v>
      </c>
      <c r="W376" s="287">
        <v>0.13352138468809099</v>
      </c>
      <c r="X376" s="287">
        <v>0.13352138468809099</v>
      </c>
      <c r="Y376" s="287">
        <v>0.13352138468809099</v>
      </c>
      <c r="Z376" s="287">
        <v>0.13352138468809099</v>
      </c>
      <c r="AA376" s="287">
        <v>0.13352138468809099</v>
      </c>
      <c r="AB376" s="287">
        <v>0.13352138468809099</v>
      </c>
      <c r="AC376" s="287">
        <v>0.13352138468809099</v>
      </c>
      <c r="AD376" s="287">
        <v>0.13352138468809099</v>
      </c>
      <c r="AE376" s="287">
        <v>0.13352138468809099</v>
      </c>
      <c r="AF376" s="287">
        <v>0.13352138468809099</v>
      </c>
      <c r="AG376" s="287">
        <v>0.13352138468809099</v>
      </c>
      <c r="AH376" s="287">
        <v>0.13352138468809099</v>
      </c>
      <c r="AI376" s="287">
        <v>0.13352138468809099</v>
      </c>
      <c r="AJ376" s="287">
        <v>0.13352138468809099</v>
      </c>
      <c r="AK376" s="287">
        <v>0.13352138468809099</v>
      </c>
      <c r="AL376" s="287">
        <v>0.13352138468809099</v>
      </c>
      <c r="AM376" s="287">
        <v>0.13352138468809099</v>
      </c>
      <c r="AN376" s="287">
        <v>0.13352138468809099</v>
      </c>
      <c r="AO376" s="287">
        <v>0.13352138468809099</v>
      </c>
      <c r="AP376" s="287">
        <v>0.13352138468809099</v>
      </c>
      <c r="AQ376" s="287">
        <v>0.13352138468809099</v>
      </c>
      <c r="AR376" s="287">
        <v>0.13352138468809099</v>
      </c>
      <c r="AS376" s="287">
        <v>0.13352138468809099</v>
      </c>
      <c r="AT376" s="287">
        <v>0.13352138468809099</v>
      </c>
      <c r="AU376" s="287">
        <v>0.13352138468809099</v>
      </c>
      <c r="AV376" s="287">
        <v>0.13352138468809099</v>
      </c>
      <c r="AW376" s="287">
        <v>0.13352138468809099</v>
      </c>
      <c r="AX376" s="287">
        <v>0.13352138468809099</v>
      </c>
      <c r="AY376" s="287">
        <v>0.13352138468809099</v>
      </c>
      <c r="AZ376" s="287">
        <v>0.13352138468809099</v>
      </c>
      <c r="BA376" s="287">
        <v>0.13352138468809099</v>
      </c>
      <c r="BB376" s="287">
        <v>0.13352138468809099</v>
      </c>
      <c r="BC376" s="287">
        <v>0.13352138468809099</v>
      </c>
      <c r="BD376" s="288">
        <v>0.13352138468809099</v>
      </c>
    </row>
    <row r="377" spans="1:56" s="3" customFormat="1" ht="18" customHeight="1" x14ac:dyDescent="0.2">
      <c r="A377" s="121"/>
      <c r="B377" s="121"/>
      <c r="H377" s="39">
        <v>15</v>
      </c>
      <c r="I377" s="286">
        <v>0.13352138468809099</v>
      </c>
      <c r="J377" s="287">
        <v>0.13352138468809099</v>
      </c>
      <c r="K377" s="287">
        <v>0.13352138468809099</v>
      </c>
      <c r="L377" s="287">
        <v>0.13352138468809099</v>
      </c>
      <c r="M377" s="287">
        <v>0.13352138468809099</v>
      </c>
      <c r="N377" s="287">
        <v>0.13352138468809099</v>
      </c>
      <c r="O377" s="287">
        <v>0.13352138468809099</v>
      </c>
      <c r="P377" s="287">
        <v>0.13352138468809099</v>
      </c>
      <c r="Q377" s="287">
        <v>0.13352138468809099</v>
      </c>
      <c r="R377" s="287">
        <v>0.13352138468809099</v>
      </c>
      <c r="S377" s="287">
        <v>0.13352138468809099</v>
      </c>
      <c r="T377" s="287">
        <v>0.13352138468809099</v>
      </c>
      <c r="U377" s="287">
        <v>0.13352138468809099</v>
      </c>
      <c r="V377" s="287">
        <v>0.13352138468809099</v>
      </c>
      <c r="W377" s="287">
        <v>0.13352138468809099</v>
      </c>
      <c r="X377" s="287">
        <v>0.13352138468809099</v>
      </c>
      <c r="Y377" s="287">
        <v>0.13352138468809099</v>
      </c>
      <c r="Z377" s="287">
        <v>0.13352138468809099</v>
      </c>
      <c r="AA377" s="287">
        <v>0.13352138468809099</v>
      </c>
      <c r="AB377" s="287">
        <v>0.13352138468809099</v>
      </c>
      <c r="AC377" s="287">
        <v>0.13352138468809099</v>
      </c>
      <c r="AD377" s="287">
        <v>0.13352138468809099</v>
      </c>
      <c r="AE377" s="287">
        <v>0.13352138468809099</v>
      </c>
      <c r="AF377" s="287">
        <v>0.13352138468809099</v>
      </c>
      <c r="AG377" s="287">
        <v>0.13352138468809099</v>
      </c>
      <c r="AH377" s="287">
        <v>0.13352138468809099</v>
      </c>
      <c r="AI377" s="287">
        <v>0.13352138468809099</v>
      </c>
      <c r="AJ377" s="287">
        <v>0.13352138468809099</v>
      </c>
      <c r="AK377" s="287">
        <v>0.13352138468809099</v>
      </c>
      <c r="AL377" s="287">
        <v>0.13352138468809099</v>
      </c>
      <c r="AM377" s="287">
        <v>0.13352138468809099</v>
      </c>
      <c r="AN377" s="287">
        <v>0.13352138468809099</v>
      </c>
      <c r="AO377" s="287">
        <v>0.13352138468809099</v>
      </c>
      <c r="AP377" s="287">
        <v>0.13352138468809099</v>
      </c>
      <c r="AQ377" s="287">
        <v>0.13352138468809099</v>
      </c>
      <c r="AR377" s="287">
        <v>0.13352138468809099</v>
      </c>
      <c r="AS377" s="287">
        <v>0.13352138468809099</v>
      </c>
      <c r="AT377" s="287">
        <v>0.13352138468809099</v>
      </c>
      <c r="AU377" s="287">
        <v>0.13352138468809099</v>
      </c>
      <c r="AV377" s="287">
        <v>0.13352138468809099</v>
      </c>
      <c r="AW377" s="287">
        <v>0.13352138468809099</v>
      </c>
      <c r="AX377" s="287">
        <v>0.13352138468809099</v>
      </c>
      <c r="AY377" s="287">
        <v>0.13352138468809099</v>
      </c>
      <c r="AZ377" s="287">
        <v>0.13352138468809099</v>
      </c>
      <c r="BA377" s="287">
        <v>0.13352138468809099</v>
      </c>
      <c r="BB377" s="287">
        <v>0.13352138468809099</v>
      </c>
      <c r="BC377" s="287">
        <v>0.13352138468809099</v>
      </c>
      <c r="BD377" s="288">
        <v>0.13352138468809099</v>
      </c>
    </row>
    <row r="378" spans="1:56" s="3" customFormat="1" ht="18" customHeight="1" x14ac:dyDescent="0.2">
      <c r="A378" s="121"/>
      <c r="B378" s="121"/>
      <c r="H378" s="39">
        <v>16</v>
      </c>
      <c r="I378" s="286">
        <v>0.13352138468809099</v>
      </c>
      <c r="J378" s="287">
        <v>0.13352138468809099</v>
      </c>
      <c r="K378" s="287">
        <v>0.13352138468809099</v>
      </c>
      <c r="L378" s="287">
        <v>0.13352138468809099</v>
      </c>
      <c r="M378" s="287">
        <v>0.13352138468809099</v>
      </c>
      <c r="N378" s="287">
        <v>0.13352138468809099</v>
      </c>
      <c r="O378" s="287">
        <v>0.13352138468809099</v>
      </c>
      <c r="P378" s="287">
        <v>0.13352138468809099</v>
      </c>
      <c r="Q378" s="287">
        <v>0.13352138468809099</v>
      </c>
      <c r="R378" s="287">
        <v>0.13352138468809099</v>
      </c>
      <c r="S378" s="287">
        <v>0.13352138468809099</v>
      </c>
      <c r="T378" s="287">
        <v>0.13352138468809099</v>
      </c>
      <c r="U378" s="287">
        <v>0.13352138468809099</v>
      </c>
      <c r="V378" s="287">
        <v>0.13352138468809099</v>
      </c>
      <c r="W378" s="287">
        <v>0.13352138468809099</v>
      </c>
      <c r="X378" s="287">
        <v>0.13352138468809099</v>
      </c>
      <c r="Y378" s="287">
        <v>0.13352138468809099</v>
      </c>
      <c r="Z378" s="287">
        <v>0.13352138468809099</v>
      </c>
      <c r="AA378" s="287">
        <v>0.13352138468809099</v>
      </c>
      <c r="AB378" s="287">
        <v>0.13352138468809099</v>
      </c>
      <c r="AC378" s="287">
        <v>0.13352138468809099</v>
      </c>
      <c r="AD378" s="287">
        <v>0.13352138468809099</v>
      </c>
      <c r="AE378" s="287">
        <v>0.13352138468809099</v>
      </c>
      <c r="AF378" s="287">
        <v>0.13352138468809099</v>
      </c>
      <c r="AG378" s="287">
        <v>0.13352138468809099</v>
      </c>
      <c r="AH378" s="287">
        <v>0.13352138468809099</v>
      </c>
      <c r="AI378" s="287">
        <v>0.13352138468809099</v>
      </c>
      <c r="AJ378" s="287">
        <v>0.13352138468809099</v>
      </c>
      <c r="AK378" s="287">
        <v>0.13352138468809099</v>
      </c>
      <c r="AL378" s="287">
        <v>0.13352138468809099</v>
      </c>
      <c r="AM378" s="287">
        <v>0.13352138468809099</v>
      </c>
      <c r="AN378" s="287">
        <v>0.13352138468809099</v>
      </c>
      <c r="AO378" s="287">
        <v>0.13352138468809099</v>
      </c>
      <c r="AP378" s="287">
        <v>0.13352138468809099</v>
      </c>
      <c r="AQ378" s="287">
        <v>0.13352138468809099</v>
      </c>
      <c r="AR378" s="287">
        <v>0.13352138468809099</v>
      </c>
      <c r="AS378" s="287">
        <v>0.13352138468809099</v>
      </c>
      <c r="AT378" s="287">
        <v>0.13352138468809099</v>
      </c>
      <c r="AU378" s="287">
        <v>0.13352138468809099</v>
      </c>
      <c r="AV378" s="287">
        <v>0.13352138468809099</v>
      </c>
      <c r="AW378" s="287">
        <v>0.13352138468809099</v>
      </c>
      <c r="AX378" s="287">
        <v>0.13352138468809099</v>
      </c>
      <c r="AY378" s="287">
        <v>0.13352138468809099</v>
      </c>
      <c r="AZ378" s="287">
        <v>0.13352138468809099</v>
      </c>
      <c r="BA378" s="287">
        <v>0.13352138468809099</v>
      </c>
      <c r="BB378" s="287">
        <v>0.13352138468809099</v>
      </c>
      <c r="BC378" s="287">
        <v>0.13352138468809099</v>
      </c>
      <c r="BD378" s="288">
        <v>0.13352138468809099</v>
      </c>
    </row>
    <row r="379" spans="1:56" s="3" customFormat="1" ht="18" customHeight="1" x14ac:dyDescent="0.2">
      <c r="A379" s="121"/>
      <c r="B379" s="121"/>
      <c r="H379" s="39">
        <v>17</v>
      </c>
      <c r="I379" s="286">
        <v>0.13352138468809099</v>
      </c>
      <c r="J379" s="287">
        <v>0.13352138468809099</v>
      </c>
      <c r="K379" s="287">
        <v>0.13352138468809099</v>
      </c>
      <c r="L379" s="287">
        <v>0.13352138468809099</v>
      </c>
      <c r="M379" s="287">
        <v>0.13352138468809099</v>
      </c>
      <c r="N379" s="287">
        <v>0.13352138468809099</v>
      </c>
      <c r="O379" s="287">
        <v>0.13352138468809099</v>
      </c>
      <c r="P379" s="287">
        <v>0.13352138468809099</v>
      </c>
      <c r="Q379" s="287">
        <v>0.13352138468809099</v>
      </c>
      <c r="R379" s="287">
        <v>0.13352138468809099</v>
      </c>
      <c r="S379" s="287">
        <v>0.13352138468809099</v>
      </c>
      <c r="T379" s="287">
        <v>0.13352138468809099</v>
      </c>
      <c r="U379" s="287">
        <v>0.13352138468809099</v>
      </c>
      <c r="V379" s="287">
        <v>0.13352138468809099</v>
      </c>
      <c r="W379" s="287">
        <v>0.13352138468809099</v>
      </c>
      <c r="X379" s="287">
        <v>0.13352138468809099</v>
      </c>
      <c r="Y379" s="287">
        <v>0.13352138468809099</v>
      </c>
      <c r="Z379" s="287">
        <v>0.13352138468809099</v>
      </c>
      <c r="AA379" s="287">
        <v>0.13352138468809099</v>
      </c>
      <c r="AB379" s="287">
        <v>0.13352138468809099</v>
      </c>
      <c r="AC379" s="287">
        <v>0.13352138468809099</v>
      </c>
      <c r="AD379" s="287">
        <v>0.13352138468809099</v>
      </c>
      <c r="AE379" s="287">
        <v>0.13352138468809099</v>
      </c>
      <c r="AF379" s="287">
        <v>0.13352138468809099</v>
      </c>
      <c r="AG379" s="287">
        <v>0.13352138468809099</v>
      </c>
      <c r="AH379" s="287">
        <v>0.13352138468809099</v>
      </c>
      <c r="AI379" s="287">
        <v>0.13352138468809099</v>
      </c>
      <c r="AJ379" s="287">
        <v>0.13352138468809099</v>
      </c>
      <c r="AK379" s="287">
        <v>0.13352138468809099</v>
      </c>
      <c r="AL379" s="287">
        <v>0.13352138468809099</v>
      </c>
      <c r="AM379" s="287">
        <v>0.13352138468809099</v>
      </c>
      <c r="AN379" s="287">
        <v>0.13352138468809099</v>
      </c>
      <c r="AO379" s="287">
        <v>0.13352138468809099</v>
      </c>
      <c r="AP379" s="287">
        <v>0.13352138468809099</v>
      </c>
      <c r="AQ379" s="287">
        <v>0.13352138468809099</v>
      </c>
      <c r="AR379" s="287">
        <v>0.13352138468809099</v>
      </c>
      <c r="AS379" s="287">
        <v>0.13352138468809099</v>
      </c>
      <c r="AT379" s="287">
        <v>0.13352138468809099</v>
      </c>
      <c r="AU379" s="287">
        <v>0.13352138468809099</v>
      </c>
      <c r="AV379" s="287">
        <v>0.13352138468809099</v>
      </c>
      <c r="AW379" s="287">
        <v>0.13352138468809099</v>
      </c>
      <c r="AX379" s="287">
        <v>0.13352138468809099</v>
      </c>
      <c r="AY379" s="287">
        <v>0.13352138468809099</v>
      </c>
      <c r="AZ379" s="287">
        <v>0.13352138468809099</v>
      </c>
      <c r="BA379" s="287">
        <v>0.13352138468809099</v>
      </c>
      <c r="BB379" s="287">
        <v>0.13352138468809099</v>
      </c>
      <c r="BC379" s="287">
        <v>0.13352138468809099</v>
      </c>
      <c r="BD379" s="288">
        <v>0.13352138468809099</v>
      </c>
    </row>
    <row r="380" spans="1:56" s="3" customFormat="1" ht="18" customHeight="1" x14ac:dyDescent="0.2">
      <c r="A380" s="121"/>
      <c r="B380" s="121"/>
      <c r="H380" s="39">
        <v>18</v>
      </c>
      <c r="I380" s="286">
        <v>0.13352138468809099</v>
      </c>
      <c r="J380" s="287">
        <v>0.13352138468809099</v>
      </c>
      <c r="K380" s="287">
        <v>0.13352138468809099</v>
      </c>
      <c r="L380" s="287">
        <v>0.13352138468809099</v>
      </c>
      <c r="M380" s="287">
        <v>0.13352138468809099</v>
      </c>
      <c r="N380" s="287">
        <v>0.13352138468809099</v>
      </c>
      <c r="O380" s="287">
        <v>0.13352138468809099</v>
      </c>
      <c r="P380" s="287">
        <v>0.13352138468809099</v>
      </c>
      <c r="Q380" s="287">
        <v>0.13352138468809099</v>
      </c>
      <c r="R380" s="287">
        <v>0.13352138468809099</v>
      </c>
      <c r="S380" s="287">
        <v>0.13352138468809099</v>
      </c>
      <c r="T380" s="287">
        <v>0.13352138468809099</v>
      </c>
      <c r="U380" s="287">
        <v>0.13352138468809099</v>
      </c>
      <c r="V380" s="287">
        <v>0.13352138468809099</v>
      </c>
      <c r="W380" s="287">
        <v>0.13352138468809099</v>
      </c>
      <c r="X380" s="287">
        <v>0.13352138468809099</v>
      </c>
      <c r="Y380" s="287">
        <v>0.13352138468809099</v>
      </c>
      <c r="Z380" s="287">
        <v>0.13352138468809099</v>
      </c>
      <c r="AA380" s="287">
        <v>0.13352138468809099</v>
      </c>
      <c r="AB380" s="287">
        <v>0.13352138468809099</v>
      </c>
      <c r="AC380" s="287">
        <v>0.13352138468809099</v>
      </c>
      <c r="AD380" s="287">
        <v>0.13352138468809099</v>
      </c>
      <c r="AE380" s="287">
        <v>0.13352138468809099</v>
      </c>
      <c r="AF380" s="287">
        <v>0.13352138468809099</v>
      </c>
      <c r="AG380" s="287">
        <v>0.13352138468809099</v>
      </c>
      <c r="AH380" s="287">
        <v>0.13352138468809099</v>
      </c>
      <c r="AI380" s="287">
        <v>0.13352138468809099</v>
      </c>
      <c r="AJ380" s="287">
        <v>0.13352138468809099</v>
      </c>
      <c r="AK380" s="287">
        <v>0.13352138468809099</v>
      </c>
      <c r="AL380" s="287">
        <v>0.13352138468809099</v>
      </c>
      <c r="AM380" s="287">
        <v>0.13352138468809099</v>
      </c>
      <c r="AN380" s="287">
        <v>0.13352138468809099</v>
      </c>
      <c r="AO380" s="287">
        <v>0.13352138468809099</v>
      </c>
      <c r="AP380" s="287">
        <v>0.13352138468809099</v>
      </c>
      <c r="AQ380" s="287">
        <v>0.13352138468809099</v>
      </c>
      <c r="AR380" s="287">
        <v>0.13352138468809099</v>
      </c>
      <c r="AS380" s="287">
        <v>0.13352138468809099</v>
      </c>
      <c r="AT380" s="287">
        <v>0.13352138468809099</v>
      </c>
      <c r="AU380" s="287">
        <v>0.13352138468809099</v>
      </c>
      <c r="AV380" s="287">
        <v>0.13352138468809099</v>
      </c>
      <c r="AW380" s="287">
        <v>0.13352138468809099</v>
      </c>
      <c r="AX380" s="287">
        <v>0.13352138468809099</v>
      </c>
      <c r="AY380" s="287">
        <v>0.13352138468809099</v>
      </c>
      <c r="AZ380" s="287">
        <v>0.13352138468809099</v>
      </c>
      <c r="BA380" s="287">
        <v>0.13352138468809099</v>
      </c>
      <c r="BB380" s="287">
        <v>0.13352138468809099</v>
      </c>
      <c r="BC380" s="287">
        <v>0.13352138468809099</v>
      </c>
      <c r="BD380" s="288">
        <v>0.13352138468809099</v>
      </c>
    </row>
    <row r="381" spans="1:56" s="3" customFormat="1" ht="18" customHeight="1" x14ac:dyDescent="0.2">
      <c r="A381" s="121"/>
      <c r="B381" s="121"/>
      <c r="H381" s="39">
        <v>19</v>
      </c>
      <c r="I381" s="286">
        <v>0.13352138468809099</v>
      </c>
      <c r="J381" s="287">
        <v>0.13352138468809099</v>
      </c>
      <c r="K381" s="287">
        <v>0.13352138468809099</v>
      </c>
      <c r="L381" s="287">
        <v>0.13352138468809099</v>
      </c>
      <c r="M381" s="287">
        <v>0.13352138468809099</v>
      </c>
      <c r="N381" s="287">
        <v>0.13352138468809099</v>
      </c>
      <c r="O381" s="287">
        <v>0.13352138468809099</v>
      </c>
      <c r="P381" s="287">
        <v>0.13352138468809099</v>
      </c>
      <c r="Q381" s="287">
        <v>0.13352138468809099</v>
      </c>
      <c r="R381" s="287">
        <v>0.13352138468809099</v>
      </c>
      <c r="S381" s="287">
        <v>0.13352138468809099</v>
      </c>
      <c r="T381" s="287">
        <v>0.13352138468809099</v>
      </c>
      <c r="U381" s="287">
        <v>0.13352138468809099</v>
      </c>
      <c r="V381" s="287">
        <v>0.13352138468809099</v>
      </c>
      <c r="W381" s="287">
        <v>0.13352138468809099</v>
      </c>
      <c r="X381" s="287">
        <v>0.13352138468809099</v>
      </c>
      <c r="Y381" s="287">
        <v>0.13352138468809099</v>
      </c>
      <c r="Z381" s="287">
        <v>0.13352138468809099</v>
      </c>
      <c r="AA381" s="287">
        <v>0.13352138468809099</v>
      </c>
      <c r="AB381" s="287">
        <v>0.13352138468809099</v>
      </c>
      <c r="AC381" s="287">
        <v>0.13352138468809099</v>
      </c>
      <c r="AD381" s="287">
        <v>0.13352138468809099</v>
      </c>
      <c r="AE381" s="287">
        <v>0.13352138468809099</v>
      </c>
      <c r="AF381" s="287">
        <v>0.13352138468809099</v>
      </c>
      <c r="AG381" s="287">
        <v>0.13352138468809099</v>
      </c>
      <c r="AH381" s="287">
        <v>0.13352138468809099</v>
      </c>
      <c r="AI381" s="287">
        <v>0.13352138468809099</v>
      </c>
      <c r="AJ381" s="287">
        <v>0.13352138468809099</v>
      </c>
      <c r="AK381" s="287">
        <v>0.13352138468809099</v>
      </c>
      <c r="AL381" s="287">
        <v>0.13352138468809099</v>
      </c>
      <c r="AM381" s="287">
        <v>0.13352138468809099</v>
      </c>
      <c r="AN381" s="287">
        <v>0.13352138468809099</v>
      </c>
      <c r="AO381" s="287">
        <v>0.13352138468809099</v>
      </c>
      <c r="AP381" s="287">
        <v>0.13352138468809099</v>
      </c>
      <c r="AQ381" s="287">
        <v>0.13352138468809099</v>
      </c>
      <c r="AR381" s="287">
        <v>0.13352138468809099</v>
      </c>
      <c r="AS381" s="287">
        <v>0.13352138468809099</v>
      </c>
      <c r="AT381" s="287">
        <v>0.13352138468809099</v>
      </c>
      <c r="AU381" s="287">
        <v>0.13352138468809099</v>
      </c>
      <c r="AV381" s="287">
        <v>0.13352138468809099</v>
      </c>
      <c r="AW381" s="287">
        <v>0.13352138468809099</v>
      </c>
      <c r="AX381" s="287">
        <v>0.13352138468809099</v>
      </c>
      <c r="AY381" s="287">
        <v>0.13352138468809099</v>
      </c>
      <c r="AZ381" s="287">
        <v>0.13352138468809099</v>
      </c>
      <c r="BA381" s="287">
        <v>0.13352138468809099</v>
      </c>
      <c r="BB381" s="287">
        <v>0.13352138468809099</v>
      </c>
      <c r="BC381" s="287">
        <v>0.13352138468809099</v>
      </c>
      <c r="BD381" s="288">
        <v>0.13352138468809099</v>
      </c>
    </row>
    <row r="382" spans="1:56" s="3" customFormat="1" ht="18" customHeight="1" x14ac:dyDescent="0.2">
      <c r="A382" s="121"/>
      <c r="B382" s="121"/>
      <c r="H382" s="39">
        <v>20</v>
      </c>
      <c r="I382" s="286">
        <v>0.13352138468809099</v>
      </c>
      <c r="J382" s="287">
        <v>0.13352138468809099</v>
      </c>
      <c r="K382" s="287">
        <v>0.13352138468809099</v>
      </c>
      <c r="L382" s="287">
        <v>0.13352138468809099</v>
      </c>
      <c r="M382" s="287">
        <v>0.13352138468809099</v>
      </c>
      <c r="N382" s="287">
        <v>0.13352138468809099</v>
      </c>
      <c r="O382" s="287">
        <v>0.13352138468809099</v>
      </c>
      <c r="P382" s="287">
        <v>0.13352138468809099</v>
      </c>
      <c r="Q382" s="287">
        <v>0.13352138468809099</v>
      </c>
      <c r="R382" s="287">
        <v>0.13352138468809099</v>
      </c>
      <c r="S382" s="287">
        <v>0.13352138468809099</v>
      </c>
      <c r="T382" s="287">
        <v>0.13352138468809099</v>
      </c>
      <c r="U382" s="287">
        <v>0.13352138468809099</v>
      </c>
      <c r="V382" s="287">
        <v>0.13352138468809099</v>
      </c>
      <c r="W382" s="287">
        <v>0.13352138468809099</v>
      </c>
      <c r="X382" s="287">
        <v>0.13352138468809099</v>
      </c>
      <c r="Y382" s="287">
        <v>0.13352138468809099</v>
      </c>
      <c r="Z382" s="287">
        <v>0.13352138468809099</v>
      </c>
      <c r="AA382" s="287">
        <v>0.13352138468809099</v>
      </c>
      <c r="AB382" s="287">
        <v>0.13352138468809099</v>
      </c>
      <c r="AC382" s="287">
        <v>0.13352138468809099</v>
      </c>
      <c r="AD382" s="287">
        <v>0.13352138468809099</v>
      </c>
      <c r="AE382" s="287">
        <v>0.13352138468809099</v>
      </c>
      <c r="AF382" s="287">
        <v>0.13352138468809099</v>
      </c>
      <c r="AG382" s="287">
        <v>0.13352138468809099</v>
      </c>
      <c r="AH382" s="287">
        <v>0.13352138468809099</v>
      </c>
      <c r="AI382" s="287">
        <v>0.13352138468809099</v>
      </c>
      <c r="AJ382" s="287">
        <v>0.13352138468809099</v>
      </c>
      <c r="AK382" s="287">
        <v>0.13352138468809099</v>
      </c>
      <c r="AL382" s="287">
        <v>0.13352138468809099</v>
      </c>
      <c r="AM382" s="287">
        <v>0.13352138468809099</v>
      </c>
      <c r="AN382" s="287">
        <v>0.13352138468809099</v>
      </c>
      <c r="AO382" s="287">
        <v>0.13352138468809099</v>
      </c>
      <c r="AP382" s="287">
        <v>0.13352138468809099</v>
      </c>
      <c r="AQ382" s="287">
        <v>0.13352138468809099</v>
      </c>
      <c r="AR382" s="287">
        <v>0.13352138468809099</v>
      </c>
      <c r="AS382" s="287">
        <v>0.13352138468809099</v>
      </c>
      <c r="AT382" s="287">
        <v>0.13352138468809099</v>
      </c>
      <c r="AU382" s="287">
        <v>0.13352138468809099</v>
      </c>
      <c r="AV382" s="287">
        <v>0.13352138468809099</v>
      </c>
      <c r="AW382" s="287">
        <v>0.13352138468809099</v>
      </c>
      <c r="AX382" s="287">
        <v>0.13352138468809099</v>
      </c>
      <c r="AY382" s="287">
        <v>0.13352138468809099</v>
      </c>
      <c r="AZ382" s="287">
        <v>0.13352138468809099</v>
      </c>
      <c r="BA382" s="287">
        <v>0.13352138468809099</v>
      </c>
      <c r="BB382" s="287">
        <v>0.13352138468809099</v>
      </c>
      <c r="BC382" s="287">
        <v>0.13352138468809099</v>
      </c>
      <c r="BD382" s="288">
        <v>0.13352138468809099</v>
      </c>
    </row>
    <row r="383" spans="1:56" s="3" customFormat="1" ht="18" customHeight="1" x14ac:dyDescent="0.2">
      <c r="A383" s="121"/>
      <c r="B383" s="121"/>
      <c r="H383" s="39">
        <v>21</v>
      </c>
      <c r="I383" s="286">
        <v>0.13352138468809099</v>
      </c>
      <c r="J383" s="287">
        <v>0.13352138468809099</v>
      </c>
      <c r="K383" s="287">
        <v>0.13352138468809099</v>
      </c>
      <c r="L383" s="287">
        <v>0.13352138468809099</v>
      </c>
      <c r="M383" s="287">
        <v>0.13352138468809099</v>
      </c>
      <c r="N383" s="287">
        <v>0.13352138468809099</v>
      </c>
      <c r="O383" s="287">
        <v>0.13352138468809099</v>
      </c>
      <c r="P383" s="287">
        <v>0.13352138468809099</v>
      </c>
      <c r="Q383" s="287">
        <v>0.13352138468809099</v>
      </c>
      <c r="R383" s="287">
        <v>0.13352138468809099</v>
      </c>
      <c r="S383" s="287">
        <v>0.13352138468809099</v>
      </c>
      <c r="T383" s="287">
        <v>0.13352138468809099</v>
      </c>
      <c r="U383" s="287">
        <v>0.13352138468809099</v>
      </c>
      <c r="V383" s="287">
        <v>0.13352138468809099</v>
      </c>
      <c r="W383" s="287">
        <v>0.13352138468809099</v>
      </c>
      <c r="X383" s="287">
        <v>0.13352138468809099</v>
      </c>
      <c r="Y383" s="287">
        <v>0.13352138468809099</v>
      </c>
      <c r="Z383" s="287">
        <v>0.13352138468809099</v>
      </c>
      <c r="AA383" s="287">
        <v>0.13352138468809099</v>
      </c>
      <c r="AB383" s="287">
        <v>0.13352138468809099</v>
      </c>
      <c r="AC383" s="287">
        <v>0.13352138468809099</v>
      </c>
      <c r="AD383" s="287">
        <v>0.13352138468809099</v>
      </c>
      <c r="AE383" s="287">
        <v>0.13352138468809099</v>
      </c>
      <c r="AF383" s="287">
        <v>0.13352138468809099</v>
      </c>
      <c r="AG383" s="287">
        <v>0.13352138468809099</v>
      </c>
      <c r="AH383" s="287">
        <v>0.13352138468809099</v>
      </c>
      <c r="AI383" s="287">
        <v>0.13352138468809099</v>
      </c>
      <c r="AJ383" s="287">
        <v>0.13352138468809099</v>
      </c>
      <c r="AK383" s="287">
        <v>0.13352138468809099</v>
      </c>
      <c r="AL383" s="287">
        <v>0.13352138468809099</v>
      </c>
      <c r="AM383" s="287">
        <v>0.13352138468809099</v>
      </c>
      <c r="AN383" s="287">
        <v>0.13352138468809099</v>
      </c>
      <c r="AO383" s="287">
        <v>0.13352138468809099</v>
      </c>
      <c r="AP383" s="287">
        <v>0.13352138468809099</v>
      </c>
      <c r="AQ383" s="287">
        <v>0.13352138468809099</v>
      </c>
      <c r="AR383" s="287">
        <v>0.13352138468809099</v>
      </c>
      <c r="AS383" s="287">
        <v>0.13352138468809099</v>
      </c>
      <c r="AT383" s="287">
        <v>0.13352138468809099</v>
      </c>
      <c r="AU383" s="287">
        <v>0.13352138468809099</v>
      </c>
      <c r="AV383" s="287">
        <v>0.13352138468809099</v>
      </c>
      <c r="AW383" s="287">
        <v>0.13352138468809099</v>
      </c>
      <c r="AX383" s="287">
        <v>0.13352138468809099</v>
      </c>
      <c r="AY383" s="287">
        <v>0.13352138468809099</v>
      </c>
      <c r="AZ383" s="287">
        <v>0.13352138468809099</v>
      </c>
      <c r="BA383" s="287">
        <v>0.13352138468809099</v>
      </c>
      <c r="BB383" s="287">
        <v>0.13352138468809099</v>
      </c>
      <c r="BC383" s="287">
        <v>0.13352138468809099</v>
      </c>
      <c r="BD383" s="288">
        <v>0.13352138468809099</v>
      </c>
    </row>
    <row r="384" spans="1:56" s="3" customFormat="1" ht="18" customHeight="1" x14ac:dyDescent="0.2">
      <c r="A384" s="121"/>
      <c r="B384" s="121"/>
      <c r="H384" s="39">
        <v>22</v>
      </c>
      <c r="I384" s="286">
        <v>0.13352138468809099</v>
      </c>
      <c r="J384" s="287">
        <v>0.13352138468809099</v>
      </c>
      <c r="K384" s="287">
        <v>0.13352138468809099</v>
      </c>
      <c r="L384" s="287">
        <v>0.13352138468809099</v>
      </c>
      <c r="M384" s="287">
        <v>0.13352138468809099</v>
      </c>
      <c r="N384" s="287">
        <v>0.13352138468809099</v>
      </c>
      <c r="O384" s="287">
        <v>0.13352138468809099</v>
      </c>
      <c r="P384" s="287">
        <v>0.13352138468809099</v>
      </c>
      <c r="Q384" s="287">
        <v>0.13352138468809099</v>
      </c>
      <c r="R384" s="287">
        <v>0.13352138468809099</v>
      </c>
      <c r="S384" s="287">
        <v>0.13352138468809099</v>
      </c>
      <c r="T384" s="287">
        <v>0.13352138468809099</v>
      </c>
      <c r="U384" s="287">
        <v>0.13352138468809099</v>
      </c>
      <c r="V384" s="287">
        <v>0.13352138468809099</v>
      </c>
      <c r="W384" s="287">
        <v>0.13352138468809099</v>
      </c>
      <c r="X384" s="287">
        <v>0.13352138468809099</v>
      </c>
      <c r="Y384" s="287">
        <v>0.13352138468809099</v>
      </c>
      <c r="Z384" s="287">
        <v>0.13352138468809099</v>
      </c>
      <c r="AA384" s="287">
        <v>0.13352138468809099</v>
      </c>
      <c r="AB384" s="287">
        <v>0.13352138468809099</v>
      </c>
      <c r="AC384" s="287">
        <v>0.13352138468809099</v>
      </c>
      <c r="AD384" s="287">
        <v>0.13352138468809099</v>
      </c>
      <c r="AE384" s="287">
        <v>0.13352138468809099</v>
      </c>
      <c r="AF384" s="287">
        <v>0.13352138468809099</v>
      </c>
      <c r="AG384" s="287">
        <v>0.13352138468809099</v>
      </c>
      <c r="AH384" s="287">
        <v>0.13352138468809099</v>
      </c>
      <c r="AI384" s="287">
        <v>0.13352138468809099</v>
      </c>
      <c r="AJ384" s="287">
        <v>0.13352138468809099</v>
      </c>
      <c r="AK384" s="287">
        <v>0.13352138468809099</v>
      </c>
      <c r="AL384" s="287">
        <v>0.13352138468809099</v>
      </c>
      <c r="AM384" s="287">
        <v>0.13352138468809099</v>
      </c>
      <c r="AN384" s="287">
        <v>0.13352138468809099</v>
      </c>
      <c r="AO384" s="287">
        <v>0.13352138468809099</v>
      </c>
      <c r="AP384" s="287">
        <v>0.13352138468809099</v>
      </c>
      <c r="AQ384" s="287">
        <v>0.13352138468809099</v>
      </c>
      <c r="AR384" s="287">
        <v>0.13352138468809099</v>
      </c>
      <c r="AS384" s="287">
        <v>0.13352138468809099</v>
      </c>
      <c r="AT384" s="287">
        <v>0.13352138468809099</v>
      </c>
      <c r="AU384" s="287">
        <v>0.13352138468809099</v>
      </c>
      <c r="AV384" s="287">
        <v>0.13352138468809099</v>
      </c>
      <c r="AW384" s="287">
        <v>0.13352138468809099</v>
      </c>
      <c r="AX384" s="287">
        <v>0.13352138468809099</v>
      </c>
      <c r="AY384" s="287">
        <v>0.13352138468809099</v>
      </c>
      <c r="AZ384" s="287">
        <v>0.13352138468809099</v>
      </c>
      <c r="BA384" s="287">
        <v>0.13352138468809099</v>
      </c>
      <c r="BB384" s="287">
        <v>0.13352138468809099</v>
      </c>
      <c r="BC384" s="287">
        <v>0.13352138468809099</v>
      </c>
      <c r="BD384" s="288">
        <v>0.13352138468809099</v>
      </c>
    </row>
    <row r="385" spans="1:56" s="3" customFormat="1" ht="18" customHeight="1" x14ac:dyDescent="0.2">
      <c r="A385" s="121"/>
      <c r="B385" s="121"/>
      <c r="H385" s="39">
        <v>23</v>
      </c>
      <c r="I385" s="286">
        <v>0.13352138468809099</v>
      </c>
      <c r="J385" s="287">
        <v>0.13352138468809099</v>
      </c>
      <c r="K385" s="287">
        <v>0.13352138468809099</v>
      </c>
      <c r="L385" s="287">
        <v>0.13352138468809099</v>
      </c>
      <c r="M385" s="287">
        <v>0.13352138468809099</v>
      </c>
      <c r="N385" s="287">
        <v>0.13352138468809099</v>
      </c>
      <c r="O385" s="287">
        <v>0.13352138468809099</v>
      </c>
      <c r="P385" s="287">
        <v>0.13352138468809099</v>
      </c>
      <c r="Q385" s="287">
        <v>0.13352138468809099</v>
      </c>
      <c r="R385" s="287">
        <v>0.13352138468809099</v>
      </c>
      <c r="S385" s="287">
        <v>0.13352138468809099</v>
      </c>
      <c r="T385" s="287">
        <v>0.13352138468809099</v>
      </c>
      <c r="U385" s="287">
        <v>0.13352138468809099</v>
      </c>
      <c r="V385" s="287">
        <v>0.13352138468809099</v>
      </c>
      <c r="W385" s="287">
        <v>0.13352138468809099</v>
      </c>
      <c r="X385" s="287">
        <v>0.13352138468809099</v>
      </c>
      <c r="Y385" s="287">
        <v>0.13352138468809099</v>
      </c>
      <c r="Z385" s="287">
        <v>0.13352138468809099</v>
      </c>
      <c r="AA385" s="287">
        <v>0.13352138468809099</v>
      </c>
      <c r="AB385" s="287">
        <v>0.13352138468809099</v>
      </c>
      <c r="AC385" s="287">
        <v>0.13352138468809099</v>
      </c>
      <c r="AD385" s="287">
        <v>0.13352138468809099</v>
      </c>
      <c r="AE385" s="287">
        <v>0.13352138468809099</v>
      </c>
      <c r="AF385" s="287">
        <v>0.13352138468809099</v>
      </c>
      <c r="AG385" s="287">
        <v>0.13352138468809099</v>
      </c>
      <c r="AH385" s="287">
        <v>0.13352138468809099</v>
      </c>
      <c r="AI385" s="287">
        <v>0.13352138468809099</v>
      </c>
      <c r="AJ385" s="287">
        <v>0.13352138468809099</v>
      </c>
      <c r="AK385" s="287">
        <v>0.13352138468809099</v>
      </c>
      <c r="AL385" s="287">
        <v>0.13352138468809099</v>
      </c>
      <c r="AM385" s="287">
        <v>0.13352138468809099</v>
      </c>
      <c r="AN385" s="287">
        <v>0.13352138468809099</v>
      </c>
      <c r="AO385" s="287">
        <v>0.13352138468809099</v>
      </c>
      <c r="AP385" s="287">
        <v>0.13352138468809099</v>
      </c>
      <c r="AQ385" s="287">
        <v>0.13352138468809099</v>
      </c>
      <c r="AR385" s="287">
        <v>0.13352138468809099</v>
      </c>
      <c r="AS385" s="287">
        <v>0.13352138468809099</v>
      </c>
      <c r="AT385" s="287">
        <v>0.13352138468809099</v>
      </c>
      <c r="AU385" s="287">
        <v>0.13352138468809099</v>
      </c>
      <c r="AV385" s="287">
        <v>0.13352138468809099</v>
      </c>
      <c r="AW385" s="287">
        <v>0.13352138468809099</v>
      </c>
      <c r="AX385" s="287">
        <v>0.13352138468809099</v>
      </c>
      <c r="AY385" s="287">
        <v>0.13352138468809099</v>
      </c>
      <c r="AZ385" s="287">
        <v>0.13352138468809099</v>
      </c>
      <c r="BA385" s="287">
        <v>0.13352138468809099</v>
      </c>
      <c r="BB385" s="287">
        <v>0.13352138468809099</v>
      </c>
      <c r="BC385" s="287">
        <v>0.13352138468809099</v>
      </c>
      <c r="BD385" s="288">
        <v>0.13352138468809099</v>
      </c>
    </row>
    <row r="386" spans="1:56" s="3" customFormat="1" ht="18" customHeight="1" x14ac:dyDescent="0.2">
      <c r="A386" s="121"/>
      <c r="B386" s="121"/>
      <c r="H386" s="39">
        <v>24</v>
      </c>
      <c r="I386" s="286">
        <v>0.13352138468809099</v>
      </c>
      <c r="J386" s="287">
        <v>0.13352138468809099</v>
      </c>
      <c r="K386" s="287">
        <v>0.13352138468809099</v>
      </c>
      <c r="L386" s="287">
        <v>0.13352138468809099</v>
      </c>
      <c r="M386" s="287">
        <v>0.13352138468809099</v>
      </c>
      <c r="N386" s="287">
        <v>0.13352138468809099</v>
      </c>
      <c r="O386" s="287">
        <v>0.13352138468809099</v>
      </c>
      <c r="P386" s="287">
        <v>0.13352138468809099</v>
      </c>
      <c r="Q386" s="287">
        <v>0.13352138468809099</v>
      </c>
      <c r="R386" s="287">
        <v>0.13352138468809099</v>
      </c>
      <c r="S386" s="287">
        <v>0.13352138468809099</v>
      </c>
      <c r="T386" s="287">
        <v>0.13352138468809099</v>
      </c>
      <c r="U386" s="287">
        <v>0.13352138468809099</v>
      </c>
      <c r="V386" s="287">
        <v>0.13352138468809099</v>
      </c>
      <c r="W386" s="287">
        <v>0.13352138468809099</v>
      </c>
      <c r="X386" s="287">
        <v>0.13352138468809099</v>
      </c>
      <c r="Y386" s="287">
        <v>0.13352138468809099</v>
      </c>
      <c r="Z386" s="287">
        <v>0.13352138468809099</v>
      </c>
      <c r="AA386" s="287">
        <v>0.13352138468809099</v>
      </c>
      <c r="AB386" s="287">
        <v>0.13352138468809099</v>
      </c>
      <c r="AC386" s="287">
        <v>0.13352138468809099</v>
      </c>
      <c r="AD386" s="287">
        <v>0.13352138468809099</v>
      </c>
      <c r="AE386" s="287">
        <v>0.13352138468809099</v>
      </c>
      <c r="AF386" s="287">
        <v>0.13352138468809099</v>
      </c>
      <c r="AG386" s="287">
        <v>0.13352138468809099</v>
      </c>
      <c r="AH386" s="287">
        <v>0.13352138468809099</v>
      </c>
      <c r="AI386" s="287">
        <v>0.13352138468809099</v>
      </c>
      <c r="AJ386" s="287">
        <v>0.13352138468809099</v>
      </c>
      <c r="AK386" s="287">
        <v>0.13352138468809099</v>
      </c>
      <c r="AL386" s="287">
        <v>0.13352138468809099</v>
      </c>
      <c r="AM386" s="287">
        <v>0.13352138468809099</v>
      </c>
      <c r="AN386" s="287">
        <v>0.13352138468809099</v>
      </c>
      <c r="AO386" s="287">
        <v>0.13352138468809099</v>
      </c>
      <c r="AP386" s="287">
        <v>0.13352138468809099</v>
      </c>
      <c r="AQ386" s="287">
        <v>0.13352138468809099</v>
      </c>
      <c r="AR386" s="287">
        <v>0.13352138468809099</v>
      </c>
      <c r="AS386" s="287">
        <v>0.13352138468809099</v>
      </c>
      <c r="AT386" s="287">
        <v>0.13352138468809099</v>
      </c>
      <c r="AU386" s="287">
        <v>0.13352138468809099</v>
      </c>
      <c r="AV386" s="287">
        <v>0.13352138468809099</v>
      </c>
      <c r="AW386" s="287">
        <v>0.13352138468809099</v>
      </c>
      <c r="AX386" s="287">
        <v>0.13352138468809099</v>
      </c>
      <c r="AY386" s="287">
        <v>0.13352138468809099</v>
      </c>
      <c r="AZ386" s="287">
        <v>0.13352138468809099</v>
      </c>
      <c r="BA386" s="287">
        <v>0.13352138468809099</v>
      </c>
      <c r="BB386" s="287">
        <v>0.13352138468809099</v>
      </c>
      <c r="BC386" s="287">
        <v>0.13352138468809099</v>
      </c>
      <c r="BD386" s="288">
        <v>0.13352138468809099</v>
      </c>
    </row>
    <row r="387" spans="1:56" s="3" customFormat="1" ht="18" customHeight="1" x14ac:dyDescent="0.2">
      <c r="A387" s="121"/>
      <c r="B387" s="121"/>
      <c r="H387" s="39">
        <v>25</v>
      </c>
      <c r="I387" s="286">
        <v>0.13352138468809099</v>
      </c>
      <c r="J387" s="287">
        <v>0.13352138468809099</v>
      </c>
      <c r="K387" s="287">
        <v>0.13352138468809099</v>
      </c>
      <c r="L387" s="287">
        <v>0.13352138468809099</v>
      </c>
      <c r="M387" s="287">
        <v>0.13352138468809099</v>
      </c>
      <c r="N387" s="287">
        <v>0.13352138468809099</v>
      </c>
      <c r="O387" s="287">
        <v>0.13352138468809099</v>
      </c>
      <c r="P387" s="287">
        <v>0.13352138468809099</v>
      </c>
      <c r="Q387" s="287">
        <v>0.13352138468809099</v>
      </c>
      <c r="R387" s="287">
        <v>0.13352138468809099</v>
      </c>
      <c r="S387" s="287">
        <v>0.13352138468809099</v>
      </c>
      <c r="T387" s="287">
        <v>0.13352138468809099</v>
      </c>
      <c r="U387" s="287">
        <v>0.13352138468809099</v>
      </c>
      <c r="V387" s="287">
        <v>0.13352138468809099</v>
      </c>
      <c r="W387" s="287">
        <v>0.13352138468809099</v>
      </c>
      <c r="X387" s="287">
        <v>0.13352138468809099</v>
      </c>
      <c r="Y387" s="287">
        <v>0.13352138468809099</v>
      </c>
      <c r="Z387" s="287">
        <v>0.13352138468809099</v>
      </c>
      <c r="AA387" s="287">
        <v>0.13352138468809099</v>
      </c>
      <c r="AB387" s="287">
        <v>0.13352138468809099</v>
      </c>
      <c r="AC387" s="287">
        <v>0.13352138468809099</v>
      </c>
      <c r="AD387" s="287">
        <v>0.13352138468809099</v>
      </c>
      <c r="AE387" s="287">
        <v>0.13352138468809099</v>
      </c>
      <c r="AF387" s="287">
        <v>0.13352138468809099</v>
      </c>
      <c r="AG387" s="287">
        <v>0.13352138468809099</v>
      </c>
      <c r="AH387" s="287">
        <v>0.13352138468809099</v>
      </c>
      <c r="AI387" s="287">
        <v>0.13352138468809099</v>
      </c>
      <c r="AJ387" s="287">
        <v>0.13352138468809099</v>
      </c>
      <c r="AK387" s="287">
        <v>0.13352138468809099</v>
      </c>
      <c r="AL387" s="287">
        <v>0.13352138468809099</v>
      </c>
      <c r="AM387" s="287">
        <v>0.13352138468809099</v>
      </c>
      <c r="AN387" s="287">
        <v>0.13352138468809099</v>
      </c>
      <c r="AO387" s="287">
        <v>0.13352138468809099</v>
      </c>
      <c r="AP387" s="287">
        <v>0.13352138468809099</v>
      </c>
      <c r="AQ387" s="287">
        <v>0.13352138468809099</v>
      </c>
      <c r="AR387" s="287">
        <v>0.13352138468809099</v>
      </c>
      <c r="AS387" s="287">
        <v>0.13352138468809099</v>
      </c>
      <c r="AT387" s="287">
        <v>0.13352138468809099</v>
      </c>
      <c r="AU387" s="287">
        <v>0.13352138468809099</v>
      </c>
      <c r="AV387" s="287">
        <v>0.13352138468809099</v>
      </c>
      <c r="AW387" s="287">
        <v>0.13352138468809099</v>
      </c>
      <c r="AX387" s="287">
        <v>0.13352138468809099</v>
      </c>
      <c r="AY387" s="287">
        <v>0.13352138468809099</v>
      </c>
      <c r="AZ387" s="287">
        <v>0.13352138468809099</v>
      </c>
      <c r="BA387" s="287">
        <v>0.13352138468809099</v>
      </c>
      <c r="BB387" s="287">
        <v>0.13352138468809099</v>
      </c>
      <c r="BC387" s="287">
        <v>0.13352138468809099</v>
      </c>
      <c r="BD387" s="288">
        <v>0.13352138468809099</v>
      </c>
    </row>
    <row r="388" spans="1:56" s="3" customFormat="1" ht="18" customHeight="1" x14ac:dyDescent="0.2">
      <c r="A388" s="121"/>
      <c r="B388" s="121"/>
      <c r="H388" s="39">
        <v>26</v>
      </c>
      <c r="I388" s="286">
        <v>0.13352138468809099</v>
      </c>
      <c r="J388" s="287">
        <v>0.13352138468809099</v>
      </c>
      <c r="K388" s="287">
        <v>0.13352138468809099</v>
      </c>
      <c r="L388" s="287">
        <v>0.13352138468809099</v>
      </c>
      <c r="M388" s="287">
        <v>0.13352138468809099</v>
      </c>
      <c r="N388" s="287">
        <v>0.13352138468809099</v>
      </c>
      <c r="O388" s="287">
        <v>0.13352138468809099</v>
      </c>
      <c r="P388" s="287">
        <v>0.13352138468809099</v>
      </c>
      <c r="Q388" s="287">
        <v>0.13352138468809099</v>
      </c>
      <c r="R388" s="287">
        <v>0.13352138468809099</v>
      </c>
      <c r="S388" s="287">
        <v>0.13352138468809099</v>
      </c>
      <c r="T388" s="287">
        <v>0.13352138468809099</v>
      </c>
      <c r="U388" s="287">
        <v>0.13352138468809099</v>
      </c>
      <c r="V388" s="287">
        <v>0.13352138468809099</v>
      </c>
      <c r="W388" s="287">
        <v>0.13352138468809099</v>
      </c>
      <c r="X388" s="287">
        <v>0.13352138468809099</v>
      </c>
      <c r="Y388" s="287">
        <v>0.13352138468809099</v>
      </c>
      <c r="Z388" s="287">
        <v>0.13352138468809099</v>
      </c>
      <c r="AA388" s="287">
        <v>0.13352138468809099</v>
      </c>
      <c r="AB388" s="287">
        <v>0.13352138468809099</v>
      </c>
      <c r="AC388" s="287">
        <v>0.13352138468809099</v>
      </c>
      <c r="AD388" s="287">
        <v>0.13352138468809099</v>
      </c>
      <c r="AE388" s="287">
        <v>0.13352138468809099</v>
      </c>
      <c r="AF388" s="287">
        <v>0.13352138468809099</v>
      </c>
      <c r="AG388" s="287">
        <v>0.13352138468809099</v>
      </c>
      <c r="AH388" s="287">
        <v>0.13352138468809099</v>
      </c>
      <c r="AI388" s="287">
        <v>0.13352138468809099</v>
      </c>
      <c r="AJ388" s="287">
        <v>0.13352138468809099</v>
      </c>
      <c r="AK388" s="287">
        <v>0.13352138468809099</v>
      </c>
      <c r="AL388" s="287">
        <v>0.13352138468809099</v>
      </c>
      <c r="AM388" s="287">
        <v>0.13352138468809099</v>
      </c>
      <c r="AN388" s="287">
        <v>0.13352138468809099</v>
      </c>
      <c r="AO388" s="287">
        <v>0.13352138468809099</v>
      </c>
      <c r="AP388" s="287">
        <v>0.13352138468809099</v>
      </c>
      <c r="AQ388" s="287">
        <v>0.13352138468809099</v>
      </c>
      <c r="AR388" s="287">
        <v>0.13352138468809099</v>
      </c>
      <c r="AS388" s="287">
        <v>0.13352138468809099</v>
      </c>
      <c r="AT388" s="287">
        <v>0.13352138468809099</v>
      </c>
      <c r="AU388" s="287">
        <v>0.13352138468809099</v>
      </c>
      <c r="AV388" s="287">
        <v>0.13352138468809099</v>
      </c>
      <c r="AW388" s="287">
        <v>0.13352138468809099</v>
      </c>
      <c r="AX388" s="287">
        <v>0.13352138468809099</v>
      </c>
      <c r="AY388" s="287">
        <v>0.13352138468809099</v>
      </c>
      <c r="AZ388" s="287">
        <v>0.13352138468809099</v>
      </c>
      <c r="BA388" s="287">
        <v>0.13352138468809099</v>
      </c>
      <c r="BB388" s="287">
        <v>0.13352138468809099</v>
      </c>
      <c r="BC388" s="287">
        <v>0.13352138468809099</v>
      </c>
      <c r="BD388" s="288">
        <v>0.13352138468809099</v>
      </c>
    </row>
    <row r="389" spans="1:56" s="3" customFormat="1" ht="18" customHeight="1" x14ac:dyDescent="0.2">
      <c r="A389" s="121"/>
      <c r="B389" s="121"/>
      <c r="H389" s="39">
        <v>27</v>
      </c>
      <c r="I389" s="286">
        <v>0.13352138468809099</v>
      </c>
      <c r="J389" s="287">
        <v>0.13352138468809099</v>
      </c>
      <c r="K389" s="287">
        <v>0.13352138468809099</v>
      </c>
      <c r="L389" s="287">
        <v>0.13352138468809099</v>
      </c>
      <c r="M389" s="287">
        <v>0.13352138468809099</v>
      </c>
      <c r="N389" s="287">
        <v>0.13352138468809099</v>
      </c>
      <c r="O389" s="287">
        <v>0.13352138468809099</v>
      </c>
      <c r="P389" s="287">
        <v>0.13352138468809099</v>
      </c>
      <c r="Q389" s="287">
        <v>0.13352138468809099</v>
      </c>
      <c r="R389" s="287">
        <v>0.13352138468809099</v>
      </c>
      <c r="S389" s="287">
        <v>0.13352138468809099</v>
      </c>
      <c r="T389" s="287">
        <v>0.13352138468809099</v>
      </c>
      <c r="U389" s="287">
        <v>0.13352138468809099</v>
      </c>
      <c r="V389" s="287">
        <v>0.13352138468809099</v>
      </c>
      <c r="W389" s="287">
        <v>0.13352138468809099</v>
      </c>
      <c r="X389" s="287">
        <v>0.13352138468809099</v>
      </c>
      <c r="Y389" s="287">
        <v>0.13352138468809099</v>
      </c>
      <c r="Z389" s="287">
        <v>0.13352138468809099</v>
      </c>
      <c r="AA389" s="287">
        <v>0.13352138468809099</v>
      </c>
      <c r="AB389" s="287">
        <v>0.13352138468809099</v>
      </c>
      <c r="AC389" s="287">
        <v>0.13352138468809099</v>
      </c>
      <c r="AD389" s="287">
        <v>0.13352138468809099</v>
      </c>
      <c r="AE389" s="287">
        <v>0.13352138468809099</v>
      </c>
      <c r="AF389" s="287">
        <v>0.13352138468809099</v>
      </c>
      <c r="AG389" s="287">
        <v>0.13352138468809099</v>
      </c>
      <c r="AH389" s="287">
        <v>0.13352138468809099</v>
      </c>
      <c r="AI389" s="287">
        <v>0.13352138468809099</v>
      </c>
      <c r="AJ389" s="287">
        <v>0.13352138468809099</v>
      </c>
      <c r="AK389" s="287">
        <v>0.13352138468809099</v>
      </c>
      <c r="AL389" s="287">
        <v>0.13352138468809099</v>
      </c>
      <c r="AM389" s="287">
        <v>0.13352138468809099</v>
      </c>
      <c r="AN389" s="287">
        <v>0.13352138468809099</v>
      </c>
      <c r="AO389" s="287">
        <v>0.13352138468809099</v>
      </c>
      <c r="AP389" s="287">
        <v>0.13352138468809099</v>
      </c>
      <c r="AQ389" s="287">
        <v>0.13352138468809099</v>
      </c>
      <c r="AR389" s="287">
        <v>0.13352138468809099</v>
      </c>
      <c r="AS389" s="287">
        <v>0.13352138468809099</v>
      </c>
      <c r="AT389" s="287">
        <v>0.13352138468809099</v>
      </c>
      <c r="AU389" s="287">
        <v>0.13352138468809099</v>
      </c>
      <c r="AV389" s="287">
        <v>0.13352138468809099</v>
      </c>
      <c r="AW389" s="287">
        <v>0.13352138468809099</v>
      </c>
      <c r="AX389" s="287">
        <v>0.13352138468809099</v>
      </c>
      <c r="AY389" s="287">
        <v>0.13352138468809099</v>
      </c>
      <c r="AZ389" s="287">
        <v>0.13352138468809099</v>
      </c>
      <c r="BA389" s="287">
        <v>0.13352138468809099</v>
      </c>
      <c r="BB389" s="287">
        <v>0.13352138468809099</v>
      </c>
      <c r="BC389" s="287">
        <v>0.13352138468809099</v>
      </c>
      <c r="BD389" s="288">
        <v>0.13352138468809099</v>
      </c>
    </row>
    <row r="390" spans="1:56" s="3" customFormat="1" ht="18" customHeight="1" x14ac:dyDescent="0.2">
      <c r="A390" s="121"/>
      <c r="B390" s="121"/>
      <c r="H390" s="39">
        <v>28</v>
      </c>
      <c r="I390" s="286">
        <v>0.13352138468809099</v>
      </c>
      <c r="J390" s="287">
        <v>0.13352138468809099</v>
      </c>
      <c r="K390" s="287">
        <v>0.13352138468809099</v>
      </c>
      <c r="L390" s="287">
        <v>0.13352138468809099</v>
      </c>
      <c r="M390" s="287">
        <v>0.13352138468809099</v>
      </c>
      <c r="N390" s="287">
        <v>0.13352138468809099</v>
      </c>
      <c r="O390" s="287">
        <v>0.13352138468809099</v>
      </c>
      <c r="P390" s="287">
        <v>0.13352138468809099</v>
      </c>
      <c r="Q390" s="287">
        <v>0.13352138468809099</v>
      </c>
      <c r="R390" s="287">
        <v>0.13352138468809099</v>
      </c>
      <c r="S390" s="287">
        <v>0.13352138468809099</v>
      </c>
      <c r="T390" s="287">
        <v>0.13352138468809099</v>
      </c>
      <c r="U390" s="287">
        <v>0.13352138468809099</v>
      </c>
      <c r="V390" s="287">
        <v>0.13352138468809099</v>
      </c>
      <c r="W390" s="287">
        <v>0.13352138468809099</v>
      </c>
      <c r="X390" s="287">
        <v>0.13352138468809099</v>
      </c>
      <c r="Y390" s="287">
        <v>0.13352138468809099</v>
      </c>
      <c r="Z390" s="287">
        <v>0.13352138468809099</v>
      </c>
      <c r="AA390" s="287">
        <v>0.13352138468809099</v>
      </c>
      <c r="AB390" s="287">
        <v>0.13352138468809099</v>
      </c>
      <c r="AC390" s="287">
        <v>0.13352138468809099</v>
      </c>
      <c r="AD390" s="287">
        <v>0.13352138468809099</v>
      </c>
      <c r="AE390" s="287">
        <v>0.13352138468809099</v>
      </c>
      <c r="AF390" s="287">
        <v>0.13352138468809099</v>
      </c>
      <c r="AG390" s="287">
        <v>0.13352138468809099</v>
      </c>
      <c r="AH390" s="287">
        <v>0.13352138468809099</v>
      </c>
      <c r="AI390" s="287">
        <v>0.13352138468809099</v>
      </c>
      <c r="AJ390" s="287">
        <v>0.13352138468809099</v>
      </c>
      <c r="AK390" s="287">
        <v>0.13352138468809099</v>
      </c>
      <c r="AL390" s="287">
        <v>0.13352138468809099</v>
      </c>
      <c r="AM390" s="287">
        <v>0.13352138468809099</v>
      </c>
      <c r="AN390" s="287">
        <v>0.13352138468809099</v>
      </c>
      <c r="AO390" s="287">
        <v>0.13352138468809099</v>
      </c>
      <c r="AP390" s="287">
        <v>0.13352138468809099</v>
      </c>
      <c r="AQ390" s="287">
        <v>0.13352138468809099</v>
      </c>
      <c r="AR390" s="287">
        <v>0.13352138468809099</v>
      </c>
      <c r="AS390" s="287">
        <v>0.13352138468809099</v>
      </c>
      <c r="AT390" s="287">
        <v>0.13352138468809099</v>
      </c>
      <c r="AU390" s="287">
        <v>0.13352138468809099</v>
      </c>
      <c r="AV390" s="287">
        <v>0.13352138468809099</v>
      </c>
      <c r="AW390" s="287">
        <v>0.13352138468809099</v>
      </c>
      <c r="AX390" s="287">
        <v>0.13352138468809099</v>
      </c>
      <c r="AY390" s="287">
        <v>0.13352138468809099</v>
      </c>
      <c r="AZ390" s="287">
        <v>0.13352138468809099</v>
      </c>
      <c r="BA390" s="287">
        <v>0.13352138468809099</v>
      </c>
      <c r="BB390" s="287">
        <v>0.13352138468809099</v>
      </c>
      <c r="BC390" s="287">
        <v>0.13352138468809099</v>
      </c>
      <c r="BD390" s="288">
        <v>0.13352138468809099</v>
      </c>
    </row>
    <row r="391" spans="1:56" s="3" customFormat="1" ht="18" customHeight="1" x14ac:dyDescent="0.2">
      <c r="A391" s="121"/>
      <c r="B391" s="121"/>
      <c r="H391" s="39">
        <v>29</v>
      </c>
      <c r="I391" s="286">
        <v>0.13352138468809099</v>
      </c>
      <c r="J391" s="287">
        <v>0.13352138468809099</v>
      </c>
      <c r="K391" s="287">
        <v>0.13352138468809099</v>
      </c>
      <c r="L391" s="287">
        <v>0.13352138468809099</v>
      </c>
      <c r="M391" s="287">
        <v>0.13352138468809099</v>
      </c>
      <c r="N391" s="287">
        <v>0.13352138468809099</v>
      </c>
      <c r="O391" s="287">
        <v>0.13352138468809099</v>
      </c>
      <c r="P391" s="287">
        <v>0.13352138468809099</v>
      </c>
      <c r="Q391" s="287">
        <v>0.13352138468809099</v>
      </c>
      <c r="R391" s="287">
        <v>0.13352138468809099</v>
      </c>
      <c r="S391" s="287">
        <v>0.13352138468809099</v>
      </c>
      <c r="T391" s="287">
        <v>0.13352138468809099</v>
      </c>
      <c r="U391" s="287">
        <v>0.13352138468809099</v>
      </c>
      <c r="V391" s="287">
        <v>0.13352138468809099</v>
      </c>
      <c r="W391" s="287">
        <v>0.13352138468809099</v>
      </c>
      <c r="X391" s="287">
        <v>0.13352138468809099</v>
      </c>
      <c r="Y391" s="287">
        <v>0.13352138468809099</v>
      </c>
      <c r="Z391" s="287">
        <v>0.13352138468809099</v>
      </c>
      <c r="AA391" s="287">
        <v>0.13352138468809099</v>
      </c>
      <c r="AB391" s="287">
        <v>0.13352138468809099</v>
      </c>
      <c r="AC391" s="287">
        <v>0.13352138468809099</v>
      </c>
      <c r="AD391" s="287">
        <v>0.13352138468809099</v>
      </c>
      <c r="AE391" s="287">
        <v>0.13352138468809099</v>
      </c>
      <c r="AF391" s="287">
        <v>0.13352138468809099</v>
      </c>
      <c r="AG391" s="287">
        <v>0.13352138468809099</v>
      </c>
      <c r="AH391" s="287">
        <v>0.13352138468809099</v>
      </c>
      <c r="AI391" s="287">
        <v>0.13352138468809099</v>
      </c>
      <c r="AJ391" s="287">
        <v>0.13352138468809099</v>
      </c>
      <c r="AK391" s="287">
        <v>0.13352138468809099</v>
      </c>
      <c r="AL391" s="287">
        <v>0.13352138468809099</v>
      </c>
      <c r="AM391" s="287">
        <v>0.13352138468809099</v>
      </c>
      <c r="AN391" s="287">
        <v>0.13352138468809099</v>
      </c>
      <c r="AO391" s="287">
        <v>0.13352138468809099</v>
      </c>
      <c r="AP391" s="287">
        <v>0.13352138468809099</v>
      </c>
      <c r="AQ391" s="287">
        <v>0.13352138468809099</v>
      </c>
      <c r="AR391" s="287">
        <v>0.13352138468809099</v>
      </c>
      <c r="AS391" s="287">
        <v>0.13352138468809099</v>
      </c>
      <c r="AT391" s="287">
        <v>0.13352138468809099</v>
      </c>
      <c r="AU391" s="287">
        <v>0.13352138468809099</v>
      </c>
      <c r="AV391" s="287">
        <v>0.13352138468809099</v>
      </c>
      <c r="AW391" s="287">
        <v>0.13352138468809099</v>
      </c>
      <c r="AX391" s="287">
        <v>0.13352138468809099</v>
      </c>
      <c r="AY391" s="287">
        <v>0.13352138468809099</v>
      </c>
      <c r="AZ391" s="287">
        <v>0.13352138468809099</v>
      </c>
      <c r="BA391" s="287">
        <v>0.13352138468809099</v>
      </c>
      <c r="BB391" s="287">
        <v>0.13352138468809099</v>
      </c>
      <c r="BC391" s="287">
        <v>0.13352138468809099</v>
      </c>
      <c r="BD391" s="288">
        <v>0.13352138468809099</v>
      </c>
    </row>
    <row r="392" spans="1:56" s="3" customFormat="1" ht="18" customHeight="1" x14ac:dyDescent="0.2">
      <c r="A392" s="121"/>
      <c r="B392" s="121"/>
      <c r="H392" s="39">
        <v>30</v>
      </c>
      <c r="I392" s="286">
        <v>0.13352138468809099</v>
      </c>
      <c r="J392" s="287">
        <v>0.13352138468809099</v>
      </c>
      <c r="K392" s="287">
        <v>0.13352138468809099</v>
      </c>
      <c r="L392" s="287">
        <v>0.13352138468809099</v>
      </c>
      <c r="M392" s="287">
        <v>0.13352138468809099</v>
      </c>
      <c r="N392" s="287">
        <v>0.13352138468809099</v>
      </c>
      <c r="O392" s="287">
        <v>0.13352138468809099</v>
      </c>
      <c r="P392" s="287">
        <v>0.13352138468809099</v>
      </c>
      <c r="Q392" s="287">
        <v>0.13352138468809099</v>
      </c>
      <c r="R392" s="287">
        <v>0.13352138468809099</v>
      </c>
      <c r="S392" s="287">
        <v>0.13352138468809099</v>
      </c>
      <c r="T392" s="287">
        <v>0.13352138468809099</v>
      </c>
      <c r="U392" s="287">
        <v>0.13352138468809099</v>
      </c>
      <c r="V392" s="287">
        <v>0.13352138468809099</v>
      </c>
      <c r="W392" s="287">
        <v>0.13352138468809099</v>
      </c>
      <c r="X392" s="287">
        <v>0.13352138468809099</v>
      </c>
      <c r="Y392" s="287">
        <v>0.13352138468809099</v>
      </c>
      <c r="Z392" s="287">
        <v>0.13352138468809099</v>
      </c>
      <c r="AA392" s="287">
        <v>0.13352138468809099</v>
      </c>
      <c r="AB392" s="287">
        <v>0.13352138468809099</v>
      </c>
      <c r="AC392" s="287">
        <v>0.13352138468809099</v>
      </c>
      <c r="AD392" s="287">
        <v>0.13352138468809099</v>
      </c>
      <c r="AE392" s="287">
        <v>0.13352138468809099</v>
      </c>
      <c r="AF392" s="287">
        <v>0.13352138468809099</v>
      </c>
      <c r="AG392" s="287">
        <v>0.13352138468809099</v>
      </c>
      <c r="AH392" s="287">
        <v>0.13352138468809099</v>
      </c>
      <c r="AI392" s="287">
        <v>0.13352138468809099</v>
      </c>
      <c r="AJ392" s="287">
        <v>0.13352138468809099</v>
      </c>
      <c r="AK392" s="287">
        <v>0.13352138468809099</v>
      </c>
      <c r="AL392" s="287">
        <v>0.13352138468809099</v>
      </c>
      <c r="AM392" s="287">
        <v>0.13352138468809099</v>
      </c>
      <c r="AN392" s="287">
        <v>0.13352138468809099</v>
      </c>
      <c r="AO392" s="287">
        <v>0.13352138468809099</v>
      </c>
      <c r="AP392" s="287">
        <v>0.13352138468809099</v>
      </c>
      <c r="AQ392" s="287">
        <v>0.13352138468809099</v>
      </c>
      <c r="AR392" s="287">
        <v>0.13352138468809099</v>
      </c>
      <c r="AS392" s="287">
        <v>0.13352138468809099</v>
      </c>
      <c r="AT392" s="287">
        <v>0.13352138468809099</v>
      </c>
      <c r="AU392" s="287">
        <v>0.13352138468809099</v>
      </c>
      <c r="AV392" s="287">
        <v>0.13352138468809099</v>
      </c>
      <c r="AW392" s="287">
        <v>0.13352138468809099</v>
      </c>
      <c r="AX392" s="287">
        <v>0.13352138468809099</v>
      </c>
      <c r="AY392" s="287">
        <v>0.13352138468809099</v>
      </c>
      <c r="AZ392" s="287">
        <v>0.13352138468809099</v>
      </c>
      <c r="BA392" s="287">
        <v>0.13352138468809099</v>
      </c>
      <c r="BB392" s="287">
        <v>0.13352138468809099</v>
      </c>
      <c r="BC392" s="287">
        <v>0.13352138468809099</v>
      </c>
      <c r="BD392" s="288">
        <v>0.13352138468809099</v>
      </c>
    </row>
    <row r="393" spans="1:56" s="3" customFormat="1" ht="18" customHeight="1" x14ac:dyDescent="0.2">
      <c r="A393" s="121"/>
      <c r="B393" s="121"/>
      <c r="H393" s="39">
        <v>31</v>
      </c>
      <c r="I393" s="286">
        <v>0.13352138468809099</v>
      </c>
      <c r="J393" s="287">
        <v>0.13352138468809099</v>
      </c>
      <c r="K393" s="287">
        <v>0.13352138468809099</v>
      </c>
      <c r="L393" s="287">
        <v>0.13352138468809099</v>
      </c>
      <c r="M393" s="287">
        <v>0.13352138468809099</v>
      </c>
      <c r="N393" s="287">
        <v>0.13352138468809099</v>
      </c>
      <c r="O393" s="287">
        <v>0.13352138468809099</v>
      </c>
      <c r="P393" s="287">
        <v>0.13352138468809099</v>
      </c>
      <c r="Q393" s="287">
        <v>0.13352138468809099</v>
      </c>
      <c r="R393" s="287">
        <v>0.13352138468809099</v>
      </c>
      <c r="S393" s="287">
        <v>0.13352138468809099</v>
      </c>
      <c r="T393" s="287">
        <v>0.13352138468809099</v>
      </c>
      <c r="U393" s="287">
        <v>0.13352138468809099</v>
      </c>
      <c r="V393" s="287">
        <v>0.13352138468809099</v>
      </c>
      <c r="W393" s="287">
        <v>0.13352138468809099</v>
      </c>
      <c r="X393" s="287">
        <v>0.13352138468809099</v>
      </c>
      <c r="Y393" s="287">
        <v>0.13352138468809099</v>
      </c>
      <c r="Z393" s="287">
        <v>0.13352138468809099</v>
      </c>
      <c r="AA393" s="287">
        <v>0.13352138468809099</v>
      </c>
      <c r="AB393" s="287">
        <v>0.13352138468809099</v>
      </c>
      <c r="AC393" s="287">
        <v>0.13352138468809099</v>
      </c>
      <c r="AD393" s="287">
        <v>0.13352138468809099</v>
      </c>
      <c r="AE393" s="287">
        <v>0.13352138468809099</v>
      </c>
      <c r="AF393" s="287">
        <v>0.13352138468809099</v>
      </c>
      <c r="AG393" s="287">
        <v>0.13352138468809099</v>
      </c>
      <c r="AH393" s="287">
        <v>0.13352138468809099</v>
      </c>
      <c r="AI393" s="287">
        <v>0.13352138468809099</v>
      </c>
      <c r="AJ393" s="287">
        <v>0.13352138468809099</v>
      </c>
      <c r="AK393" s="287">
        <v>0.13352138468809099</v>
      </c>
      <c r="AL393" s="287">
        <v>0.13352138468809099</v>
      </c>
      <c r="AM393" s="287">
        <v>0.13352138468809099</v>
      </c>
      <c r="AN393" s="287">
        <v>0.13352138468809099</v>
      </c>
      <c r="AO393" s="287">
        <v>0.13352138468809099</v>
      </c>
      <c r="AP393" s="287">
        <v>0.13352138468809099</v>
      </c>
      <c r="AQ393" s="287">
        <v>0.13352138468809099</v>
      </c>
      <c r="AR393" s="287">
        <v>0.13352138468809099</v>
      </c>
      <c r="AS393" s="287">
        <v>0.13352138468809099</v>
      </c>
      <c r="AT393" s="287">
        <v>0.13352138468809099</v>
      </c>
      <c r="AU393" s="287">
        <v>0.13352138468809099</v>
      </c>
      <c r="AV393" s="287">
        <v>0.13352138468809099</v>
      </c>
      <c r="AW393" s="287">
        <v>0.13352138468809099</v>
      </c>
      <c r="AX393" s="287">
        <v>0.13352138468809099</v>
      </c>
      <c r="AY393" s="287">
        <v>0.13352138468809099</v>
      </c>
      <c r="AZ393" s="287">
        <v>0.13352138468809099</v>
      </c>
      <c r="BA393" s="287">
        <v>0.13352138468809099</v>
      </c>
      <c r="BB393" s="287">
        <v>0.13352138468809099</v>
      </c>
      <c r="BC393" s="287">
        <v>0.13352138468809099</v>
      </c>
      <c r="BD393" s="288">
        <v>0.13352138468809099</v>
      </c>
    </row>
    <row r="394" spans="1:56" s="3" customFormat="1" ht="18" customHeight="1" x14ac:dyDescent="0.2">
      <c r="A394" s="121"/>
      <c r="B394" s="121"/>
      <c r="H394" s="39">
        <v>32</v>
      </c>
      <c r="I394" s="286">
        <v>0.13352138468809099</v>
      </c>
      <c r="J394" s="287">
        <v>0.13352138468809099</v>
      </c>
      <c r="K394" s="287">
        <v>0.13352138468809099</v>
      </c>
      <c r="L394" s="287">
        <v>0.13352138468809099</v>
      </c>
      <c r="M394" s="287">
        <v>0.13352138468809099</v>
      </c>
      <c r="N394" s="287">
        <v>0.13352138468809099</v>
      </c>
      <c r="O394" s="287">
        <v>0.13352138468809099</v>
      </c>
      <c r="P394" s="287">
        <v>0.13352138468809099</v>
      </c>
      <c r="Q394" s="287">
        <v>0.13352138468809099</v>
      </c>
      <c r="R394" s="287">
        <v>0.13352138468809099</v>
      </c>
      <c r="S394" s="287">
        <v>0.13352138468809099</v>
      </c>
      <c r="T394" s="287">
        <v>0.13352138468809099</v>
      </c>
      <c r="U394" s="287">
        <v>0.13352138468809099</v>
      </c>
      <c r="V394" s="287">
        <v>0.13352138468809099</v>
      </c>
      <c r="W394" s="287">
        <v>0.13352138468809099</v>
      </c>
      <c r="X394" s="287">
        <v>0.13352138468809099</v>
      </c>
      <c r="Y394" s="287">
        <v>0.13352138468809099</v>
      </c>
      <c r="Z394" s="287">
        <v>0.13352138468809099</v>
      </c>
      <c r="AA394" s="287">
        <v>0.13352138468809099</v>
      </c>
      <c r="AB394" s="287">
        <v>0.13352138468809099</v>
      </c>
      <c r="AC394" s="287">
        <v>0.13352138468809099</v>
      </c>
      <c r="AD394" s="287">
        <v>0.13352138468809099</v>
      </c>
      <c r="AE394" s="287">
        <v>0.13352138468809099</v>
      </c>
      <c r="AF394" s="287">
        <v>0.13352138468809099</v>
      </c>
      <c r="AG394" s="287">
        <v>0.13352138468809099</v>
      </c>
      <c r="AH394" s="287">
        <v>0.13352138468809099</v>
      </c>
      <c r="AI394" s="287">
        <v>0.13352138468809099</v>
      </c>
      <c r="AJ394" s="287">
        <v>0.13352138468809099</v>
      </c>
      <c r="AK394" s="287">
        <v>0.13352138468809099</v>
      </c>
      <c r="AL394" s="287">
        <v>0.13352138468809099</v>
      </c>
      <c r="AM394" s="287">
        <v>0.13352138468809099</v>
      </c>
      <c r="AN394" s="287">
        <v>0.13352138468809099</v>
      </c>
      <c r="AO394" s="287">
        <v>0.13352138468809099</v>
      </c>
      <c r="AP394" s="287">
        <v>0.13352138468809099</v>
      </c>
      <c r="AQ394" s="287">
        <v>0.13352138468809099</v>
      </c>
      <c r="AR394" s="287">
        <v>0.13352138468809099</v>
      </c>
      <c r="AS394" s="287">
        <v>0.13352138468809099</v>
      </c>
      <c r="AT394" s="287">
        <v>0.13352138468809099</v>
      </c>
      <c r="AU394" s="287">
        <v>0.13352138468809099</v>
      </c>
      <c r="AV394" s="287">
        <v>0.13352138468809099</v>
      </c>
      <c r="AW394" s="287">
        <v>0.13352138468809099</v>
      </c>
      <c r="AX394" s="287">
        <v>0.13352138468809099</v>
      </c>
      <c r="AY394" s="287">
        <v>0.13352138468809099</v>
      </c>
      <c r="AZ394" s="287">
        <v>0.13352138468809099</v>
      </c>
      <c r="BA394" s="287">
        <v>0.13352138468809099</v>
      </c>
      <c r="BB394" s="287">
        <v>0.13352138468809099</v>
      </c>
      <c r="BC394" s="287">
        <v>0.13352138468809099</v>
      </c>
      <c r="BD394" s="288">
        <v>0.13352138468809099</v>
      </c>
    </row>
    <row r="395" spans="1:56" s="3" customFormat="1" ht="18" customHeight="1" x14ac:dyDescent="0.2">
      <c r="H395" s="39">
        <v>33</v>
      </c>
      <c r="I395" s="286">
        <v>0.13352138468809099</v>
      </c>
      <c r="J395" s="287">
        <v>0.13352138468809099</v>
      </c>
      <c r="K395" s="287">
        <v>0.13352138468809099</v>
      </c>
      <c r="L395" s="287">
        <v>0.13352138468809099</v>
      </c>
      <c r="M395" s="287">
        <v>0.13352138468809099</v>
      </c>
      <c r="N395" s="287">
        <v>0.13352138468809099</v>
      </c>
      <c r="O395" s="287">
        <v>0.13352138468809099</v>
      </c>
      <c r="P395" s="287">
        <v>0.13352138468809099</v>
      </c>
      <c r="Q395" s="287">
        <v>0.13352138468809099</v>
      </c>
      <c r="R395" s="287">
        <v>0.13352138468809099</v>
      </c>
      <c r="S395" s="287">
        <v>0.13352138468809099</v>
      </c>
      <c r="T395" s="287">
        <v>0.13352138468809099</v>
      </c>
      <c r="U395" s="287">
        <v>0.13352138468809099</v>
      </c>
      <c r="V395" s="287">
        <v>0.13352138468809099</v>
      </c>
      <c r="W395" s="287">
        <v>0.13352138468809099</v>
      </c>
      <c r="X395" s="287">
        <v>0.13352138468809099</v>
      </c>
      <c r="Y395" s="287">
        <v>0.13352138468809099</v>
      </c>
      <c r="Z395" s="287">
        <v>0.13352138468809099</v>
      </c>
      <c r="AA395" s="287">
        <v>0.13352138468809099</v>
      </c>
      <c r="AB395" s="287">
        <v>0.13352138468809099</v>
      </c>
      <c r="AC395" s="287">
        <v>0.13352138468809099</v>
      </c>
      <c r="AD395" s="287">
        <v>0.13352138468809099</v>
      </c>
      <c r="AE395" s="287">
        <v>0.13352138468809099</v>
      </c>
      <c r="AF395" s="287">
        <v>0.13352138468809099</v>
      </c>
      <c r="AG395" s="287">
        <v>0.13352138468809099</v>
      </c>
      <c r="AH395" s="287">
        <v>0.13352138468809099</v>
      </c>
      <c r="AI395" s="287">
        <v>0.13352138468809099</v>
      </c>
      <c r="AJ395" s="287">
        <v>0.13352138468809099</v>
      </c>
      <c r="AK395" s="287">
        <v>0.13352138468809099</v>
      </c>
      <c r="AL395" s="287">
        <v>0.13352138468809099</v>
      </c>
      <c r="AM395" s="287">
        <v>0.13352138468809099</v>
      </c>
      <c r="AN395" s="287">
        <v>0.13352138468809099</v>
      </c>
      <c r="AO395" s="287">
        <v>0.13352138468809099</v>
      </c>
      <c r="AP395" s="287">
        <v>0.13352138468809099</v>
      </c>
      <c r="AQ395" s="287">
        <v>0.13352138468809099</v>
      </c>
      <c r="AR395" s="287">
        <v>0.13352138468809099</v>
      </c>
      <c r="AS395" s="287">
        <v>0.13352138468809099</v>
      </c>
      <c r="AT395" s="287">
        <v>0.13352138468809099</v>
      </c>
      <c r="AU395" s="287">
        <v>0.13352138468809099</v>
      </c>
      <c r="AV395" s="287">
        <v>0.13352138468809099</v>
      </c>
      <c r="AW395" s="287">
        <v>0.13352138468809099</v>
      </c>
      <c r="AX395" s="287">
        <v>0.13352138468809099</v>
      </c>
      <c r="AY395" s="287">
        <v>0.13352138468809099</v>
      </c>
      <c r="AZ395" s="287">
        <v>0.13352138468809099</v>
      </c>
      <c r="BA395" s="287">
        <v>0.13352138468809099</v>
      </c>
      <c r="BB395" s="287">
        <v>0.13352138468809099</v>
      </c>
      <c r="BC395" s="287">
        <v>0.13352138468809099</v>
      </c>
      <c r="BD395" s="288">
        <v>0.13352138468809099</v>
      </c>
    </row>
    <row r="396" spans="1:56" s="3" customFormat="1" ht="18" customHeight="1" x14ac:dyDescent="0.2">
      <c r="H396" s="39">
        <v>34</v>
      </c>
      <c r="I396" s="286">
        <v>0.13352138468809099</v>
      </c>
      <c r="J396" s="287">
        <v>0.13352138468809099</v>
      </c>
      <c r="K396" s="287">
        <v>0.13352138468809099</v>
      </c>
      <c r="L396" s="287">
        <v>0.13352138468809099</v>
      </c>
      <c r="M396" s="287">
        <v>0.13352138468809099</v>
      </c>
      <c r="N396" s="287">
        <v>0.13352138468809099</v>
      </c>
      <c r="O396" s="287">
        <v>0.13352138468809099</v>
      </c>
      <c r="P396" s="287">
        <v>0.13352138468809099</v>
      </c>
      <c r="Q396" s="287">
        <v>0.13352138468809099</v>
      </c>
      <c r="R396" s="287">
        <v>0.13352138468809099</v>
      </c>
      <c r="S396" s="287">
        <v>0.13352138468809099</v>
      </c>
      <c r="T396" s="287">
        <v>0.13352138468809099</v>
      </c>
      <c r="U396" s="287">
        <v>0.13352138468809099</v>
      </c>
      <c r="V396" s="287">
        <v>0.13352138468809099</v>
      </c>
      <c r="W396" s="287">
        <v>0.13352138468809099</v>
      </c>
      <c r="X396" s="287">
        <v>0.13352138468809099</v>
      </c>
      <c r="Y396" s="287">
        <v>0.13352138468809099</v>
      </c>
      <c r="Z396" s="287">
        <v>0.13352138468809099</v>
      </c>
      <c r="AA396" s="287">
        <v>0.13352138468809099</v>
      </c>
      <c r="AB396" s="287">
        <v>0.13352138468809099</v>
      </c>
      <c r="AC396" s="287">
        <v>0.13352138468809099</v>
      </c>
      <c r="AD396" s="287">
        <v>0.13352138468809099</v>
      </c>
      <c r="AE396" s="287">
        <v>0.13352138468809099</v>
      </c>
      <c r="AF396" s="287">
        <v>0.13352138468809099</v>
      </c>
      <c r="AG396" s="287">
        <v>0.13352138468809099</v>
      </c>
      <c r="AH396" s="287">
        <v>0.13352138468809099</v>
      </c>
      <c r="AI396" s="287">
        <v>0.13352138468809099</v>
      </c>
      <c r="AJ396" s="287">
        <v>0.13352138468809099</v>
      </c>
      <c r="AK396" s="287">
        <v>0.13352138468809099</v>
      </c>
      <c r="AL396" s="287">
        <v>0.13352138468809099</v>
      </c>
      <c r="AM396" s="287">
        <v>0.13352138468809099</v>
      </c>
      <c r="AN396" s="287">
        <v>0.13352138468809099</v>
      </c>
      <c r="AO396" s="287">
        <v>0.13352138468809099</v>
      </c>
      <c r="AP396" s="287">
        <v>0.13352138468809099</v>
      </c>
      <c r="AQ396" s="287">
        <v>0.13352138468809099</v>
      </c>
      <c r="AR396" s="287">
        <v>0.13352138468809099</v>
      </c>
      <c r="AS396" s="287">
        <v>0.13352138468809099</v>
      </c>
      <c r="AT396" s="287">
        <v>0.13352138468809099</v>
      </c>
      <c r="AU396" s="287">
        <v>0.13352138468809099</v>
      </c>
      <c r="AV396" s="287">
        <v>0.13352138468809099</v>
      </c>
      <c r="AW396" s="287">
        <v>0.13352138468809099</v>
      </c>
      <c r="AX396" s="287">
        <v>0.13352138468809099</v>
      </c>
      <c r="AY396" s="287">
        <v>0.13352138468809099</v>
      </c>
      <c r="AZ396" s="287">
        <v>0.13352138468809099</v>
      </c>
      <c r="BA396" s="287">
        <v>0.13352138468809099</v>
      </c>
      <c r="BB396" s="287">
        <v>0.13352138468809099</v>
      </c>
      <c r="BC396" s="287">
        <v>0.13352138468809099</v>
      </c>
      <c r="BD396" s="288">
        <v>0.13352138468809099</v>
      </c>
    </row>
    <row r="397" spans="1:56" s="3" customFormat="1" ht="18" customHeight="1" x14ac:dyDescent="0.2">
      <c r="H397" s="39">
        <v>35</v>
      </c>
      <c r="I397" s="286">
        <v>0.13352138468809099</v>
      </c>
      <c r="J397" s="287">
        <v>0.13352138468809099</v>
      </c>
      <c r="K397" s="287">
        <v>0.13352138468809099</v>
      </c>
      <c r="L397" s="287">
        <v>0.13352138468809099</v>
      </c>
      <c r="M397" s="287">
        <v>0.13352138468809099</v>
      </c>
      <c r="N397" s="287">
        <v>0.13352138468809099</v>
      </c>
      <c r="O397" s="287">
        <v>0.13352138468809099</v>
      </c>
      <c r="P397" s="287">
        <v>0.13352138468809099</v>
      </c>
      <c r="Q397" s="287">
        <v>0.13352138468809099</v>
      </c>
      <c r="R397" s="287">
        <v>0.13352138468809099</v>
      </c>
      <c r="S397" s="287">
        <v>0.13352138468809099</v>
      </c>
      <c r="T397" s="287">
        <v>0.13352138468809099</v>
      </c>
      <c r="U397" s="287">
        <v>0.13352138468809099</v>
      </c>
      <c r="V397" s="287">
        <v>0.13352138468809099</v>
      </c>
      <c r="W397" s="287">
        <v>0.13352138468809099</v>
      </c>
      <c r="X397" s="287">
        <v>0.13352138468809099</v>
      </c>
      <c r="Y397" s="287">
        <v>0.13352138468809099</v>
      </c>
      <c r="Z397" s="287">
        <v>0.13352138468809099</v>
      </c>
      <c r="AA397" s="287">
        <v>0.13352138468809099</v>
      </c>
      <c r="AB397" s="287">
        <v>0.13352138468809099</v>
      </c>
      <c r="AC397" s="287">
        <v>0.13352138468809099</v>
      </c>
      <c r="AD397" s="287">
        <v>0.13352138468809099</v>
      </c>
      <c r="AE397" s="287">
        <v>0.13352138468809099</v>
      </c>
      <c r="AF397" s="287">
        <v>0.13352138468809099</v>
      </c>
      <c r="AG397" s="287">
        <v>0.13352138468809099</v>
      </c>
      <c r="AH397" s="287">
        <v>0.13352138468809099</v>
      </c>
      <c r="AI397" s="287">
        <v>0.13352138468809099</v>
      </c>
      <c r="AJ397" s="287">
        <v>0.13352138468809099</v>
      </c>
      <c r="AK397" s="287">
        <v>0.13352138468809099</v>
      </c>
      <c r="AL397" s="287">
        <v>0.13352138468809099</v>
      </c>
      <c r="AM397" s="287">
        <v>0.13352138468809099</v>
      </c>
      <c r="AN397" s="287">
        <v>0.13352138468809099</v>
      </c>
      <c r="AO397" s="287">
        <v>0.13352138468809099</v>
      </c>
      <c r="AP397" s="287">
        <v>0.13352138468809099</v>
      </c>
      <c r="AQ397" s="287">
        <v>0.13352138468809099</v>
      </c>
      <c r="AR397" s="287">
        <v>0.13352138468809099</v>
      </c>
      <c r="AS397" s="287">
        <v>0.13352138468809099</v>
      </c>
      <c r="AT397" s="287">
        <v>0.13352138468809099</v>
      </c>
      <c r="AU397" s="287">
        <v>0.13352138468809099</v>
      </c>
      <c r="AV397" s="287">
        <v>0.13352138468809099</v>
      </c>
      <c r="AW397" s="287">
        <v>0.13352138468809099</v>
      </c>
      <c r="AX397" s="287">
        <v>0.13352138468809099</v>
      </c>
      <c r="AY397" s="287">
        <v>0.13352138468809099</v>
      </c>
      <c r="AZ397" s="287">
        <v>0.13352138468809099</v>
      </c>
      <c r="BA397" s="287">
        <v>0.13352138468809099</v>
      </c>
      <c r="BB397" s="287">
        <v>0.13352138468809099</v>
      </c>
      <c r="BC397" s="287">
        <v>0.13352138468809099</v>
      </c>
      <c r="BD397" s="288">
        <v>0.13352138468809099</v>
      </c>
    </row>
    <row r="398" spans="1:56" s="3" customFormat="1" ht="18" customHeight="1" x14ac:dyDescent="0.2">
      <c r="H398" s="39">
        <v>36</v>
      </c>
      <c r="I398" s="286">
        <v>0.13352138468809099</v>
      </c>
      <c r="J398" s="287">
        <v>0.13352138468809099</v>
      </c>
      <c r="K398" s="287">
        <v>0.13352138468809099</v>
      </c>
      <c r="L398" s="287">
        <v>0.13352138468809099</v>
      </c>
      <c r="M398" s="287">
        <v>0.13352138468809099</v>
      </c>
      <c r="N398" s="287">
        <v>0.13352138468809099</v>
      </c>
      <c r="O398" s="287">
        <v>0.13352138468809099</v>
      </c>
      <c r="P398" s="287">
        <v>0.13352138468809099</v>
      </c>
      <c r="Q398" s="287">
        <v>0.13352138468809099</v>
      </c>
      <c r="R398" s="287">
        <v>0.13352138468809099</v>
      </c>
      <c r="S398" s="287">
        <v>0.13352138468809099</v>
      </c>
      <c r="T398" s="287">
        <v>0.13352138468809099</v>
      </c>
      <c r="U398" s="287">
        <v>0.13352138468809099</v>
      </c>
      <c r="V398" s="287">
        <v>0.13352138468809099</v>
      </c>
      <c r="W398" s="287">
        <v>0.13352138468809099</v>
      </c>
      <c r="X398" s="287">
        <v>0.13352138468809099</v>
      </c>
      <c r="Y398" s="287">
        <v>0.13352138468809099</v>
      </c>
      <c r="Z398" s="287">
        <v>0.13352138468809099</v>
      </c>
      <c r="AA398" s="287">
        <v>0.13352138468809099</v>
      </c>
      <c r="AB398" s="287">
        <v>0.13352138468809099</v>
      </c>
      <c r="AC398" s="287">
        <v>0.13352138468809099</v>
      </c>
      <c r="AD398" s="287">
        <v>0.13352138468809099</v>
      </c>
      <c r="AE398" s="287">
        <v>0.13352138468809099</v>
      </c>
      <c r="AF398" s="287">
        <v>0.13352138468809099</v>
      </c>
      <c r="AG398" s="287">
        <v>0.13352138468809099</v>
      </c>
      <c r="AH398" s="287">
        <v>0.13352138468809099</v>
      </c>
      <c r="AI398" s="287">
        <v>0.13352138468809099</v>
      </c>
      <c r="AJ398" s="287">
        <v>0.13352138468809099</v>
      </c>
      <c r="AK398" s="287">
        <v>0.13352138468809099</v>
      </c>
      <c r="AL398" s="287">
        <v>0.13352138468809099</v>
      </c>
      <c r="AM398" s="287">
        <v>0.13352138468809099</v>
      </c>
      <c r="AN398" s="287">
        <v>0.13352138468809099</v>
      </c>
      <c r="AO398" s="287">
        <v>0.13352138468809099</v>
      </c>
      <c r="AP398" s="287">
        <v>0.13352138468809099</v>
      </c>
      <c r="AQ398" s="287">
        <v>0.13352138468809099</v>
      </c>
      <c r="AR398" s="287">
        <v>0.13352138468809099</v>
      </c>
      <c r="AS398" s="287">
        <v>0.13352138468809099</v>
      </c>
      <c r="AT398" s="287">
        <v>0.13352138468809099</v>
      </c>
      <c r="AU398" s="287">
        <v>0.13352138468809099</v>
      </c>
      <c r="AV398" s="287">
        <v>0.13352138468809099</v>
      </c>
      <c r="AW398" s="287">
        <v>0.13352138468809099</v>
      </c>
      <c r="AX398" s="287">
        <v>0.13352138468809099</v>
      </c>
      <c r="AY398" s="287">
        <v>0.13352138468809099</v>
      </c>
      <c r="AZ398" s="287">
        <v>0.13352138468809099</v>
      </c>
      <c r="BA398" s="287">
        <v>0.13352138468809099</v>
      </c>
      <c r="BB398" s="287">
        <v>0.13352138468809099</v>
      </c>
      <c r="BC398" s="287">
        <v>0.13352138468809099</v>
      </c>
      <c r="BD398" s="288">
        <v>0.13352138468809099</v>
      </c>
    </row>
    <row r="399" spans="1:56" s="3" customFormat="1" ht="18" customHeight="1" x14ac:dyDescent="0.2">
      <c r="H399" s="39">
        <v>37</v>
      </c>
      <c r="I399" s="286">
        <v>0.13352138468809099</v>
      </c>
      <c r="J399" s="287">
        <v>0.13352138468809099</v>
      </c>
      <c r="K399" s="287">
        <v>0.13352138468809099</v>
      </c>
      <c r="L399" s="287">
        <v>0.13352138468809099</v>
      </c>
      <c r="M399" s="287">
        <v>0.13352138468809099</v>
      </c>
      <c r="N399" s="287">
        <v>0.13352138468809099</v>
      </c>
      <c r="O399" s="287">
        <v>0.13352138468809099</v>
      </c>
      <c r="P399" s="287">
        <v>0.13352138468809099</v>
      </c>
      <c r="Q399" s="287">
        <v>0.13352138468809099</v>
      </c>
      <c r="R399" s="287">
        <v>0.13352138468809099</v>
      </c>
      <c r="S399" s="287">
        <v>0.13352138468809099</v>
      </c>
      <c r="T399" s="287">
        <v>0.13352138468809099</v>
      </c>
      <c r="U399" s="287">
        <v>0.13352138468809099</v>
      </c>
      <c r="V399" s="287">
        <v>0.13352138468809099</v>
      </c>
      <c r="W399" s="287">
        <v>0.13352138468809099</v>
      </c>
      <c r="X399" s="287">
        <v>0.13352138468809099</v>
      </c>
      <c r="Y399" s="287">
        <v>0.13352138468809099</v>
      </c>
      <c r="Z399" s="287">
        <v>0.13352138468809099</v>
      </c>
      <c r="AA399" s="287">
        <v>0.13352138468809099</v>
      </c>
      <c r="AB399" s="287">
        <v>0.13352138468809099</v>
      </c>
      <c r="AC399" s="287">
        <v>0.13352138468809099</v>
      </c>
      <c r="AD399" s="287">
        <v>0.13352138468809099</v>
      </c>
      <c r="AE399" s="287">
        <v>0.13352138468809099</v>
      </c>
      <c r="AF399" s="287">
        <v>0.13352138468809099</v>
      </c>
      <c r="AG399" s="287">
        <v>0.13352138468809099</v>
      </c>
      <c r="AH399" s="287">
        <v>0.13352138468809099</v>
      </c>
      <c r="AI399" s="287">
        <v>0.13352138468809099</v>
      </c>
      <c r="AJ399" s="287">
        <v>0.13352138468809099</v>
      </c>
      <c r="AK399" s="287">
        <v>0.13352138468809099</v>
      </c>
      <c r="AL399" s="287">
        <v>0.13352138468809099</v>
      </c>
      <c r="AM399" s="287">
        <v>0.13352138468809099</v>
      </c>
      <c r="AN399" s="287">
        <v>0.13352138468809099</v>
      </c>
      <c r="AO399" s="287">
        <v>0.13352138468809099</v>
      </c>
      <c r="AP399" s="287">
        <v>0.13352138468809099</v>
      </c>
      <c r="AQ399" s="287">
        <v>0.13352138468809099</v>
      </c>
      <c r="AR399" s="287">
        <v>0.13352138468809099</v>
      </c>
      <c r="AS399" s="287">
        <v>0.13352138468809099</v>
      </c>
      <c r="AT399" s="287">
        <v>0.13352138468809099</v>
      </c>
      <c r="AU399" s="287">
        <v>0.13352138468809099</v>
      </c>
      <c r="AV399" s="287">
        <v>0.13352138468809099</v>
      </c>
      <c r="AW399" s="287">
        <v>0.13352138468809099</v>
      </c>
      <c r="AX399" s="287">
        <v>0.13352138468809099</v>
      </c>
      <c r="AY399" s="287">
        <v>0.13352138468809099</v>
      </c>
      <c r="AZ399" s="287">
        <v>0.13352138468809099</v>
      </c>
      <c r="BA399" s="287">
        <v>0.13352138468809099</v>
      </c>
      <c r="BB399" s="287">
        <v>0.13352138468809099</v>
      </c>
      <c r="BC399" s="287">
        <v>0.13352138468809099</v>
      </c>
      <c r="BD399" s="288">
        <v>0.13352138468809099</v>
      </c>
    </row>
    <row r="400" spans="1:56" s="3" customFormat="1" ht="18" customHeight="1" x14ac:dyDescent="0.2">
      <c r="H400" s="39">
        <v>38</v>
      </c>
      <c r="I400" s="286">
        <v>0.13352138468809099</v>
      </c>
      <c r="J400" s="287">
        <v>0.13352138468809099</v>
      </c>
      <c r="K400" s="287">
        <v>0.13352138468809099</v>
      </c>
      <c r="L400" s="287">
        <v>0.13352138468809099</v>
      </c>
      <c r="M400" s="287">
        <v>0.13352138468809099</v>
      </c>
      <c r="N400" s="287">
        <v>0.13352138468809099</v>
      </c>
      <c r="O400" s="287">
        <v>0.13352138468809099</v>
      </c>
      <c r="P400" s="287">
        <v>0.13352138468809099</v>
      </c>
      <c r="Q400" s="287">
        <v>0.13352138468809099</v>
      </c>
      <c r="R400" s="287">
        <v>0.13352138468809099</v>
      </c>
      <c r="S400" s="287">
        <v>0.13352138468809099</v>
      </c>
      <c r="T400" s="287">
        <v>0.13352138468809099</v>
      </c>
      <c r="U400" s="287">
        <v>0.13352138468809099</v>
      </c>
      <c r="V400" s="287">
        <v>0.13352138468809099</v>
      </c>
      <c r="W400" s="287">
        <v>0.13352138468809099</v>
      </c>
      <c r="X400" s="287">
        <v>0.13352138468809099</v>
      </c>
      <c r="Y400" s="287">
        <v>0.13352138468809099</v>
      </c>
      <c r="Z400" s="287">
        <v>0.13352138468809099</v>
      </c>
      <c r="AA400" s="287">
        <v>0.13352138468809099</v>
      </c>
      <c r="AB400" s="287">
        <v>0.13352138468809099</v>
      </c>
      <c r="AC400" s="287">
        <v>0.13352138468809099</v>
      </c>
      <c r="AD400" s="287">
        <v>0.13352138468809099</v>
      </c>
      <c r="AE400" s="287">
        <v>0.13352138468809099</v>
      </c>
      <c r="AF400" s="287">
        <v>0.13352138468809099</v>
      </c>
      <c r="AG400" s="287">
        <v>0.13352138468809099</v>
      </c>
      <c r="AH400" s="287">
        <v>0.13352138468809099</v>
      </c>
      <c r="AI400" s="287">
        <v>0.13352138468809099</v>
      </c>
      <c r="AJ400" s="287">
        <v>0.13352138468809099</v>
      </c>
      <c r="AK400" s="287">
        <v>0.13352138468809099</v>
      </c>
      <c r="AL400" s="287">
        <v>0.13352138468809099</v>
      </c>
      <c r="AM400" s="287">
        <v>0.13352138468809099</v>
      </c>
      <c r="AN400" s="287">
        <v>0.13352138468809099</v>
      </c>
      <c r="AO400" s="287">
        <v>0.13352138468809099</v>
      </c>
      <c r="AP400" s="287">
        <v>0.13352138468809099</v>
      </c>
      <c r="AQ400" s="287">
        <v>0.13352138468809099</v>
      </c>
      <c r="AR400" s="287">
        <v>0.13352138468809099</v>
      </c>
      <c r="AS400" s="287">
        <v>0.13352138468809099</v>
      </c>
      <c r="AT400" s="287">
        <v>0.13352138468809099</v>
      </c>
      <c r="AU400" s="287">
        <v>0.13352138468809099</v>
      </c>
      <c r="AV400" s="287">
        <v>0.13352138468809099</v>
      </c>
      <c r="AW400" s="287">
        <v>0.13352138468809099</v>
      </c>
      <c r="AX400" s="287">
        <v>0.13352138468809099</v>
      </c>
      <c r="AY400" s="287">
        <v>0.13352138468809099</v>
      </c>
      <c r="AZ400" s="287">
        <v>0.13352138468809099</v>
      </c>
      <c r="BA400" s="287">
        <v>0.13352138468809099</v>
      </c>
      <c r="BB400" s="287">
        <v>0.13352138468809099</v>
      </c>
      <c r="BC400" s="287">
        <v>0.13352138468809099</v>
      </c>
      <c r="BD400" s="288">
        <v>0.13352138468809099</v>
      </c>
    </row>
    <row r="401" spans="1:56" s="3" customFormat="1" ht="18" customHeight="1" x14ac:dyDescent="0.2">
      <c r="H401" s="39">
        <v>39</v>
      </c>
      <c r="I401" s="286">
        <v>0.13352138468809099</v>
      </c>
      <c r="J401" s="287">
        <v>0.13352138468809099</v>
      </c>
      <c r="K401" s="287">
        <v>0.13352138468809099</v>
      </c>
      <c r="L401" s="287">
        <v>0.13352138468809099</v>
      </c>
      <c r="M401" s="287">
        <v>0.13352138468809099</v>
      </c>
      <c r="N401" s="287">
        <v>0.13352138468809099</v>
      </c>
      <c r="O401" s="287">
        <v>0.13352138468809099</v>
      </c>
      <c r="P401" s="287">
        <v>0.13352138468809099</v>
      </c>
      <c r="Q401" s="287">
        <v>0.13352138468809099</v>
      </c>
      <c r="R401" s="287">
        <v>0.13352138468809099</v>
      </c>
      <c r="S401" s="287">
        <v>0.13352138468809099</v>
      </c>
      <c r="T401" s="287">
        <v>0.13352138468809099</v>
      </c>
      <c r="U401" s="287">
        <v>0.13352138468809099</v>
      </c>
      <c r="V401" s="287">
        <v>0.13352138468809099</v>
      </c>
      <c r="W401" s="287">
        <v>0.13352138468809099</v>
      </c>
      <c r="X401" s="287">
        <v>0.13352138468809099</v>
      </c>
      <c r="Y401" s="287">
        <v>0.13352138468809099</v>
      </c>
      <c r="Z401" s="287">
        <v>0.13352138468809099</v>
      </c>
      <c r="AA401" s="287">
        <v>0.13352138468809099</v>
      </c>
      <c r="AB401" s="287">
        <v>0.13352138468809099</v>
      </c>
      <c r="AC401" s="287">
        <v>0.13352138468809099</v>
      </c>
      <c r="AD401" s="287">
        <v>0.13352138468809099</v>
      </c>
      <c r="AE401" s="287">
        <v>0.13352138468809099</v>
      </c>
      <c r="AF401" s="287">
        <v>0.13352138468809099</v>
      </c>
      <c r="AG401" s="287">
        <v>0.13352138468809099</v>
      </c>
      <c r="AH401" s="287">
        <v>0.13352138468809099</v>
      </c>
      <c r="AI401" s="287">
        <v>0.13352138468809099</v>
      </c>
      <c r="AJ401" s="287">
        <v>0.13352138468809099</v>
      </c>
      <c r="AK401" s="287">
        <v>0.13352138468809099</v>
      </c>
      <c r="AL401" s="287">
        <v>0.13352138468809099</v>
      </c>
      <c r="AM401" s="287">
        <v>0.13352138468809099</v>
      </c>
      <c r="AN401" s="287">
        <v>0.13352138468809099</v>
      </c>
      <c r="AO401" s="287">
        <v>0.13352138468809099</v>
      </c>
      <c r="AP401" s="287">
        <v>0.13352138468809099</v>
      </c>
      <c r="AQ401" s="287">
        <v>0.13352138468809099</v>
      </c>
      <c r="AR401" s="287">
        <v>0.13352138468809099</v>
      </c>
      <c r="AS401" s="287">
        <v>0.13352138468809099</v>
      </c>
      <c r="AT401" s="287">
        <v>0.13352138468809099</v>
      </c>
      <c r="AU401" s="287">
        <v>0.13352138468809099</v>
      </c>
      <c r="AV401" s="287">
        <v>0.13352138468809099</v>
      </c>
      <c r="AW401" s="287">
        <v>0.13352138468809099</v>
      </c>
      <c r="AX401" s="287">
        <v>0.13352138468809099</v>
      </c>
      <c r="AY401" s="287">
        <v>0.13352138468809099</v>
      </c>
      <c r="AZ401" s="287">
        <v>0.13352138468809099</v>
      </c>
      <c r="BA401" s="287">
        <v>0.13352138468809099</v>
      </c>
      <c r="BB401" s="287">
        <v>0.13352138468809099</v>
      </c>
      <c r="BC401" s="287">
        <v>0.13352138468809099</v>
      </c>
      <c r="BD401" s="288">
        <v>0.13352138468809099</v>
      </c>
    </row>
    <row r="402" spans="1:56" s="3" customFormat="1" ht="18" customHeight="1" x14ac:dyDescent="0.2">
      <c r="A402" s="162"/>
      <c r="B402" s="120"/>
      <c r="H402" s="39">
        <v>40</v>
      </c>
      <c r="I402" s="286">
        <v>0.13352138468809099</v>
      </c>
      <c r="J402" s="287">
        <v>0.13352138468809099</v>
      </c>
      <c r="K402" s="287">
        <v>0.13352138468809099</v>
      </c>
      <c r="L402" s="287">
        <v>0.13352138468809099</v>
      </c>
      <c r="M402" s="287">
        <v>0.13352138468809099</v>
      </c>
      <c r="N402" s="287">
        <v>0.13352138468809099</v>
      </c>
      <c r="O402" s="287">
        <v>0.13352138468809099</v>
      </c>
      <c r="P402" s="287">
        <v>0.13352138468809099</v>
      </c>
      <c r="Q402" s="287">
        <v>0.13352138468809099</v>
      </c>
      <c r="R402" s="287">
        <v>0.13352138468809099</v>
      </c>
      <c r="S402" s="287">
        <v>0.13352138468809099</v>
      </c>
      <c r="T402" s="287">
        <v>0.13352138468809099</v>
      </c>
      <c r="U402" s="287">
        <v>0.13352138468809099</v>
      </c>
      <c r="V402" s="287">
        <v>0.13352138468809099</v>
      </c>
      <c r="W402" s="287">
        <v>0.13352138468809099</v>
      </c>
      <c r="X402" s="287">
        <v>0.13352138468809099</v>
      </c>
      <c r="Y402" s="287">
        <v>0.13352138468809099</v>
      </c>
      <c r="Z402" s="287">
        <v>0.13352138468809099</v>
      </c>
      <c r="AA402" s="287">
        <v>0.13352138468809099</v>
      </c>
      <c r="AB402" s="287">
        <v>0.13352138468809099</v>
      </c>
      <c r="AC402" s="287">
        <v>0.13352138468809099</v>
      </c>
      <c r="AD402" s="287">
        <v>0.13352138468809099</v>
      </c>
      <c r="AE402" s="287">
        <v>0.13352138468809099</v>
      </c>
      <c r="AF402" s="287">
        <v>0.13352138468809099</v>
      </c>
      <c r="AG402" s="287">
        <v>0.13352138468809099</v>
      </c>
      <c r="AH402" s="287">
        <v>0.13352138468809099</v>
      </c>
      <c r="AI402" s="287">
        <v>0.13352138468809099</v>
      </c>
      <c r="AJ402" s="287">
        <v>0.13352138468809099</v>
      </c>
      <c r="AK402" s="287">
        <v>0.13352138468809099</v>
      </c>
      <c r="AL402" s="287">
        <v>0.13352138468809099</v>
      </c>
      <c r="AM402" s="287">
        <v>0.13352138468809099</v>
      </c>
      <c r="AN402" s="287">
        <v>0.13352138468809099</v>
      </c>
      <c r="AO402" s="287">
        <v>0.13352138468809099</v>
      </c>
      <c r="AP402" s="287">
        <v>0.13352138468809099</v>
      </c>
      <c r="AQ402" s="287">
        <v>0.13352138468809099</v>
      </c>
      <c r="AR402" s="287">
        <v>0.13352138468809099</v>
      </c>
      <c r="AS402" s="287">
        <v>0.13352138468809099</v>
      </c>
      <c r="AT402" s="287">
        <v>0.13352138468809099</v>
      </c>
      <c r="AU402" s="287">
        <v>0.13352138468809099</v>
      </c>
      <c r="AV402" s="287">
        <v>0.13352138468809099</v>
      </c>
      <c r="AW402" s="287">
        <v>0.13352138468809099</v>
      </c>
      <c r="AX402" s="287">
        <v>0.13352138468809099</v>
      </c>
      <c r="AY402" s="287">
        <v>0.13352138468809099</v>
      </c>
      <c r="AZ402" s="287">
        <v>0.13352138468809099</v>
      </c>
      <c r="BA402" s="287">
        <v>0.13352138468809099</v>
      </c>
      <c r="BB402" s="287">
        <v>0.13352138468809099</v>
      </c>
      <c r="BC402" s="287">
        <v>0.13352138468809099</v>
      </c>
      <c r="BD402" s="288">
        <v>0.13352138468809099</v>
      </c>
    </row>
    <row r="403" spans="1:56" s="3" customFormat="1" ht="18" customHeight="1" x14ac:dyDescent="0.2">
      <c r="A403" s="162"/>
      <c r="B403" s="120"/>
      <c r="H403" s="39">
        <v>41</v>
      </c>
      <c r="I403" s="286">
        <v>0.13352138468809099</v>
      </c>
      <c r="J403" s="287">
        <v>0.13352138468809099</v>
      </c>
      <c r="K403" s="287">
        <v>0.13352138468809099</v>
      </c>
      <c r="L403" s="287">
        <v>0.13352138468809099</v>
      </c>
      <c r="M403" s="287">
        <v>0.13352138468809099</v>
      </c>
      <c r="N403" s="287">
        <v>0.13352138468809099</v>
      </c>
      <c r="O403" s="287">
        <v>0.13352138468809099</v>
      </c>
      <c r="P403" s="287">
        <v>0.13352138468809099</v>
      </c>
      <c r="Q403" s="287">
        <v>0.13352138468809099</v>
      </c>
      <c r="R403" s="287">
        <v>0.13352138468809099</v>
      </c>
      <c r="S403" s="287">
        <v>0.13352138468809099</v>
      </c>
      <c r="T403" s="287">
        <v>0.13352138468809099</v>
      </c>
      <c r="U403" s="287">
        <v>0.13352138468809099</v>
      </c>
      <c r="V403" s="287">
        <v>0.13352138468809099</v>
      </c>
      <c r="W403" s="287">
        <v>0.13352138468809099</v>
      </c>
      <c r="X403" s="287">
        <v>0.13352138468809099</v>
      </c>
      <c r="Y403" s="287">
        <v>0.13352138468809099</v>
      </c>
      <c r="Z403" s="287">
        <v>0.13352138468809099</v>
      </c>
      <c r="AA403" s="287">
        <v>0.13352138468809099</v>
      </c>
      <c r="AB403" s="287">
        <v>0.13352138468809099</v>
      </c>
      <c r="AC403" s="287">
        <v>0.13352138468809099</v>
      </c>
      <c r="AD403" s="287">
        <v>0.13352138468809099</v>
      </c>
      <c r="AE403" s="287">
        <v>0.13352138468809099</v>
      </c>
      <c r="AF403" s="287">
        <v>0.13352138468809099</v>
      </c>
      <c r="AG403" s="287">
        <v>0.13352138468809099</v>
      </c>
      <c r="AH403" s="287">
        <v>0.13352138468809099</v>
      </c>
      <c r="AI403" s="287">
        <v>0.13352138468809099</v>
      </c>
      <c r="AJ403" s="287">
        <v>0.13352138468809099</v>
      </c>
      <c r="AK403" s="287">
        <v>0.13352138468809099</v>
      </c>
      <c r="AL403" s="287">
        <v>0.13352138468809099</v>
      </c>
      <c r="AM403" s="287">
        <v>0.13352138468809099</v>
      </c>
      <c r="AN403" s="287">
        <v>0.13352138468809099</v>
      </c>
      <c r="AO403" s="287">
        <v>0.13352138468809099</v>
      </c>
      <c r="AP403" s="287">
        <v>0.13352138468809099</v>
      </c>
      <c r="AQ403" s="287">
        <v>0.13352138468809099</v>
      </c>
      <c r="AR403" s="287">
        <v>0.13352138468809099</v>
      </c>
      <c r="AS403" s="287">
        <v>0.13352138468809099</v>
      </c>
      <c r="AT403" s="287">
        <v>0.13352138468809099</v>
      </c>
      <c r="AU403" s="287">
        <v>0.13352138468809099</v>
      </c>
      <c r="AV403" s="287">
        <v>0.13352138468809099</v>
      </c>
      <c r="AW403" s="287">
        <v>0.13352138468809099</v>
      </c>
      <c r="AX403" s="287">
        <v>0.13352138468809099</v>
      </c>
      <c r="AY403" s="287">
        <v>0.13352138468809099</v>
      </c>
      <c r="AZ403" s="287">
        <v>0.13352138468809099</v>
      </c>
      <c r="BA403" s="287">
        <v>0.13352138468809099</v>
      </c>
      <c r="BB403" s="287">
        <v>0.13352138468809099</v>
      </c>
      <c r="BC403" s="287">
        <v>0.13352138468809099</v>
      </c>
      <c r="BD403" s="288">
        <v>0.13352138468809099</v>
      </c>
    </row>
    <row r="404" spans="1:56" s="3" customFormat="1" ht="18" customHeight="1" x14ac:dyDescent="0.2">
      <c r="A404" s="162"/>
      <c r="B404" s="120"/>
      <c r="H404" s="39">
        <v>42</v>
      </c>
      <c r="I404" s="286">
        <v>0.13352138468809099</v>
      </c>
      <c r="J404" s="287">
        <v>0.13352138468809099</v>
      </c>
      <c r="K404" s="287">
        <v>0.13352138468809099</v>
      </c>
      <c r="L404" s="287">
        <v>0.13352138468809099</v>
      </c>
      <c r="M404" s="287">
        <v>0.13352138468809099</v>
      </c>
      <c r="N404" s="287">
        <v>0.13352138468809099</v>
      </c>
      <c r="O404" s="287">
        <v>0.13352138468809099</v>
      </c>
      <c r="P404" s="287">
        <v>0.13352138468809099</v>
      </c>
      <c r="Q404" s="287">
        <v>0.13352138468809099</v>
      </c>
      <c r="R404" s="287">
        <v>0.13352138468809099</v>
      </c>
      <c r="S404" s="287">
        <v>0.13352138468809099</v>
      </c>
      <c r="T404" s="287">
        <v>0.13352138468809099</v>
      </c>
      <c r="U404" s="287">
        <v>0.13352138468809099</v>
      </c>
      <c r="V404" s="287">
        <v>0.13352138468809099</v>
      </c>
      <c r="W404" s="287">
        <v>0.13352138468809099</v>
      </c>
      <c r="X404" s="287">
        <v>0.13352138468809099</v>
      </c>
      <c r="Y404" s="287">
        <v>0.13352138468809099</v>
      </c>
      <c r="Z404" s="287">
        <v>0.13352138468809099</v>
      </c>
      <c r="AA404" s="287">
        <v>0.13352138468809099</v>
      </c>
      <c r="AB404" s="287">
        <v>0.13352138468809099</v>
      </c>
      <c r="AC404" s="287">
        <v>0.13352138468809099</v>
      </c>
      <c r="AD404" s="287">
        <v>0.13352138468809099</v>
      </c>
      <c r="AE404" s="287">
        <v>0.13352138468809099</v>
      </c>
      <c r="AF404" s="287">
        <v>0.13352138468809099</v>
      </c>
      <c r="AG404" s="287">
        <v>0.13352138468809099</v>
      </c>
      <c r="AH404" s="287">
        <v>0.13352138468809099</v>
      </c>
      <c r="AI404" s="287">
        <v>0.13352138468809099</v>
      </c>
      <c r="AJ404" s="287">
        <v>0.13352138468809099</v>
      </c>
      <c r="AK404" s="287">
        <v>0.13352138468809099</v>
      </c>
      <c r="AL404" s="287">
        <v>0.13352138468809099</v>
      </c>
      <c r="AM404" s="287">
        <v>0.13352138468809099</v>
      </c>
      <c r="AN404" s="287">
        <v>0.13352138468809099</v>
      </c>
      <c r="AO404" s="287">
        <v>0.13352138468809099</v>
      </c>
      <c r="AP404" s="287">
        <v>0.13352138468809099</v>
      </c>
      <c r="AQ404" s="287">
        <v>0.13352138468809099</v>
      </c>
      <c r="AR404" s="287">
        <v>0.13352138468809099</v>
      </c>
      <c r="AS404" s="287">
        <v>0.13352138468809099</v>
      </c>
      <c r="AT404" s="287">
        <v>0.13352138468809099</v>
      </c>
      <c r="AU404" s="287">
        <v>0.13352138468809099</v>
      </c>
      <c r="AV404" s="287">
        <v>0.13352138468809099</v>
      </c>
      <c r="AW404" s="287">
        <v>0.13352138468809099</v>
      </c>
      <c r="AX404" s="287">
        <v>0.13352138468809099</v>
      </c>
      <c r="AY404" s="287">
        <v>0.13352138468809099</v>
      </c>
      <c r="AZ404" s="287">
        <v>0.13352138468809099</v>
      </c>
      <c r="BA404" s="287">
        <v>0.13352138468809099</v>
      </c>
      <c r="BB404" s="287">
        <v>0.13352138468809099</v>
      </c>
      <c r="BC404" s="287">
        <v>0.13352138468809099</v>
      </c>
      <c r="BD404" s="288">
        <v>0.13352138468809099</v>
      </c>
    </row>
    <row r="405" spans="1:56" s="3" customFormat="1" ht="18" customHeight="1" x14ac:dyDescent="0.2">
      <c r="A405" s="162"/>
      <c r="B405" s="120"/>
      <c r="H405" s="39">
        <v>43</v>
      </c>
      <c r="I405" s="286">
        <v>0.13352138468809099</v>
      </c>
      <c r="J405" s="287">
        <v>0.13352138468809099</v>
      </c>
      <c r="K405" s="287">
        <v>0.13352138468809099</v>
      </c>
      <c r="L405" s="287">
        <v>0.13352138468809099</v>
      </c>
      <c r="M405" s="287">
        <v>0.13352138468809099</v>
      </c>
      <c r="N405" s="287">
        <v>0.13352138468809099</v>
      </c>
      <c r="O405" s="287">
        <v>0.13352138468809099</v>
      </c>
      <c r="P405" s="287">
        <v>0.13352138468809099</v>
      </c>
      <c r="Q405" s="287">
        <v>0.13352138468809099</v>
      </c>
      <c r="R405" s="287">
        <v>0.13352138468809099</v>
      </c>
      <c r="S405" s="287">
        <v>0.13352138468809099</v>
      </c>
      <c r="T405" s="287">
        <v>0.13352138468809099</v>
      </c>
      <c r="U405" s="287">
        <v>0.13352138468809099</v>
      </c>
      <c r="V405" s="287">
        <v>0.13352138468809099</v>
      </c>
      <c r="W405" s="287">
        <v>0.13352138468809099</v>
      </c>
      <c r="X405" s="287">
        <v>0.13352138468809099</v>
      </c>
      <c r="Y405" s="287">
        <v>0.13352138468809099</v>
      </c>
      <c r="Z405" s="287">
        <v>0.13352138468809099</v>
      </c>
      <c r="AA405" s="287">
        <v>0.13352138468809099</v>
      </c>
      <c r="AB405" s="287">
        <v>0.13352138468809099</v>
      </c>
      <c r="AC405" s="287">
        <v>0.13352138468809099</v>
      </c>
      <c r="AD405" s="287">
        <v>0.13352138468809099</v>
      </c>
      <c r="AE405" s="287">
        <v>0.13352138468809099</v>
      </c>
      <c r="AF405" s="287">
        <v>0.13352138468809099</v>
      </c>
      <c r="AG405" s="287">
        <v>0.13352138468809099</v>
      </c>
      <c r="AH405" s="287">
        <v>0.13352138468809099</v>
      </c>
      <c r="AI405" s="287">
        <v>0.13352138468809099</v>
      </c>
      <c r="AJ405" s="287">
        <v>0.13352138468809099</v>
      </c>
      <c r="AK405" s="287">
        <v>0.13352138468809099</v>
      </c>
      <c r="AL405" s="287">
        <v>0.13352138468809099</v>
      </c>
      <c r="AM405" s="287">
        <v>0.13352138468809099</v>
      </c>
      <c r="AN405" s="287">
        <v>0.13352138468809099</v>
      </c>
      <c r="AO405" s="287">
        <v>0.13352138468809099</v>
      </c>
      <c r="AP405" s="287">
        <v>0.13352138468809099</v>
      </c>
      <c r="AQ405" s="287">
        <v>0.13352138468809099</v>
      </c>
      <c r="AR405" s="287">
        <v>0.13352138468809099</v>
      </c>
      <c r="AS405" s="287">
        <v>0.13352138468809099</v>
      </c>
      <c r="AT405" s="287">
        <v>0.13352138468809099</v>
      </c>
      <c r="AU405" s="287">
        <v>0.13352138468809099</v>
      </c>
      <c r="AV405" s="287">
        <v>0.13352138468809099</v>
      </c>
      <c r="AW405" s="287">
        <v>0.13352138468809099</v>
      </c>
      <c r="AX405" s="287">
        <v>0.13352138468809099</v>
      </c>
      <c r="AY405" s="287">
        <v>0.13352138468809099</v>
      </c>
      <c r="AZ405" s="287">
        <v>0.13352138468809099</v>
      </c>
      <c r="BA405" s="287">
        <v>0.13352138468809099</v>
      </c>
      <c r="BB405" s="287">
        <v>0.13352138468809099</v>
      </c>
      <c r="BC405" s="287">
        <v>0.13352138468809099</v>
      </c>
      <c r="BD405" s="288">
        <v>0.13352138468809099</v>
      </c>
    </row>
    <row r="406" spans="1:56" s="3" customFormat="1" ht="18" customHeight="1" x14ac:dyDescent="0.2">
      <c r="A406" s="162"/>
      <c r="B406" s="120"/>
      <c r="H406" s="39">
        <v>44</v>
      </c>
      <c r="I406" s="286">
        <v>0.13352138468809099</v>
      </c>
      <c r="J406" s="287">
        <v>0.13352138468809099</v>
      </c>
      <c r="K406" s="287">
        <v>0.13352138468809099</v>
      </c>
      <c r="L406" s="287">
        <v>0.13352138468809099</v>
      </c>
      <c r="M406" s="287">
        <v>0.13352138468809099</v>
      </c>
      <c r="N406" s="287">
        <v>0.13352138468809099</v>
      </c>
      <c r="O406" s="287">
        <v>0.13352138468809099</v>
      </c>
      <c r="P406" s="287">
        <v>0.13352138468809099</v>
      </c>
      <c r="Q406" s="287">
        <v>0.13352138468809099</v>
      </c>
      <c r="R406" s="287">
        <v>0.13352138468809099</v>
      </c>
      <c r="S406" s="287">
        <v>0.13352138468809099</v>
      </c>
      <c r="T406" s="287">
        <v>0.13352138468809099</v>
      </c>
      <c r="U406" s="287">
        <v>0.13352138468809099</v>
      </c>
      <c r="V406" s="287">
        <v>0.13352138468809099</v>
      </c>
      <c r="W406" s="287">
        <v>0.13352138468809099</v>
      </c>
      <c r="X406" s="287">
        <v>0.13352138468809099</v>
      </c>
      <c r="Y406" s="287">
        <v>0.13352138468809099</v>
      </c>
      <c r="Z406" s="287">
        <v>0.13352138468809099</v>
      </c>
      <c r="AA406" s="287">
        <v>0.13352138468809099</v>
      </c>
      <c r="AB406" s="287">
        <v>0.13352138468809099</v>
      </c>
      <c r="AC406" s="287">
        <v>0.13352138468809099</v>
      </c>
      <c r="AD406" s="287">
        <v>0.13352138468809099</v>
      </c>
      <c r="AE406" s="287">
        <v>0.13352138468809099</v>
      </c>
      <c r="AF406" s="287">
        <v>0.13352138468809099</v>
      </c>
      <c r="AG406" s="287">
        <v>0.13352138468809099</v>
      </c>
      <c r="AH406" s="287">
        <v>0.13352138468809099</v>
      </c>
      <c r="AI406" s="287">
        <v>0.13352138468809099</v>
      </c>
      <c r="AJ406" s="287">
        <v>0.13352138468809099</v>
      </c>
      <c r="AK406" s="287">
        <v>0.13352138468809099</v>
      </c>
      <c r="AL406" s="287">
        <v>0.13352138468809099</v>
      </c>
      <c r="AM406" s="287">
        <v>0.13352138468809099</v>
      </c>
      <c r="AN406" s="287">
        <v>0.13352138468809099</v>
      </c>
      <c r="AO406" s="287">
        <v>0.13352138468809099</v>
      </c>
      <c r="AP406" s="287">
        <v>0.13352138468809099</v>
      </c>
      <c r="AQ406" s="287">
        <v>0.13352138468809099</v>
      </c>
      <c r="AR406" s="287">
        <v>0.13352138468809099</v>
      </c>
      <c r="AS406" s="287">
        <v>0.13352138468809099</v>
      </c>
      <c r="AT406" s="287">
        <v>0.13352138468809099</v>
      </c>
      <c r="AU406" s="287">
        <v>0.13352138468809099</v>
      </c>
      <c r="AV406" s="287">
        <v>0.13352138468809099</v>
      </c>
      <c r="AW406" s="287">
        <v>0.13352138468809099</v>
      </c>
      <c r="AX406" s="287">
        <v>0.13352138468809099</v>
      </c>
      <c r="AY406" s="287">
        <v>0.13352138468809099</v>
      </c>
      <c r="AZ406" s="287">
        <v>0.13352138468809099</v>
      </c>
      <c r="BA406" s="287">
        <v>0.13352138468809099</v>
      </c>
      <c r="BB406" s="287">
        <v>0.13352138468809099</v>
      </c>
      <c r="BC406" s="287">
        <v>0.13352138468809099</v>
      </c>
      <c r="BD406" s="288">
        <v>0.13352138468809099</v>
      </c>
    </row>
    <row r="407" spans="1:56" s="3" customFormat="1" ht="18" customHeight="1" x14ac:dyDescent="0.2">
      <c r="A407" s="162"/>
      <c r="B407" s="120"/>
      <c r="H407" s="39">
        <v>45</v>
      </c>
      <c r="I407" s="286">
        <v>0.13352138468809099</v>
      </c>
      <c r="J407" s="287">
        <v>0.13352138468809099</v>
      </c>
      <c r="K407" s="287">
        <v>0.13352138468809099</v>
      </c>
      <c r="L407" s="287">
        <v>0.13352138468809099</v>
      </c>
      <c r="M407" s="287">
        <v>0.13352138468809099</v>
      </c>
      <c r="N407" s="287">
        <v>0.13352138468809099</v>
      </c>
      <c r="O407" s="287">
        <v>0.13352138468809099</v>
      </c>
      <c r="P407" s="287">
        <v>0.13352138468809099</v>
      </c>
      <c r="Q407" s="287">
        <v>0.13352138468809099</v>
      </c>
      <c r="R407" s="287">
        <v>0.13352138468809099</v>
      </c>
      <c r="S407" s="287">
        <v>0.13352138468809099</v>
      </c>
      <c r="T407" s="287">
        <v>0.13352138468809099</v>
      </c>
      <c r="U407" s="287">
        <v>0.13352138468809099</v>
      </c>
      <c r="V407" s="287">
        <v>0.13352138468809099</v>
      </c>
      <c r="W407" s="287">
        <v>0.13352138468809099</v>
      </c>
      <c r="X407" s="287">
        <v>0.13352138468809099</v>
      </c>
      <c r="Y407" s="287">
        <v>0.13352138468809099</v>
      </c>
      <c r="Z407" s="287">
        <v>0.13352138468809099</v>
      </c>
      <c r="AA407" s="287">
        <v>0.13352138468809099</v>
      </c>
      <c r="AB407" s="287">
        <v>0.13352138468809099</v>
      </c>
      <c r="AC407" s="287">
        <v>0.13352138468809099</v>
      </c>
      <c r="AD407" s="287">
        <v>0.13352138468809099</v>
      </c>
      <c r="AE407" s="287">
        <v>0.13352138468809099</v>
      </c>
      <c r="AF407" s="287">
        <v>0.13352138468809099</v>
      </c>
      <c r="AG407" s="287">
        <v>0.13352138468809099</v>
      </c>
      <c r="AH407" s="287">
        <v>0.13352138468809099</v>
      </c>
      <c r="AI407" s="287">
        <v>0.13352138468809099</v>
      </c>
      <c r="AJ407" s="287">
        <v>0.13352138468809099</v>
      </c>
      <c r="AK407" s="287">
        <v>0.13352138468809099</v>
      </c>
      <c r="AL407" s="287">
        <v>0.13352138468809099</v>
      </c>
      <c r="AM407" s="287">
        <v>0.13352138468809099</v>
      </c>
      <c r="AN407" s="287">
        <v>0.13352138468809099</v>
      </c>
      <c r="AO407" s="287">
        <v>0.13352138468809099</v>
      </c>
      <c r="AP407" s="287">
        <v>0.13352138468809099</v>
      </c>
      <c r="AQ407" s="287">
        <v>0.13352138468809099</v>
      </c>
      <c r="AR407" s="287">
        <v>0.13352138468809099</v>
      </c>
      <c r="AS407" s="287">
        <v>0.13352138468809099</v>
      </c>
      <c r="AT407" s="287">
        <v>0.13352138468809099</v>
      </c>
      <c r="AU407" s="287">
        <v>0.13352138468809099</v>
      </c>
      <c r="AV407" s="287">
        <v>0.13352138468809099</v>
      </c>
      <c r="AW407" s="287">
        <v>0.13352138468809099</v>
      </c>
      <c r="AX407" s="287">
        <v>0.13352138468809099</v>
      </c>
      <c r="AY407" s="287">
        <v>0.13352138468809099</v>
      </c>
      <c r="AZ407" s="287">
        <v>0.13352138468809099</v>
      </c>
      <c r="BA407" s="287">
        <v>0.13352138468809099</v>
      </c>
      <c r="BB407" s="287">
        <v>0.13352138468809099</v>
      </c>
      <c r="BC407" s="287">
        <v>0.13352138468809099</v>
      </c>
      <c r="BD407" s="288">
        <v>0.13352138468809099</v>
      </c>
    </row>
    <row r="408" spans="1:56" s="3" customFormat="1" ht="18" customHeight="1" x14ac:dyDescent="0.2">
      <c r="A408" s="162"/>
      <c r="B408" s="120"/>
      <c r="H408" s="39">
        <v>46</v>
      </c>
      <c r="I408" s="286">
        <v>0.13352138468809099</v>
      </c>
      <c r="J408" s="287">
        <v>0.13352138468809099</v>
      </c>
      <c r="K408" s="287">
        <v>0.13352138468809099</v>
      </c>
      <c r="L408" s="287">
        <v>0.13352138468809099</v>
      </c>
      <c r="M408" s="287">
        <v>0.13352138468809099</v>
      </c>
      <c r="N408" s="287">
        <v>0.13352138468809099</v>
      </c>
      <c r="O408" s="287">
        <v>0.13352138468809099</v>
      </c>
      <c r="P408" s="287">
        <v>0.13352138468809099</v>
      </c>
      <c r="Q408" s="287">
        <v>0.13352138468809099</v>
      </c>
      <c r="R408" s="287">
        <v>0.13352138468809099</v>
      </c>
      <c r="S408" s="287">
        <v>0.13352138468809099</v>
      </c>
      <c r="T408" s="287">
        <v>0.13352138468809099</v>
      </c>
      <c r="U408" s="287">
        <v>0.13352138468809099</v>
      </c>
      <c r="V408" s="287">
        <v>0.13352138468809099</v>
      </c>
      <c r="W408" s="287">
        <v>0.13352138468809099</v>
      </c>
      <c r="X408" s="287">
        <v>0.13352138468809099</v>
      </c>
      <c r="Y408" s="287">
        <v>0.13352138468809099</v>
      </c>
      <c r="Z408" s="287">
        <v>0.13352138468809099</v>
      </c>
      <c r="AA408" s="287">
        <v>0.13352138468809099</v>
      </c>
      <c r="AB408" s="287">
        <v>0.13352138468809099</v>
      </c>
      <c r="AC408" s="287">
        <v>0.13352138468809099</v>
      </c>
      <c r="AD408" s="287">
        <v>0.13352138468809099</v>
      </c>
      <c r="AE408" s="287">
        <v>0.13352138468809099</v>
      </c>
      <c r="AF408" s="287">
        <v>0.13352138468809099</v>
      </c>
      <c r="AG408" s="287">
        <v>0.13352138468809099</v>
      </c>
      <c r="AH408" s="287">
        <v>0.13352138468809099</v>
      </c>
      <c r="AI408" s="287">
        <v>0.13352138468809099</v>
      </c>
      <c r="AJ408" s="287">
        <v>0.13352138468809099</v>
      </c>
      <c r="AK408" s="287">
        <v>0.13352138468809099</v>
      </c>
      <c r="AL408" s="287">
        <v>0.13352138468809099</v>
      </c>
      <c r="AM408" s="287">
        <v>0.13352138468809099</v>
      </c>
      <c r="AN408" s="287">
        <v>0.13352138468809099</v>
      </c>
      <c r="AO408" s="287">
        <v>0.13352138468809099</v>
      </c>
      <c r="AP408" s="287">
        <v>0.13352138468809099</v>
      </c>
      <c r="AQ408" s="287">
        <v>0.13352138468809099</v>
      </c>
      <c r="AR408" s="287">
        <v>0.13352138468809099</v>
      </c>
      <c r="AS408" s="287">
        <v>0.13352138468809099</v>
      </c>
      <c r="AT408" s="287">
        <v>0.13352138468809099</v>
      </c>
      <c r="AU408" s="287">
        <v>0.13352138468809099</v>
      </c>
      <c r="AV408" s="287">
        <v>0.13352138468809099</v>
      </c>
      <c r="AW408" s="287">
        <v>0.13352138468809099</v>
      </c>
      <c r="AX408" s="287">
        <v>0.13352138468809099</v>
      </c>
      <c r="AY408" s="287">
        <v>0.13352138468809099</v>
      </c>
      <c r="AZ408" s="287">
        <v>0.13352138468809099</v>
      </c>
      <c r="BA408" s="287">
        <v>0.13352138468809099</v>
      </c>
      <c r="BB408" s="287">
        <v>0.13352138468809099</v>
      </c>
      <c r="BC408" s="287">
        <v>0.13352138468809099</v>
      </c>
      <c r="BD408" s="288">
        <v>0.13352138468809099</v>
      </c>
    </row>
    <row r="409" spans="1:56" s="3" customFormat="1" ht="18" customHeight="1" x14ac:dyDescent="0.2">
      <c r="A409" s="162"/>
      <c r="B409" s="120"/>
      <c r="H409" s="39">
        <v>47</v>
      </c>
      <c r="I409" s="286">
        <v>0.13352138468809099</v>
      </c>
      <c r="J409" s="287">
        <v>0.13352138468809099</v>
      </c>
      <c r="K409" s="287">
        <v>0.13352138468809099</v>
      </c>
      <c r="L409" s="287">
        <v>0.13352138468809099</v>
      </c>
      <c r="M409" s="287">
        <v>0.13352138468809099</v>
      </c>
      <c r="N409" s="287">
        <v>0.13352138468809099</v>
      </c>
      <c r="O409" s="287">
        <v>0.13352138468809099</v>
      </c>
      <c r="P409" s="287">
        <v>0.13352138468809099</v>
      </c>
      <c r="Q409" s="287">
        <v>0.13352138468809099</v>
      </c>
      <c r="R409" s="287">
        <v>0.13352138468809099</v>
      </c>
      <c r="S409" s="287">
        <v>0.13352138468809099</v>
      </c>
      <c r="T409" s="287">
        <v>0.13352138468809099</v>
      </c>
      <c r="U409" s="287">
        <v>0.13352138468809099</v>
      </c>
      <c r="V409" s="287">
        <v>0.13352138468809099</v>
      </c>
      <c r="W409" s="287">
        <v>0.13352138468809099</v>
      </c>
      <c r="X409" s="287">
        <v>0.13352138468809099</v>
      </c>
      <c r="Y409" s="287">
        <v>0.13352138468809099</v>
      </c>
      <c r="Z409" s="287">
        <v>0.13352138468809099</v>
      </c>
      <c r="AA409" s="287">
        <v>0.13352138468809099</v>
      </c>
      <c r="AB409" s="287">
        <v>0.13352138468809099</v>
      </c>
      <c r="AC409" s="287">
        <v>0.13352138468809099</v>
      </c>
      <c r="AD409" s="287">
        <v>0.13352138468809099</v>
      </c>
      <c r="AE409" s="287">
        <v>0.13352138468809099</v>
      </c>
      <c r="AF409" s="287">
        <v>0.13352138468809099</v>
      </c>
      <c r="AG409" s="287">
        <v>0.13352138468809099</v>
      </c>
      <c r="AH409" s="287">
        <v>0.13352138468809099</v>
      </c>
      <c r="AI409" s="287">
        <v>0.13352138468809099</v>
      </c>
      <c r="AJ409" s="287">
        <v>0.13352138468809099</v>
      </c>
      <c r="AK409" s="287">
        <v>0.13352138468809099</v>
      </c>
      <c r="AL409" s="287">
        <v>0.13352138468809099</v>
      </c>
      <c r="AM409" s="287">
        <v>0.13352138468809099</v>
      </c>
      <c r="AN409" s="287">
        <v>0.13352138468809099</v>
      </c>
      <c r="AO409" s="287">
        <v>0.13352138468809099</v>
      </c>
      <c r="AP409" s="287">
        <v>0.13352138468809099</v>
      </c>
      <c r="AQ409" s="287">
        <v>0.13352138468809099</v>
      </c>
      <c r="AR409" s="287">
        <v>0.13352138468809099</v>
      </c>
      <c r="AS409" s="287">
        <v>0.13352138468809099</v>
      </c>
      <c r="AT409" s="287">
        <v>0.13352138468809099</v>
      </c>
      <c r="AU409" s="287">
        <v>0.13352138468809099</v>
      </c>
      <c r="AV409" s="287">
        <v>0.13352138468809099</v>
      </c>
      <c r="AW409" s="287">
        <v>0.13352138468809099</v>
      </c>
      <c r="AX409" s="287">
        <v>0.13352138468809099</v>
      </c>
      <c r="AY409" s="287">
        <v>0.13352138468809099</v>
      </c>
      <c r="AZ409" s="287">
        <v>0.13352138468809099</v>
      </c>
      <c r="BA409" s="287">
        <v>0.13352138468809099</v>
      </c>
      <c r="BB409" s="287">
        <v>0.13352138468809099</v>
      </c>
      <c r="BC409" s="287">
        <v>0.13352138468809099</v>
      </c>
      <c r="BD409" s="288">
        <v>0.13352138468809099</v>
      </c>
    </row>
    <row r="410" spans="1:56" s="3" customFormat="1" ht="18.5" customHeight="1" x14ac:dyDescent="0.2">
      <c r="A410" s="162"/>
      <c r="B410" s="120"/>
      <c r="H410" s="56">
        <v>48</v>
      </c>
      <c r="I410" s="289">
        <v>0.13352138468809099</v>
      </c>
      <c r="J410" s="290">
        <v>0.13352138468809099</v>
      </c>
      <c r="K410" s="290">
        <v>0.13352138468809099</v>
      </c>
      <c r="L410" s="290">
        <v>0.13352138468809099</v>
      </c>
      <c r="M410" s="290">
        <v>0.13352138468809099</v>
      </c>
      <c r="N410" s="290">
        <v>0.13352138468809099</v>
      </c>
      <c r="O410" s="290">
        <v>0.13352138468809099</v>
      </c>
      <c r="P410" s="290">
        <v>0.13352138468809099</v>
      </c>
      <c r="Q410" s="290">
        <v>0.13352138468809099</v>
      </c>
      <c r="R410" s="290">
        <v>0.13352138468809099</v>
      </c>
      <c r="S410" s="290">
        <v>0.13352138468809099</v>
      </c>
      <c r="T410" s="290">
        <v>0.13352138468809099</v>
      </c>
      <c r="U410" s="290">
        <v>0.13352138468809099</v>
      </c>
      <c r="V410" s="290">
        <v>0.13352138468809099</v>
      </c>
      <c r="W410" s="290">
        <v>0.13352138468809099</v>
      </c>
      <c r="X410" s="290">
        <v>0.13352138468809099</v>
      </c>
      <c r="Y410" s="290">
        <v>0.13352138468809099</v>
      </c>
      <c r="Z410" s="290">
        <v>0.13352138468809099</v>
      </c>
      <c r="AA410" s="290">
        <v>0.13352138468809099</v>
      </c>
      <c r="AB410" s="290">
        <v>0.13352138468809099</v>
      </c>
      <c r="AC410" s="290">
        <v>0.13352138468809099</v>
      </c>
      <c r="AD410" s="290">
        <v>0.13352138468809099</v>
      </c>
      <c r="AE410" s="290">
        <v>0.13352138468809099</v>
      </c>
      <c r="AF410" s="290">
        <v>0.13352138468809099</v>
      </c>
      <c r="AG410" s="290">
        <v>0.13352138468809099</v>
      </c>
      <c r="AH410" s="290">
        <v>0.13352138468809099</v>
      </c>
      <c r="AI410" s="290">
        <v>0.13352138468809099</v>
      </c>
      <c r="AJ410" s="290">
        <v>0.13352138468809099</v>
      </c>
      <c r="AK410" s="290">
        <v>0.13352138468809099</v>
      </c>
      <c r="AL410" s="290">
        <v>0.13352138468809099</v>
      </c>
      <c r="AM410" s="290">
        <v>0.13352138468809099</v>
      </c>
      <c r="AN410" s="290">
        <v>0.13352138468809099</v>
      </c>
      <c r="AO410" s="290">
        <v>0.13352138468809099</v>
      </c>
      <c r="AP410" s="290">
        <v>0.13352138468809099</v>
      </c>
      <c r="AQ410" s="290">
        <v>0.13352138468809099</v>
      </c>
      <c r="AR410" s="290">
        <v>0.13352138468809099</v>
      </c>
      <c r="AS410" s="290">
        <v>0.13352138468809099</v>
      </c>
      <c r="AT410" s="290">
        <v>0.13352138468809099</v>
      </c>
      <c r="AU410" s="290">
        <v>0.13352138468809099</v>
      </c>
      <c r="AV410" s="290">
        <v>0.13352138468809099</v>
      </c>
      <c r="AW410" s="290">
        <v>0.13352138468809099</v>
      </c>
      <c r="AX410" s="290">
        <v>0.13352138468809099</v>
      </c>
      <c r="AY410" s="290">
        <v>0.13352138468809099</v>
      </c>
      <c r="AZ410" s="290">
        <v>0.13352138468809099</v>
      </c>
      <c r="BA410" s="290">
        <v>0.13352138468809099</v>
      </c>
      <c r="BB410" s="290">
        <v>0.13352138468809099</v>
      </c>
      <c r="BC410" s="290">
        <v>0.13352138468809099</v>
      </c>
      <c r="BD410" s="291">
        <v>0.13352138468809099</v>
      </c>
    </row>
    <row r="411" spans="1:56" s="3" customFormat="1" ht="16.5" customHeight="1" x14ac:dyDescent="0.15">
      <c r="A411" s="162"/>
      <c r="B411" s="120"/>
    </row>
    <row r="412" spans="1:56" s="3" customFormat="1" ht="16" customHeight="1" x14ac:dyDescent="0.15">
      <c r="A412" s="162"/>
      <c r="B412" s="120"/>
    </row>
    <row r="413" spans="1:56" s="3" customFormat="1" ht="16" customHeight="1" x14ac:dyDescent="0.15">
      <c r="A413" s="162"/>
      <c r="B413" s="120"/>
    </row>
    <row r="414" spans="1:56" s="3" customFormat="1" ht="16" customHeight="1" x14ac:dyDescent="0.15">
      <c r="A414" s="162"/>
      <c r="B414" s="120"/>
    </row>
    <row r="415" spans="1:56" s="3" customFormat="1" ht="16" customHeight="1" x14ac:dyDescent="0.15">
      <c r="A415" s="162"/>
      <c r="B415" s="120"/>
    </row>
    <row r="416" spans="1:56" s="3" customFormat="1" ht="16" customHeight="1" x14ac:dyDescent="0.15">
      <c r="A416" s="162"/>
      <c r="B416" s="120"/>
    </row>
    <row r="417" spans="1:56" s="3" customFormat="1" ht="13.75" customHeight="1" x14ac:dyDescent="0.15">
      <c r="A417" s="367"/>
      <c r="B417" s="367"/>
      <c r="C417" s="367"/>
      <c r="D417" s="367"/>
      <c r="E417" s="367"/>
      <c r="F417" s="367"/>
      <c r="G417" s="367"/>
      <c r="H417" s="367"/>
      <c r="I417" s="367"/>
      <c r="J417" s="367"/>
      <c r="K417" s="367"/>
      <c r="L417" s="367"/>
      <c r="M417" s="367"/>
      <c r="N417" s="367"/>
      <c r="O417" s="367"/>
      <c r="P417" s="367"/>
      <c r="Q417" s="367"/>
      <c r="R417" s="367"/>
      <c r="S417" s="367"/>
      <c r="T417" s="367"/>
      <c r="U417" s="367"/>
      <c r="V417" s="367"/>
      <c r="W417" s="367"/>
      <c r="X417" s="367"/>
      <c r="Y417" s="367"/>
      <c r="Z417" s="367"/>
      <c r="AA417" s="367"/>
      <c r="AB417" s="367"/>
      <c r="AC417" s="367"/>
      <c r="AD417" s="367"/>
      <c r="AE417" s="367"/>
      <c r="AF417" s="367"/>
      <c r="AG417" s="367"/>
      <c r="AH417" s="367"/>
      <c r="AI417" s="367"/>
      <c r="AJ417" s="367"/>
      <c r="AK417" s="367"/>
      <c r="AL417" s="367"/>
      <c r="AM417" s="367"/>
      <c r="AN417" s="367"/>
      <c r="AO417" s="367"/>
      <c r="AP417" s="367"/>
      <c r="AQ417" s="367"/>
      <c r="AR417" s="367"/>
      <c r="AS417" s="367"/>
      <c r="AT417" s="367"/>
      <c r="AU417" s="367"/>
      <c r="AV417" s="367"/>
    </row>
    <row r="418" spans="1:56" s="3" customFormat="1" ht="13.75" customHeight="1" x14ac:dyDescent="0.15">
      <c r="A418" s="367"/>
      <c r="B418" s="367"/>
      <c r="C418" s="367"/>
      <c r="D418" s="367"/>
      <c r="E418" s="367"/>
      <c r="F418" s="367"/>
      <c r="G418" s="367"/>
      <c r="H418" s="367"/>
      <c r="I418" s="367"/>
      <c r="J418" s="367"/>
      <c r="K418" s="367"/>
      <c r="L418" s="367"/>
      <c r="M418" s="367"/>
      <c r="N418" s="367"/>
      <c r="O418" s="367"/>
      <c r="P418" s="367"/>
      <c r="Q418" s="367"/>
      <c r="R418" s="367"/>
      <c r="S418" s="367"/>
      <c r="T418" s="367"/>
      <c r="U418" s="367"/>
      <c r="V418" s="367"/>
      <c r="W418" s="367"/>
      <c r="X418" s="367"/>
      <c r="Y418" s="367"/>
      <c r="Z418" s="367"/>
      <c r="AA418" s="367"/>
      <c r="AB418" s="367"/>
      <c r="AC418" s="367"/>
      <c r="AD418" s="367"/>
      <c r="AE418" s="367"/>
      <c r="AF418" s="367"/>
      <c r="AG418" s="367"/>
      <c r="AH418" s="367"/>
      <c r="AI418" s="367"/>
      <c r="AJ418" s="367"/>
      <c r="AK418" s="367"/>
      <c r="AL418" s="367"/>
      <c r="AM418" s="367"/>
      <c r="AN418" s="367"/>
      <c r="AO418" s="367"/>
      <c r="AP418" s="367"/>
      <c r="AQ418" s="367"/>
      <c r="AR418" s="367"/>
      <c r="AS418" s="367"/>
      <c r="AT418" s="367"/>
      <c r="AU418" s="367"/>
      <c r="AV418" s="367"/>
    </row>
    <row r="419" spans="1:56" s="3" customFormat="1" ht="16" customHeight="1" x14ac:dyDescent="0.15">
      <c r="A419" s="47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</row>
    <row r="420" spans="1:56" s="3" customFormat="1" ht="16" customHeight="1" x14ac:dyDescent="0.15">
      <c r="A420" s="162"/>
      <c r="B420" s="120"/>
      <c r="C420" s="162"/>
      <c r="D420" s="120"/>
    </row>
    <row r="421" spans="1:56" s="3" customFormat="1" ht="16" customHeight="1" x14ac:dyDescent="0.15">
      <c r="A421" s="162"/>
      <c r="B421" s="120"/>
      <c r="C421" s="162"/>
      <c r="D421" s="120"/>
    </row>
    <row r="422" spans="1:56" s="3" customFormat="1" ht="16.5" customHeight="1" x14ac:dyDescent="0.15">
      <c r="A422" s="162"/>
      <c r="B422" s="120"/>
      <c r="C422" s="162"/>
      <c r="D422" s="120"/>
    </row>
    <row r="423" spans="1:56" s="3" customFormat="1" ht="19" customHeight="1" x14ac:dyDescent="0.2">
      <c r="A423" s="162"/>
      <c r="B423" s="120"/>
      <c r="C423" s="162"/>
      <c r="D423" s="120"/>
      <c r="H423" s="6" t="s">
        <v>238</v>
      </c>
      <c r="I423" s="101" t="s">
        <v>239</v>
      </c>
    </row>
    <row r="424" spans="1:56" s="3" customFormat="1" ht="19" customHeight="1" x14ac:dyDescent="0.2">
      <c r="A424" s="162"/>
      <c r="B424" s="120"/>
      <c r="C424" s="162"/>
      <c r="D424" s="120"/>
      <c r="H424" s="8" t="s">
        <v>240</v>
      </c>
      <c r="I424" s="9">
        <v>1</v>
      </c>
      <c r="J424" s="10">
        <v>2</v>
      </c>
      <c r="K424" s="33">
        <v>3</v>
      </c>
      <c r="L424" s="33">
        <v>4</v>
      </c>
      <c r="M424" s="33">
        <v>5</v>
      </c>
      <c r="N424" s="33">
        <v>6</v>
      </c>
      <c r="O424" s="33">
        <v>7</v>
      </c>
      <c r="P424" s="33">
        <v>8</v>
      </c>
      <c r="Q424" s="33">
        <v>9</v>
      </c>
      <c r="R424" s="33">
        <v>10</v>
      </c>
      <c r="S424" s="33">
        <v>11</v>
      </c>
      <c r="T424" s="33">
        <v>12</v>
      </c>
      <c r="U424" s="33">
        <v>13</v>
      </c>
      <c r="V424" s="33">
        <v>14</v>
      </c>
      <c r="W424" s="33">
        <v>15</v>
      </c>
      <c r="X424" s="33">
        <v>16</v>
      </c>
      <c r="Y424" s="33">
        <v>17</v>
      </c>
      <c r="Z424" s="33">
        <v>18</v>
      </c>
      <c r="AA424" s="33">
        <v>19</v>
      </c>
      <c r="AB424" s="33">
        <v>20</v>
      </c>
      <c r="AC424" s="33">
        <v>21</v>
      </c>
      <c r="AD424" s="33">
        <v>22</v>
      </c>
      <c r="AE424" s="33">
        <v>23</v>
      </c>
      <c r="AF424" s="33">
        <v>24</v>
      </c>
      <c r="AG424" s="33">
        <v>25</v>
      </c>
      <c r="AH424" s="33">
        <v>26</v>
      </c>
      <c r="AI424" s="33">
        <v>27</v>
      </c>
      <c r="AJ424" s="33">
        <v>28</v>
      </c>
      <c r="AK424" s="33">
        <v>29</v>
      </c>
      <c r="AL424" s="33">
        <v>30</v>
      </c>
      <c r="AM424" s="33">
        <v>31</v>
      </c>
      <c r="AN424" s="33">
        <v>32</v>
      </c>
      <c r="AO424" s="33">
        <v>33</v>
      </c>
      <c r="AP424" s="33">
        <v>34</v>
      </c>
      <c r="AQ424" s="33">
        <v>35</v>
      </c>
      <c r="AR424" s="33">
        <v>36</v>
      </c>
      <c r="AS424" s="33">
        <v>37</v>
      </c>
      <c r="AT424" s="33">
        <v>38</v>
      </c>
      <c r="AU424" s="33">
        <v>39</v>
      </c>
      <c r="AV424" s="33">
        <v>40</v>
      </c>
      <c r="AW424" s="33">
        <v>41</v>
      </c>
      <c r="AX424" s="33">
        <v>42</v>
      </c>
      <c r="AY424" s="33">
        <v>43</v>
      </c>
      <c r="AZ424" s="33">
        <v>44</v>
      </c>
      <c r="BA424" s="33">
        <v>45</v>
      </c>
      <c r="BB424" s="33">
        <v>46</v>
      </c>
      <c r="BC424" s="33">
        <v>47</v>
      </c>
      <c r="BD424" s="33">
        <v>48</v>
      </c>
    </row>
    <row r="425" spans="1:56" s="3" customFormat="1" ht="18.5" customHeight="1" x14ac:dyDescent="0.2">
      <c r="A425" s="162"/>
      <c r="B425" s="120"/>
      <c r="C425" s="162"/>
      <c r="D425" s="120"/>
      <c r="H425" s="28">
        <v>1</v>
      </c>
      <c r="I425" s="23">
        <v>1</v>
      </c>
      <c r="J425" s="24">
        <v>1</v>
      </c>
      <c r="K425" s="24">
        <v>1</v>
      </c>
      <c r="L425" s="24">
        <v>1</v>
      </c>
      <c r="M425" s="24">
        <v>1</v>
      </c>
      <c r="N425" s="24">
        <v>1</v>
      </c>
      <c r="O425" s="24">
        <v>1</v>
      </c>
      <c r="P425" s="24">
        <v>1</v>
      </c>
      <c r="Q425" s="24">
        <v>1</v>
      </c>
      <c r="R425" s="24">
        <v>1</v>
      </c>
      <c r="S425" s="24">
        <v>1</v>
      </c>
      <c r="T425" s="24">
        <v>1</v>
      </c>
      <c r="U425" s="24">
        <v>1</v>
      </c>
      <c r="V425" s="24">
        <v>1</v>
      </c>
      <c r="W425" s="24">
        <v>1</v>
      </c>
      <c r="X425" s="24">
        <v>1</v>
      </c>
      <c r="Y425" s="24">
        <v>1</v>
      </c>
      <c r="Z425" s="24">
        <v>1</v>
      </c>
      <c r="AA425" s="24">
        <v>1</v>
      </c>
      <c r="AB425" s="24">
        <v>1</v>
      </c>
      <c r="AC425" s="24">
        <v>1</v>
      </c>
      <c r="AD425" s="24">
        <v>1</v>
      </c>
      <c r="AE425" s="24">
        <v>1</v>
      </c>
      <c r="AF425" s="24">
        <v>1</v>
      </c>
      <c r="AG425" s="24">
        <v>1</v>
      </c>
      <c r="AH425" s="24">
        <v>1</v>
      </c>
      <c r="AI425" s="24">
        <v>1</v>
      </c>
      <c r="AJ425" s="24">
        <v>1</v>
      </c>
      <c r="AK425" s="24">
        <v>1</v>
      </c>
      <c r="AL425" s="24">
        <v>1</v>
      </c>
      <c r="AM425" s="24">
        <v>1</v>
      </c>
      <c r="AN425" s="24">
        <v>1</v>
      </c>
      <c r="AO425" s="24">
        <v>1</v>
      </c>
      <c r="AP425" s="24">
        <v>1</v>
      </c>
      <c r="AQ425" s="24">
        <v>1</v>
      </c>
      <c r="AR425" s="24">
        <v>1</v>
      </c>
      <c r="AS425" s="24">
        <v>1</v>
      </c>
      <c r="AT425" s="24">
        <v>1</v>
      </c>
      <c r="AU425" s="24">
        <v>1</v>
      </c>
      <c r="AV425" s="24">
        <v>1</v>
      </c>
      <c r="AW425" s="24">
        <v>1</v>
      </c>
      <c r="AX425" s="24">
        <v>1</v>
      </c>
      <c r="AY425" s="24">
        <v>1</v>
      </c>
      <c r="AZ425" s="24">
        <v>1</v>
      </c>
      <c r="BA425" s="24">
        <v>1</v>
      </c>
      <c r="BB425" s="24">
        <v>1</v>
      </c>
      <c r="BC425" s="24">
        <v>1</v>
      </c>
      <c r="BD425" s="25">
        <v>1</v>
      </c>
    </row>
    <row r="426" spans="1:56" s="3" customFormat="1" ht="18" customHeight="1" x14ac:dyDescent="0.2">
      <c r="A426" s="162"/>
      <c r="B426" s="120"/>
      <c r="C426" s="162"/>
      <c r="D426" s="120"/>
      <c r="H426" s="39">
        <v>2</v>
      </c>
      <c r="I426" s="35">
        <v>1</v>
      </c>
      <c r="J426" s="36">
        <v>1</v>
      </c>
      <c r="K426" s="36">
        <v>1</v>
      </c>
      <c r="L426" s="36">
        <v>1</v>
      </c>
      <c r="M426" s="36">
        <v>1</v>
      </c>
      <c r="N426" s="36">
        <v>1</v>
      </c>
      <c r="O426" s="36">
        <v>1</v>
      </c>
      <c r="P426" s="36">
        <v>1</v>
      </c>
      <c r="Q426" s="36">
        <v>1</v>
      </c>
      <c r="R426" s="36">
        <v>1</v>
      </c>
      <c r="S426" s="36">
        <v>1</v>
      </c>
      <c r="T426" s="36">
        <v>1</v>
      </c>
      <c r="U426" s="36">
        <v>1</v>
      </c>
      <c r="V426" s="36">
        <v>1</v>
      </c>
      <c r="W426" s="36">
        <v>1</v>
      </c>
      <c r="X426" s="36">
        <v>1</v>
      </c>
      <c r="Y426" s="36">
        <v>1</v>
      </c>
      <c r="Z426" s="36">
        <v>1</v>
      </c>
      <c r="AA426" s="36">
        <v>1</v>
      </c>
      <c r="AB426" s="36">
        <v>1</v>
      </c>
      <c r="AC426" s="36">
        <v>1</v>
      </c>
      <c r="AD426" s="36">
        <v>1</v>
      </c>
      <c r="AE426" s="36">
        <v>1</v>
      </c>
      <c r="AF426" s="36">
        <v>1</v>
      </c>
      <c r="AG426" s="36">
        <v>1</v>
      </c>
      <c r="AH426" s="36">
        <v>1</v>
      </c>
      <c r="AI426" s="36">
        <v>1</v>
      </c>
      <c r="AJ426" s="36">
        <v>1</v>
      </c>
      <c r="AK426" s="36">
        <v>1</v>
      </c>
      <c r="AL426" s="36">
        <v>1</v>
      </c>
      <c r="AM426" s="36">
        <v>1</v>
      </c>
      <c r="AN426" s="36">
        <v>1</v>
      </c>
      <c r="AO426" s="36">
        <v>1</v>
      </c>
      <c r="AP426" s="36">
        <v>1</v>
      </c>
      <c r="AQ426" s="36">
        <v>1</v>
      </c>
      <c r="AR426" s="36">
        <v>1</v>
      </c>
      <c r="AS426" s="36">
        <v>1</v>
      </c>
      <c r="AT426" s="36">
        <v>1</v>
      </c>
      <c r="AU426" s="36">
        <v>1</v>
      </c>
      <c r="AV426" s="36">
        <v>1</v>
      </c>
      <c r="AW426" s="36">
        <v>1</v>
      </c>
      <c r="AX426" s="36">
        <v>1</v>
      </c>
      <c r="AY426" s="36">
        <v>1</v>
      </c>
      <c r="AZ426" s="36">
        <v>1</v>
      </c>
      <c r="BA426" s="36">
        <v>1</v>
      </c>
      <c r="BB426" s="36">
        <v>1</v>
      </c>
      <c r="BC426" s="36">
        <v>1</v>
      </c>
      <c r="BD426" s="37">
        <v>1</v>
      </c>
    </row>
    <row r="427" spans="1:56" s="3" customFormat="1" ht="18" customHeight="1" x14ac:dyDescent="0.2">
      <c r="A427" s="162"/>
      <c r="B427" s="120"/>
      <c r="C427" s="162"/>
      <c r="D427" s="120"/>
      <c r="H427" s="39">
        <v>3</v>
      </c>
      <c r="I427" s="35">
        <v>1</v>
      </c>
      <c r="J427" s="36">
        <v>1</v>
      </c>
      <c r="K427" s="36">
        <v>1</v>
      </c>
      <c r="L427" s="36">
        <v>1</v>
      </c>
      <c r="M427" s="36">
        <v>1</v>
      </c>
      <c r="N427" s="36">
        <v>1</v>
      </c>
      <c r="O427" s="36">
        <v>1</v>
      </c>
      <c r="P427" s="36">
        <v>1</v>
      </c>
      <c r="Q427" s="36">
        <v>1</v>
      </c>
      <c r="R427" s="36">
        <v>1</v>
      </c>
      <c r="S427" s="36">
        <v>1</v>
      </c>
      <c r="T427" s="36">
        <v>1</v>
      </c>
      <c r="U427" s="36">
        <v>1</v>
      </c>
      <c r="V427" s="36">
        <v>1</v>
      </c>
      <c r="W427" s="36">
        <v>1</v>
      </c>
      <c r="X427" s="36">
        <v>1</v>
      </c>
      <c r="Y427" s="36">
        <v>1</v>
      </c>
      <c r="Z427" s="36">
        <v>1</v>
      </c>
      <c r="AA427" s="36">
        <v>1</v>
      </c>
      <c r="AB427" s="36">
        <v>1</v>
      </c>
      <c r="AC427" s="36">
        <v>1</v>
      </c>
      <c r="AD427" s="36">
        <v>1</v>
      </c>
      <c r="AE427" s="36">
        <v>1</v>
      </c>
      <c r="AF427" s="36">
        <v>1</v>
      </c>
      <c r="AG427" s="36">
        <v>1</v>
      </c>
      <c r="AH427" s="36">
        <v>1</v>
      </c>
      <c r="AI427" s="36">
        <v>1</v>
      </c>
      <c r="AJ427" s="36">
        <v>1</v>
      </c>
      <c r="AK427" s="36">
        <v>1</v>
      </c>
      <c r="AL427" s="36">
        <v>1</v>
      </c>
      <c r="AM427" s="36">
        <v>1</v>
      </c>
      <c r="AN427" s="36">
        <v>1</v>
      </c>
      <c r="AO427" s="36">
        <v>1</v>
      </c>
      <c r="AP427" s="36">
        <v>1</v>
      </c>
      <c r="AQ427" s="36">
        <v>1</v>
      </c>
      <c r="AR427" s="36">
        <v>1</v>
      </c>
      <c r="AS427" s="36">
        <v>1</v>
      </c>
      <c r="AT427" s="36">
        <v>1</v>
      </c>
      <c r="AU427" s="36">
        <v>1</v>
      </c>
      <c r="AV427" s="36">
        <v>1</v>
      </c>
      <c r="AW427" s="36">
        <v>1</v>
      </c>
      <c r="AX427" s="36">
        <v>1</v>
      </c>
      <c r="AY427" s="36">
        <v>1</v>
      </c>
      <c r="AZ427" s="36">
        <v>1</v>
      </c>
      <c r="BA427" s="36">
        <v>1</v>
      </c>
      <c r="BB427" s="36">
        <v>1</v>
      </c>
      <c r="BC427" s="36">
        <v>1</v>
      </c>
      <c r="BD427" s="37">
        <v>1</v>
      </c>
    </row>
    <row r="428" spans="1:56" s="3" customFormat="1" ht="18" customHeight="1" x14ac:dyDescent="0.2">
      <c r="A428" s="162"/>
      <c r="B428" s="120"/>
      <c r="C428" s="162"/>
      <c r="D428" s="120"/>
      <c r="H428" s="39">
        <v>4</v>
      </c>
      <c r="I428" s="35">
        <v>1</v>
      </c>
      <c r="J428" s="36">
        <v>1</v>
      </c>
      <c r="K428" s="36">
        <v>1</v>
      </c>
      <c r="L428" s="36">
        <v>1</v>
      </c>
      <c r="M428" s="36">
        <v>1</v>
      </c>
      <c r="N428" s="36">
        <v>1</v>
      </c>
      <c r="O428" s="36">
        <v>1</v>
      </c>
      <c r="P428" s="36">
        <v>1</v>
      </c>
      <c r="Q428" s="36">
        <v>1</v>
      </c>
      <c r="R428" s="36">
        <v>1</v>
      </c>
      <c r="S428" s="36">
        <v>1</v>
      </c>
      <c r="T428" s="36">
        <v>1</v>
      </c>
      <c r="U428" s="36">
        <v>1</v>
      </c>
      <c r="V428" s="36">
        <v>1</v>
      </c>
      <c r="W428" s="36">
        <v>1</v>
      </c>
      <c r="X428" s="36">
        <v>1</v>
      </c>
      <c r="Y428" s="36">
        <v>1</v>
      </c>
      <c r="Z428" s="36">
        <v>1</v>
      </c>
      <c r="AA428" s="36">
        <v>1</v>
      </c>
      <c r="AB428" s="36">
        <v>1</v>
      </c>
      <c r="AC428" s="36">
        <v>1</v>
      </c>
      <c r="AD428" s="36">
        <v>1</v>
      </c>
      <c r="AE428" s="36">
        <v>1</v>
      </c>
      <c r="AF428" s="36">
        <v>1</v>
      </c>
      <c r="AG428" s="36">
        <v>1</v>
      </c>
      <c r="AH428" s="36">
        <v>1</v>
      </c>
      <c r="AI428" s="36">
        <v>1</v>
      </c>
      <c r="AJ428" s="36">
        <v>1</v>
      </c>
      <c r="AK428" s="36">
        <v>1</v>
      </c>
      <c r="AL428" s="36">
        <v>1</v>
      </c>
      <c r="AM428" s="36">
        <v>1</v>
      </c>
      <c r="AN428" s="36">
        <v>1</v>
      </c>
      <c r="AO428" s="36">
        <v>1</v>
      </c>
      <c r="AP428" s="36">
        <v>1</v>
      </c>
      <c r="AQ428" s="36">
        <v>1</v>
      </c>
      <c r="AR428" s="36">
        <v>1</v>
      </c>
      <c r="AS428" s="36">
        <v>1</v>
      </c>
      <c r="AT428" s="36">
        <v>1</v>
      </c>
      <c r="AU428" s="36">
        <v>1</v>
      </c>
      <c r="AV428" s="36">
        <v>1</v>
      </c>
      <c r="AW428" s="36">
        <v>1</v>
      </c>
      <c r="AX428" s="36">
        <v>1</v>
      </c>
      <c r="AY428" s="36">
        <v>1</v>
      </c>
      <c r="AZ428" s="36">
        <v>1</v>
      </c>
      <c r="BA428" s="36">
        <v>1</v>
      </c>
      <c r="BB428" s="36">
        <v>1</v>
      </c>
      <c r="BC428" s="36">
        <v>1</v>
      </c>
      <c r="BD428" s="37">
        <v>1</v>
      </c>
    </row>
    <row r="429" spans="1:56" s="3" customFormat="1" ht="18" customHeight="1" x14ac:dyDescent="0.2">
      <c r="A429" s="162"/>
      <c r="B429" s="120"/>
      <c r="C429" s="162"/>
      <c r="D429" s="120"/>
      <c r="H429" s="39">
        <v>5</v>
      </c>
      <c r="I429" s="35">
        <v>1</v>
      </c>
      <c r="J429" s="36">
        <v>1</v>
      </c>
      <c r="K429" s="36">
        <v>1</v>
      </c>
      <c r="L429" s="36">
        <v>1</v>
      </c>
      <c r="M429" s="36">
        <v>1</v>
      </c>
      <c r="N429" s="36">
        <v>1</v>
      </c>
      <c r="O429" s="36">
        <v>1</v>
      </c>
      <c r="P429" s="36">
        <v>1</v>
      </c>
      <c r="Q429" s="36">
        <v>1</v>
      </c>
      <c r="R429" s="36">
        <v>1</v>
      </c>
      <c r="S429" s="36">
        <v>1</v>
      </c>
      <c r="T429" s="36">
        <v>1</v>
      </c>
      <c r="U429" s="36">
        <v>1</v>
      </c>
      <c r="V429" s="36">
        <v>1</v>
      </c>
      <c r="W429" s="36">
        <v>1</v>
      </c>
      <c r="X429" s="36">
        <v>1</v>
      </c>
      <c r="Y429" s="36">
        <v>1</v>
      </c>
      <c r="Z429" s="36">
        <v>1</v>
      </c>
      <c r="AA429" s="36">
        <v>1</v>
      </c>
      <c r="AB429" s="36">
        <v>1</v>
      </c>
      <c r="AC429" s="36">
        <v>1</v>
      </c>
      <c r="AD429" s="36">
        <v>1</v>
      </c>
      <c r="AE429" s="36">
        <v>1</v>
      </c>
      <c r="AF429" s="36">
        <v>1</v>
      </c>
      <c r="AG429" s="36">
        <v>1</v>
      </c>
      <c r="AH429" s="36">
        <v>1</v>
      </c>
      <c r="AI429" s="36">
        <v>1</v>
      </c>
      <c r="AJ429" s="36">
        <v>1</v>
      </c>
      <c r="AK429" s="36">
        <v>1</v>
      </c>
      <c r="AL429" s="36">
        <v>1</v>
      </c>
      <c r="AM429" s="36">
        <v>1</v>
      </c>
      <c r="AN429" s="36">
        <v>1</v>
      </c>
      <c r="AO429" s="36">
        <v>1</v>
      </c>
      <c r="AP429" s="36">
        <v>1</v>
      </c>
      <c r="AQ429" s="36">
        <v>1</v>
      </c>
      <c r="AR429" s="36">
        <v>1</v>
      </c>
      <c r="AS429" s="36">
        <v>1</v>
      </c>
      <c r="AT429" s="36">
        <v>1</v>
      </c>
      <c r="AU429" s="36">
        <v>1</v>
      </c>
      <c r="AV429" s="36">
        <v>1</v>
      </c>
      <c r="AW429" s="36">
        <v>1</v>
      </c>
      <c r="AX429" s="36">
        <v>1</v>
      </c>
      <c r="AY429" s="36">
        <v>1</v>
      </c>
      <c r="AZ429" s="36">
        <v>1</v>
      </c>
      <c r="BA429" s="36">
        <v>1</v>
      </c>
      <c r="BB429" s="36">
        <v>1</v>
      </c>
      <c r="BC429" s="36">
        <v>1</v>
      </c>
      <c r="BD429" s="37">
        <v>1</v>
      </c>
    </row>
    <row r="430" spans="1:56" s="3" customFormat="1" ht="18" customHeight="1" x14ac:dyDescent="0.2">
      <c r="A430" s="162"/>
      <c r="B430" s="120"/>
      <c r="C430" s="162"/>
      <c r="D430" s="120"/>
      <c r="H430" s="39">
        <v>6</v>
      </c>
      <c r="I430" s="35">
        <v>1</v>
      </c>
      <c r="J430" s="36">
        <v>1</v>
      </c>
      <c r="K430" s="36">
        <v>1</v>
      </c>
      <c r="L430" s="36">
        <v>1</v>
      </c>
      <c r="M430" s="36">
        <v>1</v>
      </c>
      <c r="N430" s="36">
        <v>1</v>
      </c>
      <c r="O430" s="36">
        <v>1</v>
      </c>
      <c r="P430" s="36">
        <v>1</v>
      </c>
      <c r="Q430" s="36">
        <v>1</v>
      </c>
      <c r="R430" s="36">
        <v>1</v>
      </c>
      <c r="S430" s="36">
        <v>1</v>
      </c>
      <c r="T430" s="36">
        <v>1</v>
      </c>
      <c r="U430" s="36">
        <v>1</v>
      </c>
      <c r="V430" s="36">
        <v>1</v>
      </c>
      <c r="W430" s="36">
        <v>1</v>
      </c>
      <c r="X430" s="36">
        <v>1</v>
      </c>
      <c r="Y430" s="36">
        <v>1</v>
      </c>
      <c r="Z430" s="36">
        <v>1</v>
      </c>
      <c r="AA430" s="36">
        <v>1</v>
      </c>
      <c r="AB430" s="36">
        <v>1</v>
      </c>
      <c r="AC430" s="36">
        <v>1</v>
      </c>
      <c r="AD430" s="36">
        <v>1</v>
      </c>
      <c r="AE430" s="36">
        <v>1</v>
      </c>
      <c r="AF430" s="36">
        <v>1</v>
      </c>
      <c r="AG430" s="36">
        <v>1</v>
      </c>
      <c r="AH430" s="36">
        <v>1</v>
      </c>
      <c r="AI430" s="36">
        <v>1</v>
      </c>
      <c r="AJ430" s="36">
        <v>1</v>
      </c>
      <c r="AK430" s="36">
        <v>1</v>
      </c>
      <c r="AL430" s="36">
        <v>1</v>
      </c>
      <c r="AM430" s="36">
        <v>1</v>
      </c>
      <c r="AN430" s="36">
        <v>1</v>
      </c>
      <c r="AO430" s="36">
        <v>1</v>
      </c>
      <c r="AP430" s="36">
        <v>1</v>
      </c>
      <c r="AQ430" s="36">
        <v>1</v>
      </c>
      <c r="AR430" s="36">
        <v>1</v>
      </c>
      <c r="AS430" s="36">
        <v>1</v>
      </c>
      <c r="AT430" s="36">
        <v>1</v>
      </c>
      <c r="AU430" s="36">
        <v>1</v>
      </c>
      <c r="AV430" s="36">
        <v>1</v>
      </c>
      <c r="AW430" s="36">
        <v>1</v>
      </c>
      <c r="AX430" s="36">
        <v>1</v>
      </c>
      <c r="AY430" s="36">
        <v>1</v>
      </c>
      <c r="AZ430" s="36">
        <v>1</v>
      </c>
      <c r="BA430" s="36">
        <v>1</v>
      </c>
      <c r="BB430" s="36">
        <v>1</v>
      </c>
      <c r="BC430" s="36">
        <v>1</v>
      </c>
      <c r="BD430" s="37">
        <v>1</v>
      </c>
    </row>
    <row r="431" spans="1:56" s="3" customFormat="1" ht="18" customHeight="1" x14ac:dyDescent="0.2">
      <c r="A431" s="162"/>
      <c r="B431" s="120"/>
      <c r="C431" s="162"/>
      <c r="D431" s="120"/>
      <c r="H431" s="39">
        <v>7</v>
      </c>
      <c r="I431" s="35">
        <v>1</v>
      </c>
      <c r="J431" s="36">
        <v>1</v>
      </c>
      <c r="K431" s="36">
        <v>1</v>
      </c>
      <c r="L431" s="36">
        <v>1</v>
      </c>
      <c r="M431" s="36">
        <v>1</v>
      </c>
      <c r="N431" s="36">
        <v>1</v>
      </c>
      <c r="O431" s="36">
        <v>1</v>
      </c>
      <c r="P431" s="36">
        <v>1</v>
      </c>
      <c r="Q431" s="36">
        <v>1</v>
      </c>
      <c r="R431" s="36">
        <v>1</v>
      </c>
      <c r="S431" s="36">
        <v>1</v>
      </c>
      <c r="T431" s="36">
        <v>1</v>
      </c>
      <c r="U431" s="36">
        <v>1</v>
      </c>
      <c r="V431" s="36">
        <v>1</v>
      </c>
      <c r="W431" s="36">
        <v>1</v>
      </c>
      <c r="X431" s="36">
        <v>1</v>
      </c>
      <c r="Y431" s="36">
        <v>1</v>
      </c>
      <c r="Z431" s="36">
        <v>1</v>
      </c>
      <c r="AA431" s="36">
        <v>1</v>
      </c>
      <c r="AB431" s="36">
        <v>1</v>
      </c>
      <c r="AC431" s="36">
        <v>1</v>
      </c>
      <c r="AD431" s="36">
        <v>1</v>
      </c>
      <c r="AE431" s="36">
        <v>1</v>
      </c>
      <c r="AF431" s="36">
        <v>1</v>
      </c>
      <c r="AG431" s="36">
        <v>1</v>
      </c>
      <c r="AH431" s="36">
        <v>1</v>
      </c>
      <c r="AI431" s="36">
        <v>1</v>
      </c>
      <c r="AJ431" s="36">
        <v>1</v>
      </c>
      <c r="AK431" s="36">
        <v>1</v>
      </c>
      <c r="AL431" s="36">
        <v>1</v>
      </c>
      <c r="AM431" s="36">
        <v>1</v>
      </c>
      <c r="AN431" s="36">
        <v>1</v>
      </c>
      <c r="AO431" s="36">
        <v>1</v>
      </c>
      <c r="AP431" s="36">
        <v>1</v>
      </c>
      <c r="AQ431" s="36">
        <v>1</v>
      </c>
      <c r="AR431" s="36">
        <v>1</v>
      </c>
      <c r="AS431" s="36">
        <v>1</v>
      </c>
      <c r="AT431" s="36">
        <v>1</v>
      </c>
      <c r="AU431" s="36">
        <v>1</v>
      </c>
      <c r="AV431" s="36">
        <v>1</v>
      </c>
      <c r="AW431" s="36">
        <v>1</v>
      </c>
      <c r="AX431" s="36">
        <v>1</v>
      </c>
      <c r="AY431" s="36">
        <v>1</v>
      </c>
      <c r="AZ431" s="36">
        <v>1</v>
      </c>
      <c r="BA431" s="36">
        <v>1</v>
      </c>
      <c r="BB431" s="36">
        <v>1</v>
      </c>
      <c r="BC431" s="36">
        <v>1</v>
      </c>
      <c r="BD431" s="37">
        <v>1</v>
      </c>
    </row>
    <row r="432" spans="1:56" s="3" customFormat="1" ht="18" customHeight="1" x14ac:dyDescent="0.2">
      <c r="A432" s="162"/>
      <c r="B432" s="120"/>
      <c r="C432" s="162"/>
      <c r="D432" s="120"/>
      <c r="H432" s="39">
        <v>8</v>
      </c>
      <c r="I432" s="35">
        <v>1</v>
      </c>
      <c r="J432" s="36">
        <v>1</v>
      </c>
      <c r="K432" s="36">
        <v>1</v>
      </c>
      <c r="L432" s="36">
        <v>1</v>
      </c>
      <c r="M432" s="36">
        <v>1</v>
      </c>
      <c r="N432" s="36">
        <v>1</v>
      </c>
      <c r="O432" s="36">
        <v>1</v>
      </c>
      <c r="P432" s="36">
        <v>1</v>
      </c>
      <c r="Q432" s="36">
        <v>1</v>
      </c>
      <c r="R432" s="36">
        <v>1</v>
      </c>
      <c r="S432" s="36">
        <v>1</v>
      </c>
      <c r="T432" s="36">
        <v>1</v>
      </c>
      <c r="U432" s="36">
        <v>1</v>
      </c>
      <c r="V432" s="36">
        <v>1</v>
      </c>
      <c r="W432" s="36">
        <v>1</v>
      </c>
      <c r="X432" s="36">
        <v>1</v>
      </c>
      <c r="Y432" s="36">
        <v>1</v>
      </c>
      <c r="Z432" s="36">
        <v>1</v>
      </c>
      <c r="AA432" s="36">
        <v>1</v>
      </c>
      <c r="AB432" s="36">
        <v>1</v>
      </c>
      <c r="AC432" s="36">
        <v>1</v>
      </c>
      <c r="AD432" s="36">
        <v>1</v>
      </c>
      <c r="AE432" s="36">
        <v>1</v>
      </c>
      <c r="AF432" s="36">
        <v>1</v>
      </c>
      <c r="AG432" s="36">
        <v>1</v>
      </c>
      <c r="AH432" s="36">
        <v>1</v>
      </c>
      <c r="AI432" s="36">
        <v>1</v>
      </c>
      <c r="AJ432" s="36">
        <v>1</v>
      </c>
      <c r="AK432" s="36">
        <v>1</v>
      </c>
      <c r="AL432" s="36">
        <v>1</v>
      </c>
      <c r="AM432" s="36">
        <v>1</v>
      </c>
      <c r="AN432" s="36">
        <v>1</v>
      </c>
      <c r="AO432" s="36">
        <v>1</v>
      </c>
      <c r="AP432" s="36">
        <v>1</v>
      </c>
      <c r="AQ432" s="36">
        <v>1</v>
      </c>
      <c r="AR432" s="36">
        <v>1</v>
      </c>
      <c r="AS432" s="36">
        <v>1</v>
      </c>
      <c r="AT432" s="36">
        <v>1</v>
      </c>
      <c r="AU432" s="36">
        <v>1</v>
      </c>
      <c r="AV432" s="36">
        <v>1</v>
      </c>
      <c r="AW432" s="36">
        <v>1</v>
      </c>
      <c r="AX432" s="36">
        <v>1</v>
      </c>
      <c r="AY432" s="36">
        <v>1</v>
      </c>
      <c r="AZ432" s="36">
        <v>1</v>
      </c>
      <c r="BA432" s="36">
        <v>1</v>
      </c>
      <c r="BB432" s="36">
        <v>1</v>
      </c>
      <c r="BC432" s="36">
        <v>1</v>
      </c>
      <c r="BD432" s="37">
        <v>1</v>
      </c>
    </row>
    <row r="433" spans="1:56" s="3" customFormat="1" ht="18" customHeight="1" x14ac:dyDescent="0.2">
      <c r="A433" s="162"/>
      <c r="B433" s="120"/>
      <c r="C433" s="162"/>
      <c r="D433" s="120"/>
      <c r="H433" s="39">
        <v>9</v>
      </c>
      <c r="I433" s="35">
        <v>1</v>
      </c>
      <c r="J433" s="36">
        <v>1</v>
      </c>
      <c r="K433" s="36">
        <v>1</v>
      </c>
      <c r="L433" s="36">
        <v>1</v>
      </c>
      <c r="M433" s="36">
        <v>1</v>
      </c>
      <c r="N433" s="36">
        <v>1</v>
      </c>
      <c r="O433" s="36">
        <v>1</v>
      </c>
      <c r="P433" s="36">
        <v>1</v>
      </c>
      <c r="Q433" s="36">
        <v>1</v>
      </c>
      <c r="R433" s="36">
        <v>1</v>
      </c>
      <c r="S433" s="36">
        <v>1</v>
      </c>
      <c r="T433" s="36">
        <v>1</v>
      </c>
      <c r="U433" s="36">
        <v>1</v>
      </c>
      <c r="V433" s="36">
        <v>1</v>
      </c>
      <c r="W433" s="36">
        <v>1</v>
      </c>
      <c r="X433" s="36">
        <v>1</v>
      </c>
      <c r="Y433" s="36">
        <v>1</v>
      </c>
      <c r="Z433" s="36">
        <v>1</v>
      </c>
      <c r="AA433" s="36">
        <v>1</v>
      </c>
      <c r="AB433" s="36">
        <v>1</v>
      </c>
      <c r="AC433" s="36">
        <v>1</v>
      </c>
      <c r="AD433" s="36">
        <v>1</v>
      </c>
      <c r="AE433" s="36">
        <v>1</v>
      </c>
      <c r="AF433" s="36">
        <v>1</v>
      </c>
      <c r="AG433" s="36">
        <v>1</v>
      </c>
      <c r="AH433" s="36">
        <v>1</v>
      </c>
      <c r="AI433" s="36">
        <v>1</v>
      </c>
      <c r="AJ433" s="36">
        <v>1</v>
      </c>
      <c r="AK433" s="36">
        <v>1</v>
      </c>
      <c r="AL433" s="36">
        <v>1</v>
      </c>
      <c r="AM433" s="36">
        <v>1</v>
      </c>
      <c r="AN433" s="36">
        <v>1</v>
      </c>
      <c r="AO433" s="36">
        <v>1</v>
      </c>
      <c r="AP433" s="36">
        <v>1</v>
      </c>
      <c r="AQ433" s="36">
        <v>1</v>
      </c>
      <c r="AR433" s="36">
        <v>1</v>
      </c>
      <c r="AS433" s="36">
        <v>1</v>
      </c>
      <c r="AT433" s="36">
        <v>1</v>
      </c>
      <c r="AU433" s="36">
        <v>1</v>
      </c>
      <c r="AV433" s="36">
        <v>1</v>
      </c>
      <c r="AW433" s="36">
        <v>1</v>
      </c>
      <c r="AX433" s="36">
        <v>1</v>
      </c>
      <c r="AY433" s="36">
        <v>1</v>
      </c>
      <c r="AZ433" s="36">
        <v>1</v>
      </c>
      <c r="BA433" s="36">
        <v>1</v>
      </c>
      <c r="BB433" s="36">
        <v>1</v>
      </c>
      <c r="BC433" s="36">
        <v>1</v>
      </c>
      <c r="BD433" s="37">
        <v>1</v>
      </c>
    </row>
    <row r="434" spans="1:56" s="3" customFormat="1" ht="18" customHeight="1" x14ac:dyDescent="0.2">
      <c r="A434" s="162"/>
      <c r="B434" s="120"/>
      <c r="C434" s="162"/>
      <c r="D434" s="120"/>
      <c r="H434" s="39">
        <v>10</v>
      </c>
      <c r="I434" s="35">
        <v>1</v>
      </c>
      <c r="J434" s="36">
        <v>1</v>
      </c>
      <c r="K434" s="36">
        <v>1</v>
      </c>
      <c r="L434" s="36">
        <v>1</v>
      </c>
      <c r="M434" s="36">
        <v>1</v>
      </c>
      <c r="N434" s="36">
        <v>1</v>
      </c>
      <c r="O434" s="36">
        <v>1</v>
      </c>
      <c r="P434" s="36">
        <v>1</v>
      </c>
      <c r="Q434" s="36">
        <v>1</v>
      </c>
      <c r="R434" s="36">
        <v>1</v>
      </c>
      <c r="S434" s="36">
        <v>1</v>
      </c>
      <c r="T434" s="36">
        <v>1</v>
      </c>
      <c r="U434" s="36">
        <v>1</v>
      </c>
      <c r="V434" s="36">
        <v>1</v>
      </c>
      <c r="W434" s="36">
        <v>1</v>
      </c>
      <c r="X434" s="36">
        <v>1</v>
      </c>
      <c r="Y434" s="36">
        <v>1</v>
      </c>
      <c r="Z434" s="36">
        <v>1</v>
      </c>
      <c r="AA434" s="36">
        <v>1</v>
      </c>
      <c r="AB434" s="36">
        <v>1</v>
      </c>
      <c r="AC434" s="36">
        <v>1</v>
      </c>
      <c r="AD434" s="36">
        <v>1</v>
      </c>
      <c r="AE434" s="36">
        <v>1</v>
      </c>
      <c r="AF434" s="36">
        <v>1</v>
      </c>
      <c r="AG434" s="36">
        <v>1</v>
      </c>
      <c r="AH434" s="36">
        <v>1</v>
      </c>
      <c r="AI434" s="36">
        <v>1</v>
      </c>
      <c r="AJ434" s="36">
        <v>1</v>
      </c>
      <c r="AK434" s="36">
        <v>1</v>
      </c>
      <c r="AL434" s="36">
        <v>1</v>
      </c>
      <c r="AM434" s="36">
        <v>1</v>
      </c>
      <c r="AN434" s="36">
        <v>1</v>
      </c>
      <c r="AO434" s="36">
        <v>1</v>
      </c>
      <c r="AP434" s="36">
        <v>1</v>
      </c>
      <c r="AQ434" s="36">
        <v>1</v>
      </c>
      <c r="AR434" s="36">
        <v>1</v>
      </c>
      <c r="AS434" s="36">
        <v>1</v>
      </c>
      <c r="AT434" s="36">
        <v>1</v>
      </c>
      <c r="AU434" s="36">
        <v>1</v>
      </c>
      <c r="AV434" s="36">
        <v>1</v>
      </c>
      <c r="AW434" s="36">
        <v>1</v>
      </c>
      <c r="AX434" s="36">
        <v>1</v>
      </c>
      <c r="AY434" s="36">
        <v>1</v>
      </c>
      <c r="AZ434" s="36">
        <v>1</v>
      </c>
      <c r="BA434" s="36">
        <v>1</v>
      </c>
      <c r="BB434" s="36">
        <v>1</v>
      </c>
      <c r="BC434" s="36">
        <v>1</v>
      </c>
      <c r="BD434" s="37">
        <v>1</v>
      </c>
    </row>
    <row r="435" spans="1:56" s="3" customFormat="1" ht="18" customHeight="1" x14ac:dyDescent="0.2">
      <c r="A435" s="162"/>
      <c r="B435" s="120"/>
      <c r="C435" s="162"/>
      <c r="D435" s="120"/>
      <c r="H435" s="39">
        <v>11</v>
      </c>
      <c r="I435" s="35">
        <v>1</v>
      </c>
      <c r="J435" s="36">
        <v>1</v>
      </c>
      <c r="K435" s="36">
        <v>1</v>
      </c>
      <c r="L435" s="36">
        <v>1</v>
      </c>
      <c r="M435" s="36">
        <v>1</v>
      </c>
      <c r="N435" s="36">
        <v>1</v>
      </c>
      <c r="O435" s="36">
        <v>1</v>
      </c>
      <c r="P435" s="36">
        <v>1</v>
      </c>
      <c r="Q435" s="36">
        <v>1</v>
      </c>
      <c r="R435" s="36">
        <v>1</v>
      </c>
      <c r="S435" s="36">
        <v>1</v>
      </c>
      <c r="T435" s="36">
        <v>1</v>
      </c>
      <c r="U435" s="36">
        <v>1</v>
      </c>
      <c r="V435" s="36">
        <v>1</v>
      </c>
      <c r="W435" s="36">
        <v>1</v>
      </c>
      <c r="X435" s="36">
        <v>1</v>
      </c>
      <c r="Y435" s="36">
        <v>1</v>
      </c>
      <c r="Z435" s="36">
        <v>1</v>
      </c>
      <c r="AA435" s="36">
        <v>1</v>
      </c>
      <c r="AB435" s="36">
        <v>1</v>
      </c>
      <c r="AC435" s="36">
        <v>1</v>
      </c>
      <c r="AD435" s="36">
        <v>1</v>
      </c>
      <c r="AE435" s="36">
        <v>1</v>
      </c>
      <c r="AF435" s="36">
        <v>1</v>
      </c>
      <c r="AG435" s="36">
        <v>1</v>
      </c>
      <c r="AH435" s="36">
        <v>1</v>
      </c>
      <c r="AI435" s="36">
        <v>1</v>
      </c>
      <c r="AJ435" s="36">
        <v>1</v>
      </c>
      <c r="AK435" s="36">
        <v>1</v>
      </c>
      <c r="AL435" s="36">
        <v>1</v>
      </c>
      <c r="AM435" s="36">
        <v>1</v>
      </c>
      <c r="AN435" s="36">
        <v>1</v>
      </c>
      <c r="AO435" s="36">
        <v>1</v>
      </c>
      <c r="AP435" s="36">
        <v>1</v>
      </c>
      <c r="AQ435" s="36">
        <v>1</v>
      </c>
      <c r="AR435" s="36">
        <v>1</v>
      </c>
      <c r="AS435" s="36">
        <v>1</v>
      </c>
      <c r="AT435" s="36">
        <v>1</v>
      </c>
      <c r="AU435" s="36">
        <v>1</v>
      </c>
      <c r="AV435" s="36">
        <v>1</v>
      </c>
      <c r="AW435" s="36">
        <v>1</v>
      </c>
      <c r="AX435" s="36">
        <v>1</v>
      </c>
      <c r="AY435" s="36">
        <v>1</v>
      </c>
      <c r="AZ435" s="36">
        <v>1</v>
      </c>
      <c r="BA435" s="36">
        <v>1</v>
      </c>
      <c r="BB435" s="36">
        <v>1</v>
      </c>
      <c r="BC435" s="36">
        <v>1</v>
      </c>
      <c r="BD435" s="37">
        <v>1</v>
      </c>
    </row>
    <row r="436" spans="1:56" s="3" customFormat="1" ht="18" customHeight="1" x14ac:dyDescent="0.2">
      <c r="A436" s="162"/>
      <c r="B436" s="120"/>
      <c r="C436" s="162"/>
      <c r="D436" s="120"/>
      <c r="H436" s="39">
        <v>12</v>
      </c>
      <c r="I436" s="35">
        <v>1</v>
      </c>
      <c r="J436" s="36">
        <v>1</v>
      </c>
      <c r="K436" s="36">
        <v>1</v>
      </c>
      <c r="L436" s="36">
        <v>1</v>
      </c>
      <c r="M436" s="36">
        <v>1</v>
      </c>
      <c r="N436" s="36">
        <v>1</v>
      </c>
      <c r="O436" s="36">
        <v>1</v>
      </c>
      <c r="P436" s="36">
        <v>1</v>
      </c>
      <c r="Q436" s="36">
        <v>1</v>
      </c>
      <c r="R436" s="36">
        <v>1</v>
      </c>
      <c r="S436" s="36">
        <v>1</v>
      </c>
      <c r="T436" s="36">
        <v>1</v>
      </c>
      <c r="U436" s="36">
        <v>1</v>
      </c>
      <c r="V436" s="36">
        <v>1</v>
      </c>
      <c r="W436" s="36">
        <v>1</v>
      </c>
      <c r="X436" s="36">
        <v>1</v>
      </c>
      <c r="Y436" s="36">
        <v>1</v>
      </c>
      <c r="Z436" s="36">
        <v>1</v>
      </c>
      <c r="AA436" s="36">
        <v>1</v>
      </c>
      <c r="AB436" s="36">
        <v>1</v>
      </c>
      <c r="AC436" s="36">
        <v>1</v>
      </c>
      <c r="AD436" s="36">
        <v>1</v>
      </c>
      <c r="AE436" s="36">
        <v>1</v>
      </c>
      <c r="AF436" s="36">
        <v>1</v>
      </c>
      <c r="AG436" s="36">
        <v>1</v>
      </c>
      <c r="AH436" s="36">
        <v>1</v>
      </c>
      <c r="AI436" s="36">
        <v>1</v>
      </c>
      <c r="AJ436" s="36">
        <v>1</v>
      </c>
      <c r="AK436" s="36">
        <v>1</v>
      </c>
      <c r="AL436" s="36">
        <v>1</v>
      </c>
      <c r="AM436" s="36">
        <v>1</v>
      </c>
      <c r="AN436" s="36">
        <v>1</v>
      </c>
      <c r="AO436" s="36">
        <v>1</v>
      </c>
      <c r="AP436" s="36">
        <v>1</v>
      </c>
      <c r="AQ436" s="36">
        <v>1</v>
      </c>
      <c r="AR436" s="36">
        <v>1</v>
      </c>
      <c r="AS436" s="36">
        <v>1</v>
      </c>
      <c r="AT436" s="36">
        <v>1</v>
      </c>
      <c r="AU436" s="36">
        <v>1</v>
      </c>
      <c r="AV436" s="36">
        <v>1</v>
      </c>
      <c r="AW436" s="36">
        <v>1</v>
      </c>
      <c r="AX436" s="36">
        <v>1</v>
      </c>
      <c r="AY436" s="36">
        <v>1</v>
      </c>
      <c r="AZ436" s="36">
        <v>1</v>
      </c>
      <c r="BA436" s="36">
        <v>1</v>
      </c>
      <c r="BB436" s="36">
        <v>1</v>
      </c>
      <c r="BC436" s="36">
        <v>1</v>
      </c>
      <c r="BD436" s="37">
        <v>1</v>
      </c>
    </row>
    <row r="437" spans="1:56" s="3" customFormat="1" ht="18" customHeight="1" x14ac:dyDescent="0.2">
      <c r="A437" s="162"/>
      <c r="B437" s="120"/>
      <c r="C437" s="162"/>
      <c r="D437" s="120"/>
      <c r="H437" s="39">
        <v>13</v>
      </c>
      <c r="I437" s="35">
        <v>1</v>
      </c>
      <c r="J437" s="36">
        <v>1</v>
      </c>
      <c r="K437" s="36">
        <v>1</v>
      </c>
      <c r="L437" s="36">
        <v>1</v>
      </c>
      <c r="M437" s="36">
        <v>1</v>
      </c>
      <c r="N437" s="36">
        <v>1</v>
      </c>
      <c r="O437" s="36">
        <v>1</v>
      </c>
      <c r="P437" s="36">
        <v>1</v>
      </c>
      <c r="Q437" s="36">
        <v>1</v>
      </c>
      <c r="R437" s="36">
        <v>1</v>
      </c>
      <c r="S437" s="36">
        <v>1</v>
      </c>
      <c r="T437" s="36">
        <v>1</v>
      </c>
      <c r="U437" s="36">
        <v>1</v>
      </c>
      <c r="V437" s="36">
        <v>1</v>
      </c>
      <c r="W437" s="36">
        <v>1</v>
      </c>
      <c r="X437" s="36">
        <v>1</v>
      </c>
      <c r="Y437" s="36">
        <v>1</v>
      </c>
      <c r="Z437" s="36">
        <v>1</v>
      </c>
      <c r="AA437" s="36">
        <v>1</v>
      </c>
      <c r="AB437" s="36">
        <v>1</v>
      </c>
      <c r="AC437" s="36">
        <v>1</v>
      </c>
      <c r="AD437" s="36">
        <v>1</v>
      </c>
      <c r="AE437" s="36">
        <v>1</v>
      </c>
      <c r="AF437" s="36">
        <v>1</v>
      </c>
      <c r="AG437" s="36">
        <v>1</v>
      </c>
      <c r="AH437" s="36">
        <v>1</v>
      </c>
      <c r="AI437" s="36">
        <v>1</v>
      </c>
      <c r="AJ437" s="36">
        <v>1</v>
      </c>
      <c r="AK437" s="36">
        <v>1</v>
      </c>
      <c r="AL437" s="36">
        <v>1</v>
      </c>
      <c r="AM437" s="36">
        <v>1</v>
      </c>
      <c r="AN437" s="36">
        <v>1</v>
      </c>
      <c r="AO437" s="36">
        <v>1</v>
      </c>
      <c r="AP437" s="36">
        <v>1</v>
      </c>
      <c r="AQ437" s="36">
        <v>1</v>
      </c>
      <c r="AR437" s="36">
        <v>1</v>
      </c>
      <c r="AS437" s="36">
        <v>1</v>
      </c>
      <c r="AT437" s="36">
        <v>1</v>
      </c>
      <c r="AU437" s="36">
        <v>1</v>
      </c>
      <c r="AV437" s="36">
        <v>1</v>
      </c>
      <c r="AW437" s="36">
        <v>1</v>
      </c>
      <c r="AX437" s="36">
        <v>1</v>
      </c>
      <c r="AY437" s="36">
        <v>1</v>
      </c>
      <c r="AZ437" s="36">
        <v>1</v>
      </c>
      <c r="BA437" s="36">
        <v>1</v>
      </c>
      <c r="BB437" s="36">
        <v>1</v>
      </c>
      <c r="BC437" s="36">
        <v>1</v>
      </c>
      <c r="BD437" s="37">
        <v>1</v>
      </c>
    </row>
    <row r="438" spans="1:56" s="3" customFormat="1" ht="18" customHeight="1" x14ac:dyDescent="0.2">
      <c r="A438" s="162"/>
      <c r="B438" s="120"/>
      <c r="C438" s="162"/>
      <c r="D438" s="120"/>
      <c r="H438" s="39">
        <v>14</v>
      </c>
      <c r="I438" s="35">
        <v>1</v>
      </c>
      <c r="J438" s="36">
        <v>1</v>
      </c>
      <c r="K438" s="36">
        <v>1</v>
      </c>
      <c r="L438" s="36">
        <v>1</v>
      </c>
      <c r="M438" s="36">
        <v>1</v>
      </c>
      <c r="N438" s="36">
        <v>1</v>
      </c>
      <c r="O438" s="36">
        <v>1</v>
      </c>
      <c r="P438" s="36">
        <v>1</v>
      </c>
      <c r="Q438" s="36">
        <v>1</v>
      </c>
      <c r="R438" s="36">
        <v>1</v>
      </c>
      <c r="S438" s="36">
        <v>1</v>
      </c>
      <c r="T438" s="36">
        <v>1</v>
      </c>
      <c r="U438" s="36">
        <v>1</v>
      </c>
      <c r="V438" s="36">
        <v>1</v>
      </c>
      <c r="W438" s="36">
        <v>1</v>
      </c>
      <c r="X438" s="36">
        <v>1</v>
      </c>
      <c r="Y438" s="36">
        <v>1</v>
      </c>
      <c r="Z438" s="36">
        <v>1</v>
      </c>
      <c r="AA438" s="36">
        <v>1</v>
      </c>
      <c r="AB438" s="36">
        <v>1</v>
      </c>
      <c r="AC438" s="36">
        <v>1</v>
      </c>
      <c r="AD438" s="36">
        <v>1</v>
      </c>
      <c r="AE438" s="36">
        <v>1</v>
      </c>
      <c r="AF438" s="36">
        <v>1</v>
      </c>
      <c r="AG438" s="36">
        <v>1</v>
      </c>
      <c r="AH438" s="36">
        <v>1</v>
      </c>
      <c r="AI438" s="36">
        <v>1</v>
      </c>
      <c r="AJ438" s="36">
        <v>1</v>
      </c>
      <c r="AK438" s="36">
        <v>1</v>
      </c>
      <c r="AL438" s="36">
        <v>1</v>
      </c>
      <c r="AM438" s="36">
        <v>1</v>
      </c>
      <c r="AN438" s="36">
        <v>1</v>
      </c>
      <c r="AO438" s="36">
        <v>1</v>
      </c>
      <c r="AP438" s="36">
        <v>1</v>
      </c>
      <c r="AQ438" s="36">
        <v>1</v>
      </c>
      <c r="AR438" s="36">
        <v>1</v>
      </c>
      <c r="AS438" s="36">
        <v>1</v>
      </c>
      <c r="AT438" s="36">
        <v>1</v>
      </c>
      <c r="AU438" s="36">
        <v>1</v>
      </c>
      <c r="AV438" s="36">
        <v>1</v>
      </c>
      <c r="AW438" s="36">
        <v>1</v>
      </c>
      <c r="AX438" s="36">
        <v>1</v>
      </c>
      <c r="AY438" s="36">
        <v>1</v>
      </c>
      <c r="AZ438" s="36">
        <v>1</v>
      </c>
      <c r="BA438" s="36">
        <v>1</v>
      </c>
      <c r="BB438" s="36">
        <v>1</v>
      </c>
      <c r="BC438" s="36">
        <v>1</v>
      </c>
      <c r="BD438" s="37">
        <v>1</v>
      </c>
    </row>
    <row r="439" spans="1:56" s="3" customFormat="1" ht="18" customHeight="1" x14ac:dyDescent="0.2">
      <c r="A439" s="162"/>
      <c r="B439" s="120"/>
      <c r="C439" s="162"/>
      <c r="D439" s="120"/>
      <c r="H439" s="39">
        <v>15</v>
      </c>
      <c r="I439" s="35">
        <v>1</v>
      </c>
      <c r="J439" s="36">
        <v>1</v>
      </c>
      <c r="K439" s="36">
        <v>1</v>
      </c>
      <c r="L439" s="36">
        <v>1</v>
      </c>
      <c r="M439" s="36">
        <v>1</v>
      </c>
      <c r="N439" s="36">
        <v>1</v>
      </c>
      <c r="O439" s="36">
        <v>1</v>
      </c>
      <c r="P439" s="36">
        <v>1</v>
      </c>
      <c r="Q439" s="36">
        <v>1</v>
      </c>
      <c r="R439" s="36">
        <v>1</v>
      </c>
      <c r="S439" s="36">
        <v>1</v>
      </c>
      <c r="T439" s="36">
        <v>1</v>
      </c>
      <c r="U439" s="36">
        <v>1</v>
      </c>
      <c r="V439" s="36">
        <v>1</v>
      </c>
      <c r="W439" s="36">
        <v>1</v>
      </c>
      <c r="X439" s="36">
        <v>1</v>
      </c>
      <c r="Y439" s="36">
        <v>1</v>
      </c>
      <c r="Z439" s="36">
        <v>1</v>
      </c>
      <c r="AA439" s="36">
        <v>1</v>
      </c>
      <c r="AB439" s="36">
        <v>1</v>
      </c>
      <c r="AC439" s="36">
        <v>1</v>
      </c>
      <c r="AD439" s="36">
        <v>1</v>
      </c>
      <c r="AE439" s="36">
        <v>1</v>
      </c>
      <c r="AF439" s="36">
        <v>1</v>
      </c>
      <c r="AG439" s="36">
        <v>1</v>
      </c>
      <c r="AH439" s="36">
        <v>1</v>
      </c>
      <c r="AI439" s="36">
        <v>1</v>
      </c>
      <c r="AJ439" s="36">
        <v>1</v>
      </c>
      <c r="AK439" s="36">
        <v>1</v>
      </c>
      <c r="AL439" s="36">
        <v>1</v>
      </c>
      <c r="AM439" s="36">
        <v>1</v>
      </c>
      <c r="AN439" s="36">
        <v>1</v>
      </c>
      <c r="AO439" s="36">
        <v>1</v>
      </c>
      <c r="AP439" s="36">
        <v>1</v>
      </c>
      <c r="AQ439" s="36">
        <v>1</v>
      </c>
      <c r="AR439" s="36">
        <v>1</v>
      </c>
      <c r="AS439" s="36">
        <v>1</v>
      </c>
      <c r="AT439" s="36">
        <v>1</v>
      </c>
      <c r="AU439" s="36">
        <v>1</v>
      </c>
      <c r="AV439" s="36">
        <v>1</v>
      </c>
      <c r="AW439" s="36">
        <v>1</v>
      </c>
      <c r="AX439" s="36">
        <v>1</v>
      </c>
      <c r="AY439" s="36">
        <v>1</v>
      </c>
      <c r="AZ439" s="36">
        <v>1</v>
      </c>
      <c r="BA439" s="36">
        <v>1</v>
      </c>
      <c r="BB439" s="36">
        <v>1</v>
      </c>
      <c r="BC439" s="36">
        <v>1</v>
      </c>
      <c r="BD439" s="37">
        <v>1</v>
      </c>
    </row>
    <row r="440" spans="1:56" s="3" customFormat="1" ht="18" customHeight="1" x14ac:dyDescent="0.2">
      <c r="A440" s="162"/>
      <c r="B440" s="120"/>
      <c r="C440" s="162"/>
      <c r="D440" s="120"/>
      <c r="H440" s="39">
        <v>16</v>
      </c>
      <c r="I440" s="35">
        <v>1</v>
      </c>
      <c r="J440" s="36">
        <v>1</v>
      </c>
      <c r="K440" s="36">
        <v>1</v>
      </c>
      <c r="L440" s="36">
        <v>1</v>
      </c>
      <c r="M440" s="36">
        <v>1</v>
      </c>
      <c r="N440" s="36">
        <v>1</v>
      </c>
      <c r="O440" s="36">
        <v>1</v>
      </c>
      <c r="P440" s="36">
        <v>1</v>
      </c>
      <c r="Q440" s="36">
        <v>1</v>
      </c>
      <c r="R440" s="36">
        <v>1</v>
      </c>
      <c r="S440" s="36">
        <v>1</v>
      </c>
      <c r="T440" s="36">
        <v>1</v>
      </c>
      <c r="U440" s="36">
        <v>1</v>
      </c>
      <c r="V440" s="36">
        <v>1</v>
      </c>
      <c r="W440" s="36">
        <v>1</v>
      </c>
      <c r="X440" s="36">
        <v>1</v>
      </c>
      <c r="Y440" s="36">
        <v>1</v>
      </c>
      <c r="Z440" s="36">
        <v>1</v>
      </c>
      <c r="AA440" s="36">
        <v>1</v>
      </c>
      <c r="AB440" s="36">
        <v>1</v>
      </c>
      <c r="AC440" s="36">
        <v>1</v>
      </c>
      <c r="AD440" s="36">
        <v>1</v>
      </c>
      <c r="AE440" s="36">
        <v>1</v>
      </c>
      <c r="AF440" s="36">
        <v>1</v>
      </c>
      <c r="AG440" s="36">
        <v>1</v>
      </c>
      <c r="AH440" s="36">
        <v>1</v>
      </c>
      <c r="AI440" s="36">
        <v>1</v>
      </c>
      <c r="AJ440" s="36">
        <v>1</v>
      </c>
      <c r="AK440" s="36">
        <v>1</v>
      </c>
      <c r="AL440" s="36">
        <v>1</v>
      </c>
      <c r="AM440" s="36">
        <v>1</v>
      </c>
      <c r="AN440" s="36">
        <v>1</v>
      </c>
      <c r="AO440" s="36">
        <v>1</v>
      </c>
      <c r="AP440" s="36">
        <v>1</v>
      </c>
      <c r="AQ440" s="36">
        <v>1</v>
      </c>
      <c r="AR440" s="36">
        <v>1</v>
      </c>
      <c r="AS440" s="36">
        <v>1</v>
      </c>
      <c r="AT440" s="36">
        <v>1</v>
      </c>
      <c r="AU440" s="36">
        <v>1</v>
      </c>
      <c r="AV440" s="36">
        <v>1</v>
      </c>
      <c r="AW440" s="36">
        <v>1</v>
      </c>
      <c r="AX440" s="36">
        <v>1</v>
      </c>
      <c r="AY440" s="36">
        <v>1</v>
      </c>
      <c r="AZ440" s="36">
        <v>1</v>
      </c>
      <c r="BA440" s="36">
        <v>1</v>
      </c>
      <c r="BB440" s="36">
        <v>1</v>
      </c>
      <c r="BC440" s="36">
        <v>1</v>
      </c>
      <c r="BD440" s="37">
        <v>1</v>
      </c>
    </row>
    <row r="441" spans="1:56" s="3" customFormat="1" ht="18" customHeight="1" x14ac:dyDescent="0.2">
      <c r="A441" s="162"/>
      <c r="B441" s="120"/>
      <c r="C441" s="162"/>
      <c r="D441" s="120"/>
      <c r="H441" s="39">
        <v>17</v>
      </c>
      <c r="I441" s="35">
        <v>1</v>
      </c>
      <c r="J441" s="36">
        <v>1</v>
      </c>
      <c r="K441" s="36">
        <v>1</v>
      </c>
      <c r="L441" s="36">
        <v>1</v>
      </c>
      <c r="M441" s="36">
        <v>1</v>
      </c>
      <c r="N441" s="36">
        <v>1</v>
      </c>
      <c r="O441" s="36">
        <v>1</v>
      </c>
      <c r="P441" s="36">
        <v>1</v>
      </c>
      <c r="Q441" s="36">
        <v>1</v>
      </c>
      <c r="R441" s="36">
        <v>1</v>
      </c>
      <c r="S441" s="36">
        <v>1</v>
      </c>
      <c r="T441" s="36">
        <v>1</v>
      </c>
      <c r="U441" s="36">
        <v>1</v>
      </c>
      <c r="V441" s="36">
        <v>1</v>
      </c>
      <c r="W441" s="36">
        <v>1</v>
      </c>
      <c r="X441" s="36">
        <v>1</v>
      </c>
      <c r="Y441" s="36">
        <v>1</v>
      </c>
      <c r="Z441" s="36">
        <v>1</v>
      </c>
      <c r="AA441" s="36">
        <v>1</v>
      </c>
      <c r="AB441" s="36">
        <v>1</v>
      </c>
      <c r="AC441" s="36">
        <v>1</v>
      </c>
      <c r="AD441" s="36">
        <v>1</v>
      </c>
      <c r="AE441" s="36">
        <v>1</v>
      </c>
      <c r="AF441" s="36">
        <v>1</v>
      </c>
      <c r="AG441" s="36">
        <v>1</v>
      </c>
      <c r="AH441" s="36">
        <v>1</v>
      </c>
      <c r="AI441" s="36">
        <v>1</v>
      </c>
      <c r="AJ441" s="36">
        <v>1</v>
      </c>
      <c r="AK441" s="36">
        <v>1</v>
      </c>
      <c r="AL441" s="36">
        <v>1</v>
      </c>
      <c r="AM441" s="36">
        <v>1</v>
      </c>
      <c r="AN441" s="36">
        <v>1</v>
      </c>
      <c r="AO441" s="36">
        <v>1</v>
      </c>
      <c r="AP441" s="36">
        <v>1</v>
      </c>
      <c r="AQ441" s="36">
        <v>1</v>
      </c>
      <c r="AR441" s="36">
        <v>1</v>
      </c>
      <c r="AS441" s="36">
        <v>1</v>
      </c>
      <c r="AT441" s="36">
        <v>1</v>
      </c>
      <c r="AU441" s="36">
        <v>1</v>
      </c>
      <c r="AV441" s="36">
        <v>1</v>
      </c>
      <c r="AW441" s="36">
        <v>1</v>
      </c>
      <c r="AX441" s="36">
        <v>1</v>
      </c>
      <c r="AY441" s="36">
        <v>1</v>
      </c>
      <c r="AZ441" s="36">
        <v>1</v>
      </c>
      <c r="BA441" s="36">
        <v>1</v>
      </c>
      <c r="BB441" s="36">
        <v>1</v>
      </c>
      <c r="BC441" s="36">
        <v>1</v>
      </c>
      <c r="BD441" s="37">
        <v>1</v>
      </c>
    </row>
    <row r="442" spans="1:56" s="3" customFormat="1" ht="18" customHeight="1" x14ac:dyDescent="0.2">
      <c r="A442" s="162"/>
      <c r="B442" s="120"/>
      <c r="C442" s="162"/>
      <c r="D442" s="120"/>
      <c r="H442" s="39">
        <v>18</v>
      </c>
      <c r="I442" s="35">
        <v>1</v>
      </c>
      <c r="J442" s="36">
        <v>1</v>
      </c>
      <c r="K442" s="36">
        <v>1</v>
      </c>
      <c r="L442" s="36">
        <v>1</v>
      </c>
      <c r="M442" s="36">
        <v>1</v>
      </c>
      <c r="N442" s="36">
        <v>1</v>
      </c>
      <c r="O442" s="36">
        <v>1</v>
      </c>
      <c r="P442" s="36">
        <v>1</v>
      </c>
      <c r="Q442" s="36">
        <v>1</v>
      </c>
      <c r="R442" s="36">
        <v>1</v>
      </c>
      <c r="S442" s="36">
        <v>1</v>
      </c>
      <c r="T442" s="36">
        <v>1</v>
      </c>
      <c r="U442" s="36">
        <v>1</v>
      </c>
      <c r="V442" s="36">
        <v>1</v>
      </c>
      <c r="W442" s="36">
        <v>1</v>
      </c>
      <c r="X442" s="36">
        <v>1</v>
      </c>
      <c r="Y442" s="36">
        <v>1</v>
      </c>
      <c r="Z442" s="36">
        <v>1</v>
      </c>
      <c r="AA442" s="36">
        <v>1</v>
      </c>
      <c r="AB442" s="36">
        <v>1</v>
      </c>
      <c r="AC442" s="36">
        <v>1</v>
      </c>
      <c r="AD442" s="36">
        <v>1</v>
      </c>
      <c r="AE442" s="36">
        <v>1</v>
      </c>
      <c r="AF442" s="36">
        <v>1</v>
      </c>
      <c r="AG442" s="36">
        <v>1</v>
      </c>
      <c r="AH442" s="36">
        <v>1</v>
      </c>
      <c r="AI442" s="36">
        <v>1</v>
      </c>
      <c r="AJ442" s="36">
        <v>1</v>
      </c>
      <c r="AK442" s="36">
        <v>1</v>
      </c>
      <c r="AL442" s="36">
        <v>1</v>
      </c>
      <c r="AM442" s="36">
        <v>1</v>
      </c>
      <c r="AN442" s="36">
        <v>1</v>
      </c>
      <c r="AO442" s="36">
        <v>1</v>
      </c>
      <c r="AP442" s="36">
        <v>1</v>
      </c>
      <c r="AQ442" s="36">
        <v>1</v>
      </c>
      <c r="AR442" s="36">
        <v>1</v>
      </c>
      <c r="AS442" s="36">
        <v>1</v>
      </c>
      <c r="AT442" s="36">
        <v>1</v>
      </c>
      <c r="AU442" s="36">
        <v>1</v>
      </c>
      <c r="AV442" s="36">
        <v>1</v>
      </c>
      <c r="AW442" s="36">
        <v>1</v>
      </c>
      <c r="AX442" s="36">
        <v>1</v>
      </c>
      <c r="AY442" s="36">
        <v>1</v>
      </c>
      <c r="AZ442" s="36">
        <v>1</v>
      </c>
      <c r="BA442" s="36">
        <v>1</v>
      </c>
      <c r="BB442" s="36">
        <v>1</v>
      </c>
      <c r="BC442" s="36">
        <v>1</v>
      </c>
      <c r="BD442" s="37">
        <v>1</v>
      </c>
    </row>
    <row r="443" spans="1:56" s="3" customFormat="1" ht="18" customHeight="1" x14ac:dyDescent="0.2">
      <c r="A443" s="47"/>
      <c r="B443" s="124"/>
      <c r="C443" s="162"/>
      <c r="D443" s="120"/>
      <c r="H443" s="39">
        <v>19</v>
      </c>
      <c r="I443" s="35">
        <v>1</v>
      </c>
      <c r="J443" s="36">
        <v>1</v>
      </c>
      <c r="K443" s="36">
        <v>1</v>
      </c>
      <c r="L443" s="36">
        <v>1</v>
      </c>
      <c r="M443" s="36">
        <v>1</v>
      </c>
      <c r="N443" s="36">
        <v>1</v>
      </c>
      <c r="O443" s="36">
        <v>1</v>
      </c>
      <c r="P443" s="36">
        <v>1</v>
      </c>
      <c r="Q443" s="36">
        <v>1</v>
      </c>
      <c r="R443" s="36">
        <v>1</v>
      </c>
      <c r="S443" s="36">
        <v>1</v>
      </c>
      <c r="T443" s="36">
        <v>1</v>
      </c>
      <c r="U443" s="36">
        <v>1</v>
      </c>
      <c r="V443" s="36">
        <v>1</v>
      </c>
      <c r="W443" s="36">
        <v>1</v>
      </c>
      <c r="X443" s="36">
        <v>1</v>
      </c>
      <c r="Y443" s="36">
        <v>1</v>
      </c>
      <c r="Z443" s="36">
        <v>1</v>
      </c>
      <c r="AA443" s="36">
        <v>1</v>
      </c>
      <c r="AB443" s="36">
        <v>1</v>
      </c>
      <c r="AC443" s="36">
        <v>1</v>
      </c>
      <c r="AD443" s="36">
        <v>1</v>
      </c>
      <c r="AE443" s="36">
        <v>1</v>
      </c>
      <c r="AF443" s="36">
        <v>1</v>
      </c>
      <c r="AG443" s="36">
        <v>1</v>
      </c>
      <c r="AH443" s="36">
        <v>1</v>
      </c>
      <c r="AI443" s="36">
        <v>1</v>
      </c>
      <c r="AJ443" s="36">
        <v>1</v>
      </c>
      <c r="AK443" s="36">
        <v>1</v>
      </c>
      <c r="AL443" s="36">
        <v>1</v>
      </c>
      <c r="AM443" s="36">
        <v>1</v>
      </c>
      <c r="AN443" s="36">
        <v>1</v>
      </c>
      <c r="AO443" s="36">
        <v>1</v>
      </c>
      <c r="AP443" s="36">
        <v>1</v>
      </c>
      <c r="AQ443" s="36">
        <v>1</v>
      </c>
      <c r="AR443" s="36">
        <v>1</v>
      </c>
      <c r="AS443" s="36">
        <v>1</v>
      </c>
      <c r="AT443" s="36">
        <v>1</v>
      </c>
      <c r="AU443" s="36">
        <v>1</v>
      </c>
      <c r="AV443" s="36">
        <v>1</v>
      </c>
      <c r="AW443" s="36">
        <v>1</v>
      </c>
      <c r="AX443" s="36">
        <v>1</v>
      </c>
      <c r="AY443" s="36">
        <v>1</v>
      </c>
      <c r="AZ443" s="36">
        <v>1</v>
      </c>
      <c r="BA443" s="36">
        <v>1</v>
      </c>
      <c r="BB443" s="36">
        <v>1</v>
      </c>
      <c r="BC443" s="36">
        <v>1</v>
      </c>
      <c r="BD443" s="37">
        <v>1</v>
      </c>
    </row>
    <row r="444" spans="1:56" s="3" customFormat="1" ht="18" customHeight="1" x14ac:dyDescent="0.2">
      <c r="A444" s="47"/>
      <c r="B444" s="124"/>
      <c r="C444" s="162"/>
      <c r="D444" s="120"/>
      <c r="H444" s="39">
        <v>20</v>
      </c>
      <c r="I444" s="35">
        <v>1</v>
      </c>
      <c r="J444" s="36">
        <v>1</v>
      </c>
      <c r="K444" s="36">
        <v>1</v>
      </c>
      <c r="L444" s="36">
        <v>1</v>
      </c>
      <c r="M444" s="36">
        <v>1</v>
      </c>
      <c r="N444" s="36">
        <v>1</v>
      </c>
      <c r="O444" s="36">
        <v>1</v>
      </c>
      <c r="P444" s="36">
        <v>1</v>
      </c>
      <c r="Q444" s="36">
        <v>1</v>
      </c>
      <c r="R444" s="36">
        <v>1</v>
      </c>
      <c r="S444" s="36">
        <v>1</v>
      </c>
      <c r="T444" s="36">
        <v>1</v>
      </c>
      <c r="U444" s="36">
        <v>1</v>
      </c>
      <c r="V444" s="36">
        <v>1</v>
      </c>
      <c r="W444" s="36">
        <v>1</v>
      </c>
      <c r="X444" s="36">
        <v>1</v>
      </c>
      <c r="Y444" s="36">
        <v>1</v>
      </c>
      <c r="Z444" s="36">
        <v>1</v>
      </c>
      <c r="AA444" s="36">
        <v>1</v>
      </c>
      <c r="AB444" s="36">
        <v>1</v>
      </c>
      <c r="AC444" s="36">
        <v>1</v>
      </c>
      <c r="AD444" s="36">
        <v>1</v>
      </c>
      <c r="AE444" s="36">
        <v>1</v>
      </c>
      <c r="AF444" s="36">
        <v>1</v>
      </c>
      <c r="AG444" s="36">
        <v>1</v>
      </c>
      <c r="AH444" s="36">
        <v>1</v>
      </c>
      <c r="AI444" s="36">
        <v>1</v>
      </c>
      <c r="AJ444" s="36">
        <v>1</v>
      </c>
      <c r="AK444" s="36">
        <v>1</v>
      </c>
      <c r="AL444" s="36">
        <v>1</v>
      </c>
      <c r="AM444" s="36">
        <v>1</v>
      </c>
      <c r="AN444" s="36">
        <v>1</v>
      </c>
      <c r="AO444" s="36">
        <v>1</v>
      </c>
      <c r="AP444" s="36">
        <v>1</v>
      </c>
      <c r="AQ444" s="36">
        <v>1</v>
      </c>
      <c r="AR444" s="36">
        <v>1</v>
      </c>
      <c r="AS444" s="36">
        <v>1</v>
      </c>
      <c r="AT444" s="36">
        <v>1</v>
      </c>
      <c r="AU444" s="36">
        <v>1</v>
      </c>
      <c r="AV444" s="36">
        <v>1</v>
      </c>
      <c r="AW444" s="36">
        <v>1</v>
      </c>
      <c r="AX444" s="36">
        <v>1</v>
      </c>
      <c r="AY444" s="36">
        <v>1</v>
      </c>
      <c r="AZ444" s="36">
        <v>1</v>
      </c>
      <c r="BA444" s="36">
        <v>1</v>
      </c>
      <c r="BB444" s="36">
        <v>1</v>
      </c>
      <c r="BC444" s="36">
        <v>1</v>
      </c>
      <c r="BD444" s="37">
        <v>1</v>
      </c>
    </row>
    <row r="445" spans="1:56" s="3" customFormat="1" ht="18" customHeight="1" x14ac:dyDescent="0.2">
      <c r="A445" s="47"/>
      <c r="B445" s="124"/>
      <c r="C445" s="162"/>
      <c r="D445" s="120"/>
      <c r="H445" s="39">
        <v>21</v>
      </c>
      <c r="I445" s="35">
        <v>1</v>
      </c>
      <c r="J445" s="36">
        <v>1</v>
      </c>
      <c r="K445" s="36">
        <v>1</v>
      </c>
      <c r="L445" s="36">
        <v>1</v>
      </c>
      <c r="M445" s="36">
        <v>1</v>
      </c>
      <c r="N445" s="36">
        <v>1</v>
      </c>
      <c r="O445" s="36">
        <v>1</v>
      </c>
      <c r="P445" s="36">
        <v>1</v>
      </c>
      <c r="Q445" s="36">
        <v>1</v>
      </c>
      <c r="R445" s="36">
        <v>1</v>
      </c>
      <c r="S445" s="36">
        <v>1</v>
      </c>
      <c r="T445" s="36">
        <v>1</v>
      </c>
      <c r="U445" s="36">
        <v>1</v>
      </c>
      <c r="V445" s="36">
        <v>1</v>
      </c>
      <c r="W445" s="36">
        <v>1</v>
      </c>
      <c r="X445" s="36">
        <v>1</v>
      </c>
      <c r="Y445" s="36">
        <v>1</v>
      </c>
      <c r="Z445" s="36">
        <v>1</v>
      </c>
      <c r="AA445" s="36">
        <v>1</v>
      </c>
      <c r="AB445" s="36">
        <v>1</v>
      </c>
      <c r="AC445" s="36">
        <v>1</v>
      </c>
      <c r="AD445" s="36">
        <v>1</v>
      </c>
      <c r="AE445" s="36">
        <v>1</v>
      </c>
      <c r="AF445" s="36">
        <v>1</v>
      </c>
      <c r="AG445" s="36">
        <v>1</v>
      </c>
      <c r="AH445" s="36">
        <v>1</v>
      </c>
      <c r="AI445" s="36">
        <v>1</v>
      </c>
      <c r="AJ445" s="36">
        <v>1</v>
      </c>
      <c r="AK445" s="36">
        <v>1</v>
      </c>
      <c r="AL445" s="36">
        <v>1</v>
      </c>
      <c r="AM445" s="36">
        <v>1</v>
      </c>
      <c r="AN445" s="36">
        <v>1</v>
      </c>
      <c r="AO445" s="36">
        <v>1</v>
      </c>
      <c r="AP445" s="36">
        <v>1</v>
      </c>
      <c r="AQ445" s="36">
        <v>1</v>
      </c>
      <c r="AR445" s="36">
        <v>1</v>
      </c>
      <c r="AS445" s="36">
        <v>1</v>
      </c>
      <c r="AT445" s="36">
        <v>1</v>
      </c>
      <c r="AU445" s="36">
        <v>1</v>
      </c>
      <c r="AV445" s="36">
        <v>1</v>
      </c>
      <c r="AW445" s="36">
        <v>1</v>
      </c>
      <c r="AX445" s="36">
        <v>1</v>
      </c>
      <c r="AY445" s="36">
        <v>1</v>
      </c>
      <c r="AZ445" s="36">
        <v>1</v>
      </c>
      <c r="BA445" s="36">
        <v>1</v>
      </c>
      <c r="BB445" s="36">
        <v>1</v>
      </c>
      <c r="BC445" s="36">
        <v>1</v>
      </c>
      <c r="BD445" s="37">
        <v>1</v>
      </c>
    </row>
    <row r="446" spans="1:56" s="3" customFormat="1" ht="18" customHeight="1" x14ac:dyDescent="0.2">
      <c r="A446" s="47"/>
      <c r="B446" s="124"/>
      <c r="C446" s="162"/>
      <c r="D446" s="120"/>
      <c r="H446" s="39">
        <v>22</v>
      </c>
      <c r="I446" s="35">
        <v>1</v>
      </c>
      <c r="J446" s="36">
        <v>1</v>
      </c>
      <c r="K446" s="36">
        <v>1</v>
      </c>
      <c r="L446" s="36">
        <v>1</v>
      </c>
      <c r="M446" s="36">
        <v>1</v>
      </c>
      <c r="N446" s="36">
        <v>1</v>
      </c>
      <c r="O446" s="36">
        <v>1</v>
      </c>
      <c r="P446" s="36">
        <v>1</v>
      </c>
      <c r="Q446" s="36">
        <v>1</v>
      </c>
      <c r="R446" s="36">
        <v>1</v>
      </c>
      <c r="S446" s="36">
        <v>1</v>
      </c>
      <c r="T446" s="36">
        <v>1</v>
      </c>
      <c r="U446" s="36">
        <v>1</v>
      </c>
      <c r="V446" s="36">
        <v>1</v>
      </c>
      <c r="W446" s="36">
        <v>1</v>
      </c>
      <c r="X446" s="36">
        <v>1</v>
      </c>
      <c r="Y446" s="36">
        <v>1</v>
      </c>
      <c r="Z446" s="36">
        <v>1</v>
      </c>
      <c r="AA446" s="36">
        <v>1</v>
      </c>
      <c r="AB446" s="36">
        <v>1</v>
      </c>
      <c r="AC446" s="36">
        <v>1</v>
      </c>
      <c r="AD446" s="36">
        <v>1</v>
      </c>
      <c r="AE446" s="36">
        <v>1</v>
      </c>
      <c r="AF446" s="36">
        <v>1</v>
      </c>
      <c r="AG446" s="36">
        <v>1</v>
      </c>
      <c r="AH446" s="36">
        <v>1</v>
      </c>
      <c r="AI446" s="36">
        <v>1</v>
      </c>
      <c r="AJ446" s="36">
        <v>1</v>
      </c>
      <c r="AK446" s="36">
        <v>1</v>
      </c>
      <c r="AL446" s="36">
        <v>1</v>
      </c>
      <c r="AM446" s="36">
        <v>1</v>
      </c>
      <c r="AN446" s="36">
        <v>1</v>
      </c>
      <c r="AO446" s="36">
        <v>1</v>
      </c>
      <c r="AP446" s="36">
        <v>1</v>
      </c>
      <c r="AQ446" s="36">
        <v>1</v>
      </c>
      <c r="AR446" s="36">
        <v>1</v>
      </c>
      <c r="AS446" s="36">
        <v>1</v>
      </c>
      <c r="AT446" s="36">
        <v>1</v>
      </c>
      <c r="AU446" s="36">
        <v>1</v>
      </c>
      <c r="AV446" s="36">
        <v>1</v>
      </c>
      <c r="AW446" s="36">
        <v>1</v>
      </c>
      <c r="AX446" s="36">
        <v>1</v>
      </c>
      <c r="AY446" s="36">
        <v>1</v>
      </c>
      <c r="AZ446" s="36">
        <v>1</v>
      </c>
      <c r="BA446" s="36">
        <v>1</v>
      </c>
      <c r="BB446" s="36">
        <v>1</v>
      </c>
      <c r="BC446" s="36">
        <v>1</v>
      </c>
      <c r="BD446" s="37">
        <v>1</v>
      </c>
    </row>
    <row r="447" spans="1:56" s="3" customFormat="1" ht="18" customHeight="1" x14ac:dyDescent="0.2">
      <c r="A447" s="47"/>
      <c r="B447" s="124"/>
      <c r="C447" s="162"/>
      <c r="D447" s="120"/>
      <c r="H447" s="39">
        <v>23</v>
      </c>
      <c r="I447" s="35">
        <v>1</v>
      </c>
      <c r="J447" s="36">
        <v>1</v>
      </c>
      <c r="K447" s="36">
        <v>1</v>
      </c>
      <c r="L447" s="36">
        <v>1</v>
      </c>
      <c r="M447" s="36">
        <v>1</v>
      </c>
      <c r="N447" s="36">
        <v>1</v>
      </c>
      <c r="O447" s="36">
        <v>1</v>
      </c>
      <c r="P447" s="36">
        <v>1</v>
      </c>
      <c r="Q447" s="36">
        <v>1</v>
      </c>
      <c r="R447" s="36">
        <v>1</v>
      </c>
      <c r="S447" s="36">
        <v>1</v>
      </c>
      <c r="T447" s="36">
        <v>1</v>
      </c>
      <c r="U447" s="36">
        <v>1</v>
      </c>
      <c r="V447" s="36">
        <v>1</v>
      </c>
      <c r="W447" s="36">
        <v>1</v>
      </c>
      <c r="X447" s="36">
        <v>1</v>
      </c>
      <c r="Y447" s="36">
        <v>1</v>
      </c>
      <c r="Z447" s="36">
        <v>1</v>
      </c>
      <c r="AA447" s="36">
        <v>1</v>
      </c>
      <c r="AB447" s="36">
        <v>1</v>
      </c>
      <c r="AC447" s="36">
        <v>1</v>
      </c>
      <c r="AD447" s="36">
        <v>1</v>
      </c>
      <c r="AE447" s="36">
        <v>1</v>
      </c>
      <c r="AF447" s="36">
        <v>1</v>
      </c>
      <c r="AG447" s="36">
        <v>1</v>
      </c>
      <c r="AH447" s="36">
        <v>1</v>
      </c>
      <c r="AI447" s="36">
        <v>1</v>
      </c>
      <c r="AJ447" s="36">
        <v>1</v>
      </c>
      <c r="AK447" s="36">
        <v>1</v>
      </c>
      <c r="AL447" s="36">
        <v>1</v>
      </c>
      <c r="AM447" s="36">
        <v>1</v>
      </c>
      <c r="AN447" s="36">
        <v>1</v>
      </c>
      <c r="AO447" s="36">
        <v>1</v>
      </c>
      <c r="AP447" s="36">
        <v>1</v>
      </c>
      <c r="AQ447" s="36">
        <v>1</v>
      </c>
      <c r="AR447" s="36">
        <v>1</v>
      </c>
      <c r="AS447" s="36">
        <v>1</v>
      </c>
      <c r="AT447" s="36">
        <v>1</v>
      </c>
      <c r="AU447" s="36">
        <v>1</v>
      </c>
      <c r="AV447" s="36">
        <v>1</v>
      </c>
      <c r="AW447" s="36">
        <v>1</v>
      </c>
      <c r="AX447" s="36">
        <v>1</v>
      </c>
      <c r="AY447" s="36">
        <v>1</v>
      </c>
      <c r="AZ447" s="36">
        <v>1</v>
      </c>
      <c r="BA447" s="36">
        <v>1</v>
      </c>
      <c r="BB447" s="36">
        <v>1</v>
      </c>
      <c r="BC447" s="36">
        <v>1</v>
      </c>
      <c r="BD447" s="37">
        <v>1</v>
      </c>
    </row>
    <row r="448" spans="1:56" s="3" customFormat="1" ht="18" customHeight="1" x14ac:dyDescent="0.2">
      <c r="A448" s="47"/>
      <c r="B448" s="124"/>
      <c r="C448" s="162"/>
      <c r="D448" s="120"/>
      <c r="H448" s="39">
        <v>24</v>
      </c>
      <c r="I448" s="35">
        <v>1</v>
      </c>
      <c r="J448" s="36">
        <v>1</v>
      </c>
      <c r="K448" s="36">
        <v>1</v>
      </c>
      <c r="L448" s="36">
        <v>1</v>
      </c>
      <c r="M448" s="36">
        <v>1</v>
      </c>
      <c r="N448" s="36">
        <v>1</v>
      </c>
      <c r="O448" s="36">
        <v>1</v>
      </c>
      <c r="P448" s="36">
        <v>1</v>
      </c>
      <c r="Q448" s="36">
        <v>1</v>
      </c>
      <c r="R448" s="36">
        <v>1</v>
      </c>
      <c r="S448" s="36">
        <v>1</v>
      </c>
      <c r="T448" s="36">
        <v>1</v>
      </c>
      <c r="U448" s="36">
        <v>1</v>
      </c>
      <c r="V448" s="36">
        <v>1</v>
      </c>
      <c r="W448" s="36">
        <v>1</v>
      </c>
      <c r="X448" s="36">
        <v>1</v>
      </c>
      <c r="Y448" s="36">
        <v>1</v>
      </c>
      <c r="Z448" s="36">
        <v>1</v>
      </c>
      <c r="AA448" s="36">
        <v>1</v>
      </c>
      <c r="AB448" s="36">
        <v>1</v>
      </c>
      <c r="AC448" s="36">
        <v>1</v>
      </c>
      <c r="AD448" s="36">
        <v>1</v>
      </c>
      <c r="AE448" s="36">
        <v>1</v>
      </c>
      <c r="AF448" s="36">
        <v>1</v>
      </c>
      <c r="AG448" s="36">
        <v>1</v>
      </c>
      <c r="AH448" s="36">
        <v>1</v>
      </c>
      <c r="AI448" s="36">
        <v>1</v>
      </c>
      <c r="AJ448" s="36">
        <v>1</v>
      </c>
      <c r="AK448" s="36">
        <v>1</v>
      </c>
      <c r="AL448" s="36">
        <v>1</v>
      </c>
      <c r="AM448" s="36">
        <v>1</v>
      </c>
      <c r="AN448" s="36">
        <v>1</v>
      </c>
      <c r="AO448" s="36">
        <v>1</v>
      </c>
      <c r="AP448" s="36">
        <v>1</v>
      </c>
      <c r="AQ448" s="36">
        <v>1</v>
      </c>
      <c r="AR448" s="36">
        <v>1</v>
      </c>
      <c r="AS448" s="36">
        <v>1</v>
      </c>
      <c r="AT448" s="36">
        <v>1</v>
      </c>
      <c r="AU448" s="36">
        <v>1</v>
      </c>
      <c r="AV448" s="36">
        <v>1</v>
      </c>
      <c r="AW448" s="36">
        <v>1</v>
      </c>
      <c r="AX448" s="36">
        <v>1</v>
      </c>
      <c r="AY448" s="36">
        <v>1</v>
      </c>
      <c r="AZ448" s="36">
        <v>1</v>
      </c>
      <c r="BA448" s="36">
        <v>1</v>
      </c>
      <c r="BB448" s="36">
        <v>1</v>
      </c>
      <c r="BC448" s="36">
        <v>1</v>
      </c>
      <c r="BD448" s="37">
        <v>1</v>
      </c>
    </row>
    <row r="449" spans="1:56" s="3" customFormat="1" ht="18" customHeight="1" x14ac:dyDescent="0.2">
      <c r="A449" s="47"/>
      <c r="B449" s="124"/>
      <c r="C449" s="162"/>
      <c r="D449" s="120"/>
      <c r="H449" s="39">
        <v>25</v>
      </c>
      <c r="I449" s="35">
        <v>1</v>
      </c>
      <c r="J449" s="36">
        <v>1</v>
      </c>
      <c r="K449" s="36">
        <v>1</v>
      </c>
      <c r="L449" s="36">
        <v>1</v>
      </c>
      <c r="M449" s="36">
        <v>1</v>
      </c>
      <c r="N449" s="36">
        <v>1</v>
      </c>
      <c r="O449" s="36">
        <v>1</v>
      </c>
      <c r="P449" s="36">
        <v>1</v>
      </c>
      <c r="Q449" s="36">
        <v>1</v>
      </c>
      <c r="R449" s="36">
        <v>1</v>
      </c>
      <c r="S449" s="36">
        <v>1</v>
      </c>
      <c r="T449" s="36">
        <v>1</v>
      </c>
      <c r="U449" s="36">
        <v>1</v>
      </c>
      <c r="V449" s="36">
        <v>1</v>
      </c>
      <c r="W449" s="36">
        <v>1</v>
      </c>
      <c r="X449" s="36">
        <v>1</v>
      </c>
      <c r="Y449" s="36">
        <v>1</v>
      </c>
      <c r="Z449" s="36">
        <v>1</v>
      </c>
      <c r="AA449" s="36">
        <v>1</v>
      </c>
      <c r="AB449" s="36">
        <v>1</v>
      </c>
      <c r="AC449" s="36">
        <v>1</v>
      </c>
      <c r="AD449" s="36">
        <v>1</v>
      </c>
      <c r="AE449" s="36">
        <v>1</v>
      </c>
      <c r="AF449" s="36">
        <v>1</v>
      </c>
      <c r="AG449" s="36">
        <v>1</v>
      </c>
      <c r="AH449" s="36">
        <v>1</v>
      </c>
      <c r="AI449" s="36">
        <v>1</v>
      </c>
      <c r="AJ449" s="36">
        <v>1</v>
      </c>
      <c r="AK449" s="36">
        <v>1</v>
      </c>
      <c r="AL449" s="36">
        <v>1</v>
      </c>
      <c r="AM449" s="36">
        <v>1</v>
      </c>
      <c r="AN449" s="36">
        <v>1</v>
      </c>
      <c r="AO449" s="36">
        <v>1</v>
      </c>
      <c r="AP449" s="36">
        <v>1</v>
      </c>
      <c r="AQ449" s="36">
        <v>1</v>
      </c>
      <c r="AR449" s="36">
        <v>1</v>
      </c>
      <c r="AS449" s="36">
        <v>1</v>
      </c>
      <c r="AT449" s="36">
        <v>1</v>
      </c>
      <c r="AU449" s="36">
        <v>1</v>
      </c>
      <c r="AV449" s="36">
        <v>1</v>
      </c>
      <c r="AW449" s="36">
        <v>1</v>
      </c>
      <c r="AX449" s="36">
        <v>1</v>
      </c>
      <c r="AY449" s="36">
        <v>1</v>
      </c>
      <c r="AZ449" s="36">
        <v>1</v>
      </c>
      <c r="BA449" s="36">
        <v>1</v>
      </c>
      <c r="BB449" s="36">
        <v>1</v>
      </c>
      <c r="BC449" s="36">
        <v>1</v>
      </c>
      <c r="BD449" s="37">
        <v>1</v>
      </c>
    </row>
    <row r="450" spans="1:56" s="3" customFormat="1" ht="18" customHeight="1" x14ac:dyDescent="0.2">
      <c r="A450" s="47"/>
      <c r="B450" s="124"/>
      <c r="C450" s="162"/>
      <c r="D450" s="120"/>
      <c r="H450" s="39">
        <v>26</v>
      </c>
      <c r="I450" s="35">
        <v>1</v>
      </c>
      <c r="J450" s="36">
        <v>1</v>
      </c>
      <c r="K450" s="36">
        <v>1</v>
      </c>
      <c r="L450" s="36">
        <v>1</v>
      </c>
      <c r="M450" s="36">
        <v>1</v>
      </c>
      <c r="N450" s="36">
        <v>1</v>
      </c>
      <c r="O450" s="36">
        <v>1</v>
      </c>
      <c r="P450" s="36">
        <v>1</v>
      </c>
      <c r="Q450" s="36">
        <v>1</v>
      </c>
      <c r="R450" s="36">
        <v>1</v>
      </c>
      <c r="S450" s="36">
        <v>1</v>
      </c>
      <c r="T450" s="36">
        <v>1</v>
      </c>
      <c r="U450" s="36">
        <v>1</v>
      </c>
      <c r="V450" s="36">
        <v>1</v>
      </c>
      <c r="W450" s="36">
        <v>1</v>
      </c>
      <c r="X450" s="36">
        <v>1</v>
      </c>
      <c r="Y450" s="36">
        <v>1</v>
      </c>
      <c r="Z450" s="36">
        <v>1</v>
      </c>
      <c r="AA450" s="36">
        <v>1</v>
      </c>
      <c r="AB450" s="36">
        <v>1</v>
      </c>
      <c r="AC450" s="36">
        <v>1</v>
      </c>
      <c r="AD450" s="36">
        <v>1</v>
      </c>
      <c r="AE450" s="36">
        <v>1</v>
      </c>
      <c r="AF450" s="36">
        <v>1</v>
      </c>
      <c r="AG450" s="36">
        <v>1</v>
      </c>
      <c r="AH450" s="36">
        <v>1</v>
      </c>
      <c r="AI450" s="36">
        <v>1</v>
      </c>
      <c r="AJ450" s="36">
        <v>1</v>
      </c>
      <c r="AK450" s="36">
        <v>1</v>
      </c>
      <c r="AL450" s="36">
        <v>1</v>
      </c>
      <c r="AM450" s="36">
        <v>1</v>
      </c>
      <c r="AN450" s="36">
        <v>1</v>
      </c>
      <c r="AO450" s="36">
        <v>1</v>
      </c>
      <c r="AP450" s="36">
        <v>1</v>
      </c>
      <c r="AQ450" s="36">
        <v>1</v>
      </c>
      <c r="AR450" s="36">
        <v>1</v>
      </c>
      <c r="AS450" s="36">
        <v>1</v>
      </c>
      <c r="AT450" s="36">
        <v>1</v>
      </c>
      <c r="AU450" s="36">
        <v>1</v>
      </c>
      <c r="AV450" s="36">
        <v>1</v>
      </c>
      <c r="AW450" s="36">
        <v>1</v>
      </c>
      <c r="AX450" s="36">
        <v>1</v>
      </c>
      <c r="AY450" s="36">
        <v>1</v>
      </c>
      <c r="AZ450" s="36">
        <v>1</v>
      </c>
      <c r="BA450" s="36">
        <v>1</v>
      </c>
      <c r="BB450" s="36">
        <v>1</v>
      </c>
      <c r="BC450" s="36">
        <v>1</v>
      </c>
      <c r="BD450" s="37">
        <v>1</v>
      </c>
    </row>
    <row r="451" spans="1:56" s="3" customFormat="1" ht="18" customHeight="1" x14ac:dyDescent="0.2">
      <c r="A451" s="47"/>
      <c r="B451" s="124"/>
      <c r="C451" s="162"/>
      <c r="D451" s="120"/>
      <c r="H451" s="39">
        <v>27</v>
      </c>
      <c r="I451" s="35">
        <v>1</v>
      </c>
      <c r="J451" s="36">
        <v>1</v>
      </c>
      <c r="K451" s="36">
        <v>1</v>
      </c>
      <c r="L451" s="36">
        <v>1</v>
      </c>
      <c r="M451" s="36">
        <v>1</v>
      </c>
      <c r="N451" s="36">
        <v>1</v>
      </c>
      <c r="O451" s="36">
        <v>1</v>
      </c>
      <c r="P451" s="36">
        <v>1</v>
      </c>
      <c r="Q451" s="36">
        <v>1</v>
      </c>
      <c r="R451" s="36">
        <v>1</v>
      </c>
      <c r="S451" s="36">
        <v>1</v>
      </c>
      <c r="T451" s="36">
        <v>1</v>
      </c>
      <c r="U451" s="36">
        <v>1</v>
      </c>
      <c r="V451" s="36">
        <v>1</v>
      </c>
      <c r="W451" s="36">
        <v>1</v>
      </c>
      <c r="X451" s="36">
        <v>1</v>
      </c>
      <c r="Y451" s="36">
        <v>1</v>
      </c>
      <c r="Z451" s="36">
        <v>1</v>
      </c>
      <c r="AA451" s="36">
        <v>1</v>
      </c>
      <c r="AB451" s="36">
        <v>1</v>
      </c>
      <c r="AC451" s="36">
        <v>1</v>
      </c>
      <c r="AD451" s="36">
        <v>1</v>
      </c>
      <c r="AE451" s="36">
        <v>1</v>
      </c>
      <c r="AF451" s="36">
        <v>1</v>
      </c>
      <c r="AG451" s="36">
        <v>1</v>
      </c>
      <c r="AH451" s="36">
        <v>1</v>
      </c>
      <c r="AI451" s="36">
        <v>1</v>
      </c>
      <c r="AJ451" s="36">
        <v>1</v>
      </c>
      <c r="AK451" s="36">
        <v>1</v>
      </c>
      <c r="AL451" s="36">
        <v>1</v>
      </c>
      <c r="AM451" s="36">
        <v>1</v>
      </c>
      <c r="AN451" s="36">
        <v>1</v>
      </c>
      <c r="AO451" s="36">
        <v>1</v>
      </c>
      <c r="AP451" s="36">
        <v>1</v>
      </c>
      <c r="AQ451" s="36">
        <v>1</v>
      </c>
      <c r="AR451" s="36">
        <v>1</v>
      </c>
      <c r="AS451" s="36">
        <v>1</v>
      </c>
      <c r="AT451" s="36">
        <v>1</v>
      </c>
      <c r="AU451" s="36">
        <v>1</v>
      </c>
      <c r="AV451" s="36">
        <v>1</v>
      </c>
      <c r="AW451" s="36">
        <v>1</v>
      </c>
      <c r="AX451" s="36">
        <v>1</v>
      </c>
      <c r="AY451" s="36">
        <v>1</v>
      </c>
      <c r="AZ451" s="36">
        <v>1</v>
      </c>
      <c r="BA451" s="36">
        <v>1</v>
      </c>
      <c r="BB451" s="36">
        <v>1</v>
      </c>
      <c r="BC451" s="36">
        <v>1</v>
      </c>
      <c r="BD451" s="37">
        <v>1</v>
      </c>
    </row>
    <row r="452" spans="1:56" s="3" customFormat="1" ht="18" customHeight="1" x14ac:dyDescent="0.2">
      <c r="A452" s="47"/>
      <c r="B452" s="124"/>
      <c r="C452" s="162"/>
      <c r="D452" s="120"/>
      <c r="H452" s="39">
        <v>28</v>
      </c>
      <c r="I452" s="35">
        <v>1</v>
      </c>
      <c r="J452" s="36">
        <v>1</v>
      </c>
      <c r="K452" s="36">
        <v>1</v>
      </c>
      <c r="L452" s="36">
        <v>1</v>
      </c>
      <c r="M452" s="36">
        <v>1</v>
      </c>
      <c r="N452" s="36">
        <v>1</v>
      </c>
      <c r="O452" s="36">
        <v>1</v>
      </c>
      <c r="P452" s="36">
        <v>1</v>
      </c>
      <c r="Q452" s="36">
        <v>1</v>
      </c>
      <c r="R452" s="36">
        <v>1</v>
      </c>
      <c r="S452" s="36">
        <v>1</v>
      </c>
      <c r="T452" s="36">
        <v>1</v>
      </c>
      <c r="U452" s="36">
        <v>1</v>
      </c>
      <c r="V452" s="36">
        <v>1</v>
      </c>
      <c r="W452" s="36">
        <v>1</v>
      </c>
      <c r="X452" s="36">
        <v>1</v>
      </c>
      <c r="Y452" s="36">
        <v>1</v>
      </c>
      <c r="Z452" s="36">
        <v>1</v>
      </c>
      <c r="AA452" s="36">
        <v>1</v>
      </c>
      <c r="AB452" s="36">
        <v>1</v>
      </c>
      <c r="AC452" s="36">
        <v>1</v>
      </c>
      <c r="AD452" s="36">
        <v>1</v>
      </c>
      <c r="AE452" s="36">
        <v>1</v>
      </c>
      <c r="AF452" s="36">
        <v>1</v>
      </c>
      <c r="AG452" s="36">
        <v>1</v>
      </c>
      <c r="AH452" s="36">
        <v>1</v>
      </c>
      <c r="AI452" s="36">
        <v>1</v>
      </c>
      <c r="AJ452" s="36">
        <v>1</v>
      </c>
      <c r="AK452" s="36">
        <v>1</v>
      </c>
      <c r="AL452" s="36">
        <v>1</v>
      </c>
      <c r="AM452" s="36">
        <v>1</v>
      </c>
      <c r="AN452" s="36">
        <v>1</v>
      </c>
      <c r="AO452" s="36">
        <v>1</v>
      </c>
      <c r="AP452" s="36">
        <v>1</v>
      </c>
      <c r="AQ452" s="36">
        <v>1</v>
      </c>
      <c r="AR452" s="36">
        <v>1</v>
      </c>
      <c r="AS452" s="36">
        <v>1</v>
      </c>
      <c r="AT452" s="36">
        <v>1</v>
      </c>
      <c r="AU452" s="36">
        <v>1</v>
      </c>
      <c r="AV452" s="36">
        <v>1</v>
      </c>
      <c r="AW452" s="36">
        <v>1</v>
      </c>
      <c r="AX452" s="36">
        <v>1</v>
      </c>
      <c r="AY452" s="36">
        <v>1</v>
      </c>
      <c r="AZ452" s="36">
        <v>1</v>
      </c>
      <c r="BA452" s="36">
        <v>1</v>
      </c>
      <c r="BB452" s="36">
        <v>1</v>
      </c>
      <c r="BC452" s="36">
        <v>1</v>
      </c>
      <c r="BD452" s="37">
        <v>1</v>
      </c>
    </row>
    <row r="453" spans="1:56" s="3" customFormat="1" ht="18" customHeight="1" x14ac:dyDescent="0.2">
      <c r="A453" s="47"/>
      <c r="B453" s="124"/>
      <c r="C453" s="162"/>
      <c r="D453" s="120"/>
      <c r="H453" s="39">
        <v>29</v>
      </c>
      <c r="I453" s="35">
        <v>1</v>
      </c>
      <c r="J453" s="36">
        <v>1</v>
      </c>
      <c r="K453" s="36">
        <v>1</v>
      </c>
      <c r="L453" s="36">
        <v>1</v>
      </c>
      <c r="M453" s="36">
        <v>1</v>
      </c>
      <c r="N453" s="36">
        <v>1</v>
      </c>
      <c r="O453" s="36">
        <v>1</v>
      </c>
      <c r="P453" s="36">
        <v>1</v>
      </c>
      <c r="Q453" s="36">
        <v>1</v>
      </c>
      <c r="R453" s="36">
        <v>1</v>
      </c>
      <c r="S453" s="36">
        <v>1</v>
      </c>
      <c r="T453" s="36">
        <v>1</v>
      </c>
      <c r="U453" s="36">
        <v>1</v>
      </c>
      <c r="V453" s="36">
        <v>1</v>
      </c>
      <c r="W453" s="36">
        <v>1</v>
      </c>
      <c r="X453" s="36">
        <v>1</v>
      </c>
      <c r="Y453" s="36">
        <v>1</v>
      </c>
      <c r="Z453" s="36">
        <v>1</v>
      </c>
      <c r="AA453" s="36">
        <v>1</v>
      </c>
      <c r="AB453" s="36">
        <v>1</v>
      </c>
      <c r="AC453" s="36">
        <v>1</v>
      </c>
      <c r="AD453" s="36">
        <v>1</v>
      </c>
      <c r="AE453" s="36">
        <v>1</v>
      </c>
      <c r="AF453" s="36">
        <v>1</v>
      </c>
      <c r="AG453" s="36">
        <v>1</v>
      </c>
      <c r="AH453" s="36">
        <v>1</v>
      </c>
      <c r="AI453" s="36">
        <v>1</v>
      </c>
      <c r="AJ453" s="36">
        <v>1</v>
      </c>
      <c r="AK453" s="36">
        <v>1</v>
      </c>
      <c r="AL453" s="36">
        <v>1</v>
      </c>
      <c r="AM453" s="36">
        <v>1</v>
      </c>
      <c r="AN453" s="36">
        <v>1</v>
      </c>
      <c r="AO453" s="36">
        <v>1</v>
      </c>
      <c r="AP453" s="36">
        <v>1</v>
      </c>
      <c r="AQ453" s="36">
        <v>1</v>
      </c>
      <c r="AR453" s="36">
        <v>1</v>
      </c>
      <c r="AS453" s="36">
        <v>1</v>
      </c>
      <c r="AT453" s="36">
        <v>1</v>
      </c>
      <c r="AU453" s="36">
        <v>1</v>
      </c>
      <c r="AV453" s="36">
        <v>1</v>
      </c>
      <c r="AW453" s="36">
        <v>1</v>
      </c>
      <c r="AX453" s="36">
        <v>1</v>
      </c>
      <c r="AY453" s="36">
        <v>1</v>
      </c>
      <c r="AZ453" s="36">
        <v>1</v>
      </c>
      <c r="BA453" s="36">
        <v>1</v>
      </c>
      <c r="BB453" s="36">
        <v>1</v>
      </c>
      <c r="BC453" s="36">
        <v>1</v>
      </c>
      <c r="BD453" s="37">
        <v>1</v>
      </c>
    </row>
    <row r="454" spans="1:56" s="3" customFormat="1" ht="18" customHeight="1" x14ac:dyDescent="0.2">
      <c r="A454" s="47"/>
      <c r="B454" s="124"/>
      <c r="C454" s="162"/>
      <c r="D454" s="120"/>
      <c r="H454" s="39">
        <v>30</v>
      </c>
      <c r="I454" s="35">
        <v>1</v>
      </c>
      <c r="J454" s="36">
        <v>1</v>
      </c>
      <c r="K454" s="36">
        <v>1</v>
      </c>
      <c r="L454" s="36">
        <v>1</v>
      </c>
      <c r="M454" s="36">
        <v>1</v>
      </c>
      <c r="N454" s="36">
        <v>1</v>
      </c>
      <c r="O454" s="36">
        <v>1</v>
      </c>
      <c r="P454" s="36">
        <v>1</v>
      </c>
      <c r="Q454" s="36">
        <v>1</v>
      </c>
      <c r="R454" s="36">
        <v>1</v>
      </c>
      <c r="S454" s="36">
        <v>1</v>
      </c>
      <c r="T454" s="36">
        <v>1</v>
      </c>
      <c r="U454" s="36">
        <v>1</v>
      </c>
      <c r="V454" s="36">
        <v>1</v>
      </c>
      <c r="W454" s="36">
        <v>1</v>
      </c>
      <c r="X454" s="36">
        <v>1</v>
      </c>
      <c r="Y454" s="36">
        <v>1</v>
      </c>
      <c r="Z454" s="36">
        <v>1</v>
      </c>
      <c r="AA454" s="36">
        <v>1</v>
      </c>
      <c r="AB454" s="36">
        <v>1</v>
      </c>
      <c r="AC454" s="36">
        <v>1</v>
      </c>
      <c r="AD454" s="36">
        <v>1</v>
      </c>
      <c r="AE454" s="36">
        <v>1</v>
      </c>
      <c r="AF454" s="36">
        <v>1</v>
      </c>
      <c r="AG454" s="36">
        <v>1</v>
      </c>
      <c r="AH454" s="36">
        <v>1</v>
      </c>
      <c r="AI454" s="36">
        <v>1</v>
      </c>
      <c r="AJ454" s="36">
        <v>1</v>
      </c>
      <c r="AK454" s="36">
        <v>1</v>
      </c>
      <c r="AL454" s="36">
        <v>1</v>
      </c>
      <c r="AM454" s="36">
        <v>1</v>
      </c>
      <c r="AN454" s="36">
        <v>1</v>
      </c>
      <c r="AO454" s="36">
        <v>1</v>
      </c>
      <c r="AP454" s="36">
        <v>1</v>
      </c>
      <c r="AQ454" s="36">
        <v>1</v>
      </c>
      <c r="AR454" s="36">
        <v>1</v>
      </c>
      <c r="AS454" s="36">
        <v>1</v>
      </c>
      <c r="AT454" s="36">
        <v>1</v>
      </c>
      <c r="AU454" s="36">
        <v>1</v>
      </c>
      <c r="AV454" s="36">
        <v>1</v>
      </c>
      <c r="AW454" s="36">
        <v>1</v>
      </c>
      <c r="AX454" s="36">
        <v>1</v>
      </c>
      <c r="AY454" s="36">
        <v>1</v>
      </c>
      <c r="AZ454" s="36">
        <v>1</v>
      </c>
      <c r="BA454" s="36">
        <v>1</v>
      </c>
      <c r="BB454" s="36">
        <v>1</v>
      </c>
      <c r="BC454" s="36">
        <v>1</v>
      </c>
      <c r="BD454" s="37">
        <v>1</v>
      </c>
    </row>
    <row r="455" spans="1:56" s="3" customFormat="1" ht="18" customHeight="1" x14ac:dyDescent="0.2">
      <c r="A455" s="47"/>
      <c r="B455" s="124"/>
      <c r="C455" s="162"/>
      <c r="D455" s="120"/>
      <c r="H455" s="39">
        <v>31</v>
      </c>
      <c r="I455" s="35">
        <v>1</v>
      </c>
      <c r="J455" s="36">
        <v>1</v>
      </c>
      <c r="K455" s="36">
        <v>1</v>
      </c>
      <c r="L455" s="36">
        <v>1</v>
      </c>
      <c r="M455" s="36">
        <v>1</v>
      </c>
      <c r="N455" s="36">
        <v>1</v>
      </c>
      <c r="O455" s="36">
        <v>1</v>
      </c>
      <c r="P455" s="36">
        <v>1</v>
      </c>
      <c r="Q455" s="36">
        <v>1</v>
      </c>
      <c r="R455" s="36">
        <v>1</v>
      </c>
      <c r="S455" s="36">
        <v>1</v>
      </c>
      <c r="T455" s="36">
        <v>1</v>
      </c>
      <c r="U455" s="36">
        <v>1</v>
      </c>
      <c r="V455" s="36">
        <v>1</v>
      </c>
      <c r="W455" s="36">
        <v>1</v>
      </c>
      <c r="X455" s="36">
        <v>1</v>
      </c>
      <c r="Y455" s="36">
        <v>1</v>
      </c>
      <c r="Z455" s="36">
        <v>1</v>
      </c>
      <c r="AA455" s="36">
        <v>1</v>
      </c>
      <c r="AB455" s="36">
        <v>1</v>
      </c>
      <c r="AC455" s="36">
        <v>1</v>
      </c>
      <c r="AD455" s="36">
        <v>1</v>
      </c>
      <c r="AE455" s="36">
        <v>1</v>
      </c>
      <c r="AF455" s="36">
        <v>1</v>
      </c>
      <c r="AG455" s="36">
        <v>1</v>
      </c>
      <c r="AH455" s="36">
        <v>1</v>
      </c>
      <c r="AI455" s="36">
        <v>1</v>
      </c>
      <c r="AJ455" s="36">
        <v>1</v>
      </c>
      <c r="AK455" s="36">
        <v>1</v>
      </c>
      <c r="AL455" s="36">
        <v>1</v>
      </c>
      <c r="AM455" s="36">
        <v>1</v>
      </c>
      <c r="AN455" s="36">
        <v>1</v>
      </c>
      <c r="AO455" s="36">
        <v>1</v>
      </c>
      <c r="AP455" s="36">
        <v>1</v>
      </c>
      <c r="AQ455" s="36">
        <v>1</v>
      </c>
      <c r="AR455" s="36">
        <v>1</v>
      </c>
      <c r="AS455" s="36">
        <v>1</v>
      </c>
      <c r="AT455" s="36">
        <v>1</v>
      </c>
      <c r="AU455" s="36">
        <v>1</v>
      </c>
      <c r="AV455" s="36">
        <v>1</v>
      </c>
      <c r="AW455" s="36">
        <v>1</v>
      </c>
      <c r="AX455" s="36">
        <v>1</v>
      </c>
      <c r="AY455" s="36">
        <v>1</v>
      </c>
      <c r="AZ455" s="36">
        <v>1</v>
      </c>
      <c r="BA455" s="36">
        <v>1</v>
      </c>
      <c r="BB455" s="36">
        <v>1</v>
      </c>
      <c r="BC455" s="36">
        <v>1</v>
      </c>
      <c r="BD455" s="37">
        <v>1</v>
      </c>
    </row>
    <row r="456" spans="1:56" s="3" customFormat="1" ht="18" customHeight="1" x14ac:dyDescent="0.2">
      <c r="A456" s="47"/>
      <c r="B456" s="124"/>
      <c r="C456" s="162"/>
      <c r="D456" s="120"/>
      <c r="H456" s="39">
        <v>32</v>
      </c>
      <c r="I456" s="35">
        <v>1</v>
      </c>
      <c r="J456" s="36">
        <v>1</v>
      </c>
      <c r="K456" s="36">
        <v>1</v>
      </c>
      <c r="L456" s="36">
        <v>1</v>
      </c>
      <c r="M456" s="36">
        <v>1</v>
      </c>
      <c r="N456" s="36">
        <v>1</v>
      </c>
      <c r="O456" s="36">
        <v>1</v>
      </c>
      <c r="P456" s="36">
        <v>1</v>
      </c>
      <c r="Q456" s="36">
        <v>1</v>
      </c>
      <c r="R456" s="36">
        <v>1</v>
      </c>
      <c r="S456" s="36">
        <v>1</v>
      </c>
      <c r="T456" s="36">
        <v>1</v>
      </c>
      <c r="U456" s="36">
        <v>1</v>
      </c>
      <c r="V456" s="36">
        <v>1</v>
      </c>
      <c r="W456" s="36">
        <v>1</v>
      </c>
      <c r="X456" s="36">
        <v>1</v>
      </c>
      <c r="Y456" s="36">
        <v>1</v>
      </c>
      <c r="Z456" s="36">
        <v>1</v>
      </c>
      <c r="AA456" s="36">
        <v>1</v>
      </c>
      <c r="AB456" s="36">
        <v>1</v>
      </c>
      <c r="AC456" s="36">
        <v>1</v>
      </c>
      <c r="AD456" s="36">
        <v>1</v>
      </c>
      <c r="AE456" s="36">
        <v>1</v>
      </c>
      <c r="AF456" s="36">
        <v>1</v>
      </c>
      <c r="AG456" s="36">
        <v>1</v>
      </c>
      <c r="AH456" s="36">
        <v>1</v>
      </c>
      <c r="AI456" s="36">
        <v>1</v>
      </c>
      <c r="AJ456" s="36">
        <v>1</v>
      </c>
      <c r="AK456" s="36">
        <v>1</v>
      </c>
      <c r="AL456" s="36">
        <v>1</v>
      </c>
      <c r="AM456" s="36">
        <v>1</v>
      </c>
      <c r="AN456" s="36">
        <v>1</v>
      </c>
      <c r="AO456" s="36">
        <v>1</v>
      </c>
      <c r="AP456" s="36">
        <v>1</v>
      </c>
      <c r="AQ456" s="36">
        <v>1</v>
      </c>
      <c r="AR456" s="36">
        <v>1</v>
      </c>
      <c r="AS456" s="36">
        <v>1</v>
      </c>
      <c r="AT456" s="36">
        <v>1</v>
      </c>
      <c r="AU456" s="36">
        <v>1</v>
      </c>
      <c r="AV456" s="36">
        <v>1</v>
      </c>
      <c r="AW456" s="36">
        <v>1</v>
      </c>
      <c r="AX456" s="36">
        <v>1</v>
      </c>
      <c r="AY456" s="36">
        <v>1</v>
      </c>
      <c r="AZ456" s="36">
        <v>1</v>
      </c>
      <c r="BA456" s="36">
        <v>1</v>
      </c>
      <c r="BB456" s="36">
        <v>1</v>
      </c>
      <c r="BC456" s="36">
        <v>1</v>
      </c>
      <c r="BD456" s="37">
        <v>1</v>
      </c>
    </row>
    <row r="457" spans="1:56" s="3" customFormat="1" ht="18" customHeight="1" x14ac:dyDescent="0.2">
      <c r="A457" s="47"/>
      <c r="B457" s="124"/>
      <c r="C457" s="162"/>
      <c r="D457" s="120"/>
      <c r="H457" s="39">
        <v>33</v>
      </c>
      <c r="I457" s="35">
        <v>1</v>
      </c>
      <c r="J457" s="36">
        <v>1</v>
      </c>
      <c r="K457" s="36">
        <v>1</v>
      </c>
      <c r="L457" s="36">
        <v>1</v>
      </c>
      <c r="M457" s="36">
        <v>1</v>
      </c>
      <c r="N457" s="36">
        <v>1</v>
      </c>
      <c r="O457" s="36">
        <v>1</v>
      </c>
      <c r="P457" s="36">
        <v>1</v>
      </c>
      <c r="Q457" s="36">
        <v>1</v>
      </c>
      <c r="R457" s="36">
        <v>1</v>
      </c>
      <c r="S457" s="36">
        <v>1</v>
      </c>
      <c r="T457" s="36">
        <v>1</v>
      </c>
      <c r="U457" s="36">
        <v>1</v>
      </c>
      <c r="V457" s="36">
        <v>1</v>
      </c>
      <c r="W457" s="36">
        <v>1</v>
      </c>
      <c r="X457" s="36">
        <v>1</v>
      </c>
      <c r="Y457" s="36">
        <v>1</v>
      </c>
      <c r="Z457" s="36">
        <v>1</v>
      </c>
      <c r="AA457" s="36">
        <v>1</v>
      </c>
      <c r="AB457" s="36">
        <v>1</v>
      </c>
      <c r="AC457" s="36">
        <v>1</v>
      </c>
      <c r="AD457" s="36">
        <v>1</v>
      </c>
      <c r="AE457" s="36">
        <v>1</v>
      </c>
      <c r="AF457" s="36">
        <v>1</v>
      </c>
      <c r="AG457" s="36">
        <v>1</v>
      </c>
      <c r="AH457" s="36">
        <v>1</v>
      </c>
      <c r="AI457" s="36">
        <v>1</v>
      </c>
      <c r="AJ457" s="36">
        <v>1</v>
      </c>
      <c r="AK457" s="36">
        <v>1</v>
      </c>
      <c r="AL457" s="36">
        <v>1</v>
      </c>
      <c r="AM457" s="36">
        <v>1</v>
      </c>
      <c r="AN457" s="36">
        <v>1</v>
      </c>
      <c r="AO457" s="36">
        <v>1</v>
      </c>
      <c r="AP457" s="36">
        <v>1</v>
      </c>
      <c r="AQ457" s="36">
        <v>1</v>
      </c>
      <c r="AR457" s="36">
        <v>1</v>
      </c>
      <c r="AS457" s="36">
        <v>1</v>
      </c>
      <c r="AT457" s="36">
        <v>1</v>
      </c>
      <c r="AU457" s="36">
        <v>1</v>
      </c>
      <c r="AV457" s="36">
        <v>1</v>
      </c>
      <c r="AW457" s="36">
        <v>1</v>
      </c>
      <c r="AX457" s="36">
        <v>1</v>
      </c>
      <c r="AY457" s="36">
        <v>1</v>
      </c>
      <c r="AZ457" s="36">
        <v>1</v>
      </c>
      <c r="BA457" s="36">
        <v>1</v>
      </c>
      <c r="BB457" s="36">
        <v>1</v>
      </c>
      <c r="BC457" s="36">
        <v>1</v>
      </c>
      <c r="BD457" s="37">
        <v>1</v>
      </c>
    </row>
    <row r="458" spans="1:56" s="3" customFormat="1" ht="18" customHeight="1" x14ac:dyDescent="0.2">
      <c r="A458" s="47"/>
      <c r="B458" s="124"/>
      <c r="C458" s="162"/>
      <c r="D458" s="120"/>
      <c r="H458" s="39">
        <v>34</v>
      </c>
      <c r="I458" s="35">
        <v>1</v>
      </c>
      <c r="J458" s="36">
        <v>1</v>
      </c>
      <c r="K458" s="36">
        <v>1</v>
      </c>
      <c r="L458" s="36">
        <v>1</v>
      </c>
      <c r="M458" s="36">
        <v>1</v>
      </c>
      <c r="N458" s="36">
        <v>1</v>
      </c>
      <c r="O458" s="36">
        <v>1</v>
      </c>
      <c r="P458" s="36">
        <v>1</v>
      </c>
      <c r="Q458" s="36">
        <v>1</v>
      </c>
      <c r="R458" s="36">
        <v>1</v>
      </c>
      <c r="S458" s="36">
        <v>1</v>
      </c>
      <c r="T458" s="36">
        <v>1</v>
      </c>
      <c r="U458" s="36">
        <v>1</v>
      </c>
      <c r="V458" s="36">
        <v>1</v>
      </c>
      <c r="W458" s="36">
        <v>1</v>
      </c>
      <c r="X458" s="36">
        <v>1</v>
      </c>
      <c r="Y458" s="36">
        <v>1</v>
      </c>
      <c r="Z458" s="36">
        <v>1</v>
      </c>
      <c r="AA458" s="36">
        <v>1</v>
      </c>
      <c r="AB458" s="36">
        <v>1</v>
      </c>
      <c r="AC458" s="36">
        <v>1</v>
      </c>
      <c r="AD458" s="36">
        <v>1</v>
      </c>
      <c r="AE458" s="36">
        <v>1</v>
      </c>
      <c r="AF458" s="36">
        <v>1</v>
      </c>
      <c r="AG458" s="36">
        <v>1</v>
      </c>
      <c r="AH458" s="36">
        <v>1</v>
      </c>
      <c r="AI458" s="36">
        <v>1</v>
      </c>
      <c r="AJ458" s="36">
        <v>1</v>
      </c>
      <c r="AK458" s="36">
        <v>1</v>
      </c>
      <c r="AL458" s="36">
        <v>1</v>
      </c>
      <c r="AM458" s="36">
        <v>1</v>
      </c>
      <c r="AN458" s="36">
        <v>1</v>
      </c>
      <c r="AO458" s="36">
        <v>1</v>
      </c>
      <c r="AP458" s="36">
        <v>1</v>
      </c>
      <c r="AQ458" s="36">
        <v>1</v>
      </c>
      <c r="AR458" s="36">
        <v>1</v>
      </c>
      <c r="AS458" s="36">
        <v>1</v>
      </c>
      <c r="AT458" s="36">
        <v>1</v>
      </c>
      <c r="AU458" s="36">
        <v>1</v>
      </c>
      <c r="AV458" s="36">
        <v>1</v>
      </c>
      <c r="AW458" s="36">
        <v>1</v>
      </c>
      <c r="AX458" s="36">
        <v>1</v>
      </c>
      <c r="AY458" s="36">
        <v>1</v>
      </c>
      <c r="AZ458" s="36">
        <v>1</v>
      </c>
      <c r="BA458" s="36">
        <v>1</v>
      </c>
      <c r="BB458" s="36">
        <v>1</v>
      </c>
      <c r="BC458" s="36">
        <v>1</v>
      </c>
      <c r="BD458" s="37">
        <v>1</v>
      </c>
    </row>
    <row r="459" spans="1:56" s="3" customFormat="1" ht="18" customHeight="1" x14ac:dyDescent="0.2">
      <c r="A459" s="47"/>
      <c r="B459" s="124"/>
      <c r="C459" s="162"/>
      <c r="D459" s="120"/>
      <c r="H459" s="39">
        <v>35</v>
      </c>
      <c r="I459" s="35">
        <v>1</v>
      </c>
      <c r="J459" s="36">
        <v>1</v>
      </c>
      <c r="K459" s="36">
        <v>1</v>
      </c>
      <c r="L459" s="36">
        <v>1</v>
      </c>
      <c r="M459" s="36">
        <v>1</v>
      </c>
      <c r="N459" s="36">
        <v>1</v>
      </c>
      <c r="O459" s="36">
        <v>1</v>
      </c>
      <c r="P459" s="36">
        <v>1</v>
      </c>
      <c r="Q459" s="36">
        <v>1</v>
      </c>
      <c r="R459" s="36">
        <v>1</v>
      </c>
      <c r="S459" s="36">
        <v>1</v>
      </c>
      <c r="T459" s="36">
        <v>1</v>
      </c>
      <c r="U459" s="36">
        <v>1</v>
      </c>
      <c r="V459" s="36">
        <v>1</v>
      </c>
      <c r="W459" s="36">
        <v>1</v>
      </c>
      <c r="X459" s="36">
        <v>1</v>
      </c>
      <c r="Y459" s="36">
        <v>1</v>
      </c>
      <c r="Z459" s="36">
        <v>1</v>
      </c>
      <c r="AA459" s="36">
        <v>1</v>
      </c>
      <c r="AB459" s="36">
        <v>1</v>
      </c>
      <c r="AC459" s="36">
        <v>1</v>
      </c>
      <c r="AD459" s="36">
        <v>1</v>
      </c>
      <c r="AE459" s="36">
        <v>1</v>
      </c>
      <c r="AF459" s="36">
        <v>1</v>
      </c>
      <c r="AG459" s="36">
        <v>1</v>
      </c>
      <c r="AH459" s="36">
        <v>1</v>
      </c>
      <c r="AI459" s="36">
        <v>1</v>
      </c>
      <c r="AJ459" s="36">
        <v>1</v>
      </c>
      <c r="AK459" s="36">
        <v>1</v>
      </c>
      <c r="AL459" s="36">
        <v>1</v>
      </c>
      <c r="AM459" s="36">
        <v>1</v>
      </c>
      <c r="AN459" s="36">
        <v>1</v>
      </c>
      <c r="AO459" s="36">
        <v>1</v>
      </c>
      <c r="AP459" s="36">
        <v>1</v>
      </c>
      <c r="AQ459" s="36">
        <v>1</v>
      </c>
      <c r="AR459" s="36">
        <v>1</v>
      </c>
      <c r="AS459" s="36">
        <v>1</v>
      </c>
      <c r="AT459" s="36">
        <v>1</v>
      </c>
      <c r="AU459" s="36">
        <v>1</v>
      </c>
      <c r="AV459" s="36">
        <v>1</v>
      </c>
      <c r="AW459" s="36">
        <v>1</v>
      </c>
      <c r="AX459" s="36">
        <v>1</v>
      </c>
      <c r="AY459" s="36">
        <v>1</v>
      </c>
      <c r="AZ459" s="36">
        <v>1</v>
      </c>
      <c r="BA459" s="36">
        <v>1</v>
      </c>
      <c r="BB459" s="36">
        <v>1</v>
      </c>
      <c r="BC459" s="36">
        <v>1</v>
      </c>
      <c r="BD459" s="37">
        <v>1</v>
      </c>
    </row>
    <row r="460" spans="1:56" s="3" customFormat="1" ht="18" customHeight="1" x14ac:dyDescent="0.2">
      <c r="A460" s="47"/>
      <c r="B460" s="124"/>
      <c r="C460" s="162"/>
      <c r="D460" s="120"/>
      <c r="H460" s="39">
        <v>36</v>
      </c>
      <c r="I460" s="35">
        <v>1</v>
      </c>
      <c r="J460" s="36">
        <v>1</v>
      </c>
      <c r="K460" s="36">
        <v>1</v>
      </c>
      <c r="L460" s="36">
        <v>1</v>
      </c>
      <c r="M460" s="36">
        <v>1</v>
      </c>
      <c r="N460" s="36">
        <v>1</v>
      </c>
      <c r="O460" s="36">
        <v>1</v>
      </c>
      <c r="P460" s="36">
        <v>1</v>
      </c>
      <c r="Q460" s="36">
        <v>1</v>
      </c>
      <c r="R460" s="36">
        <v>1</v>
      </c>
      <c r="S460" s="36">
        <v>1</v>
      </c>
      <c r="T460" s="36">
        <v>1</v>
      </c>
      <c r="U460" s="36">
        <v>1</v>
      </c>
      <c r="V460" s="36">
        <v>1</v>
      </c>
      <c r="W460" s="36">
        <v>1</v>
      </c>
      <c r="X460" s="36">
        <v>1</v>
      </c>
      <c r="Y460" s="36">
        <v>1</v>
      </c>
      <c r="Z460" s="36">
        <v>1</v>
      </c>
      <c r="AA460" s="36">
        <v>1</v>
      </c>
      <c r="AB460" s="36">
        <v>1</v>
      </c>
      <c r="AC460" s="36">
        <v>1</v>
      </c>
      <c r="AD460" s="36">
        <v>1</v>
      </c>
      <c r="AE460" s="36">
        <v>1</v>
      </c>
      <c r="AF460" s="36">
        <v>1</v>
      </c>
      <c r="AG460" s="36">
        <v>1</v>
      </c>
      <c r="AH460" s="36">
        <v>1</v>
      </c>
      <c r="AI460" s="36">
        <v>1</v>
      </c>
      <c r="AJ460" s="36">
        <v>1</v>
      </c>
      <c r="AK460" s="36">
        <v>1</v>
      </c>
      <c r="AL460" s="36">
        <v>1</v>
      </c>
      <c r="AM460" s="36">
        <v>1</v>
      </c>
      <c r="AN460" s="36">
        <v>1</v>
      </c>
      <c r="AO460" s="36">
        <v>1</v>
      </c>
      <c r="AP460" s="36">
        <v>1</v>
      </c>
      <c r="AQ460" s="36">
        <v>1</v>
      </c>
      <c r="AR460" s="36">
        <v>1</v>
      </c>
      <c r="AS460" s="36">
        <v>1</v>
      </c>
      <c r="AT460" s="36">
        <v>1</v>
      </c>
      <c r="AU460" s="36">
        <v>1</v>
      </c>
      <c r="AV460" s="36">
        <v>1</v>
      </c>
      <c r="AW460" s="36">
        <v>1</v>
      </c>
      <c r="AX460" s="36">
        <v>1</v>
      </c>
      <c r="AY460" s="36">
        <v>1</v>
      </c>
      <c r="AZ460" s="36">
        <v>1</v>
      </c>
      <c r="BA460" s="36">
        <v>1</v>
      </c>
      <c r="BB460" s="36">
        <v>1</v>
      </c>
      <c r="BC460" s="36">
        <v>1</v>
      </c>
      <c r="BD460" s="37">
        <v>1</v>
      </c>
    </row>
    <row r="461" spans="1:56" s="3" customFormat="1" ht="18" customHeight="1" x14ac:dyDescent="0.2">
      <c r="A461" s="47"/>
      <c r="B461" s="124"/>
      <c r="C461" s="162"/>
      <c r="D461" s="120"/>
      <c r="H461" s="39">
        <v>37</v>
      </c>
      <c r="I461" s="35">
        <v>1</v>
      </c>
      <c r="J461" s="36">
        <v>1</v>
      </c>
      <c r="K461" s="36">
        <v>1</v>
      </c>
      <c r="L461" s="36">
        <v>1</v>
      </c>
      <c r="M461" s="36">
        <v>1</v>
      </c>
      <c r="N461" s="36">
        <v>1</v>
      </c>
      <c r="O461" s="36">
        <v>1</v>
      </c>
      <c r="P461" s="36">
        <v>1</v>
      </c>
      <c r="Q461" s="36">
        <v>1</v>
      </c>
      <c r="R461" s="36">
        <v>1</v>
      </c>
      <c r="S461" s="36">
        <v>1</v>
      </c>
      <c r="T461" s="36">
        <v>1</v>
      </c>
      <c r="U461" s="36">
        <v>1</v>
      </c>
      <c r="V461" s="36">
        <v>1</v>
      </c>
      <c r="W461" s="36">
        <v>1</v>
      </c>
      <c r="X461" s="36">
        <v>1</v>
      </c>
      <c r="Y461" s="36">
        <v>1</v>
      </c>
      <c r="Z461" s="36">
        <v>1</v>
      </c>
      <c r="AA461" s="36">
        <v>1</v>
      </c>
      <c r="AB461" s="36">
        <v>1</v>
      </c>
      <c r="AC461" s="36">
        <v>1</v>
      </c>
      <c r="AD461" s="36">
        <v>1</v>
      </c>
      <c r="AE461" s="36">
        <v>1</v>
      </c>
      <c r="AF461" s="36">
        <v>1</v>
      </c>
      <c r="AG461" s="36">
        <v>1</v>
      </c>
      <c r="AH461" s="36">
        <v>1</v>
      </c>
      <c r="AI461" s="36">
        <v>1</v>
      </c>
      <c r="AJ461" s="36">
        <v>1</v>
      </c>
      <c r="AK461" s="36">
        <v>1</v>
      </c>
      <c r="AL461" s="36">
        <v>1</v>
      </c>
      <c r="AM461" s="36">
        <v>1</v>
      </c>
      <c r="AN461" s="36">
        <v>1</v>
      </c>
      <c r="AO461" s="36">
        <v>1</v>
      </c>
      <c r="AP461" s="36">
        <v>1</v>
      </c>
      <c r="AQ461" s="36">
        <v>1</v>
      </c>
      <c r="AR461" s="36">
        <v>1</v>
      </c>
      <c r="AS461" s="36">
        <v>1</v>
      </c>
      <c r="AT461" s="36">
        <v>1</v>
      </c>
      <c r="AU461" s="36">
        <v>1</v>
      </c>
      <c r="AV461" s="36">
        <v>1</v>
      </c>
      <c r="AW461" s="36">
        <v>1</v>
      </c>
      <c r="AX461" s="36">
        <v>1</v>
      </c>
      <c r="AY461" s="36">
        <v>1</v>
      </c>
      <c r="AZ461" s="36">
        <v>1</v>
      </c>
      <c r="BA461" s="36">
        <v>1</v>
      </c>
      <c r="BB461" s="36">
        <v>1</v>
      </c>
      <c r="BC461" s="36">
        <v>1</v>
      </c>
      <c r="BD461" s="37">
        <v>1</v>
      </c>
    </row>
    <row r="462" spans="1:56" s="3" customFormat="1" ht="18.5" customHeight="1" x14ac:dyDescent="0.2">
      <c r="A462" s="47"/>
      <c r="B462" s="124"/>
      <c r="C462" s="162"/>
      <c r="D462" s="292"/>
      <c r="H462" s="39">
        <v>38</v>
      </c>
      <c r="I462" s="35">
        <v>1</v>
      </c>
      <c r="J462" s="36">
        <v>1</v>
      </c>
      <c r="K462" s="36">
        <v>1</v>
      </c>
      <c r="L462" s="36">
        <v>1</v>
      </c>
      <c r="M462" s="36">
        <v>1</v>
      </c>
      <c r="N462" s="36">
        <v>1</v>
      </c>
      <c r="O462" s="36">
        <v>1</v>
      </c>
      <c r="P462" s="36">
        <v>1</v>
      </c>
      <c r="Q462" s="36">
        <v>1</v>
      </c>
      <c r="R462" s="36">
        <v>1</v>
      </c>
      <c r="S462" s="36">
        <v>1</v>
      </c>
      <c r="T462" s="36">
        <v>1</v>
      </c>
      <c r="U462" s="36">
        <v>1</v>
      </c>
      <c r="V462" s="36">
        <v>1</v>
      </c>
      <c r="W462" s="36">
        <v>1</v>
      </c>
      <c r="X462" s="36">
        <v>1</v>
      </c>
      <c r="Y462" s="36">
        <v>1</v>
      </c>
      <c r="Z462" s="36">
        <v>1</v>
      </c>
      <c r="AA462" s="36">
        <v>1</v>
      </c>
      <c r="AB462" s="36">
        <v>1</v>
      </c>
      <c r="AC462" s="36">
        <v>1</v>
      </c>
      <c r="AD462" s="36">
        <v>1</v>
      </c>
      <c r="AE462" s="36">
        <v>1</v>
      </c>
      <c r="AF462" s="36">
        <v>1</v>
      </c>
      <c r="AG462" s="36">
        <v>1</v>
      </c>
      <c r="AH462" s="36">
        <v>1</v>
      </c>
      <c r="AI462" s="36">
        <v>1</v>
      </c>
      <c r="AJ462" s="36">
        <v>1</v>
      </c>
      <c r="AK462" s="36">
        <v>1</v>
      </c>
      <c r="AL462" s="36">
        <v>1</v>
      </c>
      <c r="AM462" s="36">
        <v>1</v>
      </c>
      <c r="AN462" s="36">
        <v>1</v>
      </c>
      <c r="AO462" s="36">
        <v>1</v>
      </c>
      <c r="AP462" s="36">
        <v>1</v>
      </c>
      <c r="AQ462" s="36">
        <v>1</v>
      </c>
      <c r="AR462" s="36">
        <v>1</v>
      </c>
      <c r="AS462" s="36">
        <v>1</v>
      </c>
      <c r="AT462" s="36">
        <v>1</v>
      </c>
      <c r="AU462" s="36">
        <v>1</v>
      </c>
      <c r="AV462" s="36">
        <v>1</v>
      </c>
      <c r="AW462" s="36">
        <v>1</v>
      </c>
      <c r="AX462" s="36">
        <v>1</v>
      </c>
      <c r="AY462" s="36">
        <v>1</v>
      </c>
      <c r="AZ462" s="36">
        <v>1</v>
      </c>
      <c r="BA462" s="36">
        <v>1</v>
      </c>
      <c r="BB462" s="36">
        <v>1</v>
      </c>
      <c r="BC462" s="36">
        <v>1</v>
      </c>
      <c r="BD462" s="37">
        <v>1</v>
      </c>
    </row>
    <row r="463" spans="1:56" s="3" customFormat="1" ht="19" customHeight="1" x14ac:dyDescent="0.2">
      <c r="A463" s="47"/>
      <c r="B463" s="124"/>
      <c r="C463" s="293"/>
      <c r="D463" s="294" t="s">
        <v>241</v>
      </c>
      <c r="E463" s="216" t="s">
        <v>242</v>
      </c>
      <c r="F463" s="61"/>
      <c r="G463" s="295"/>
      <c r="H463" s="39">
        <v>39</v>
      </c>
      <c r="I463" s="35">
        <v>1</v>
      </c>
      <c r="J463" s="36">
        <v>1</v>
      </c>
      <c r="K463" s="36">
        <v>1</v>
      </c>
      <c r="L463" s="36">
        <v>1</v>
      </c>
      <c r="M463" s="36">
        <v>1</v>
      </c>
      <c r="N463" s="36">
        <v>1</v>
      </c>
      <c r="O463" s="36">
        <v>1</v>
      </c>
      <c r="P463" s="36">
        <v>1</v>
      </c>
      <c r="Q463" s="36">
        <v>1</v>
      </c>
      <c r="R463" s="36">
        <v>1</v>
      </c>
      <c r="S463" s="36">
        <v>1</v>
      </c>
      <c r="T463" s="36">
        <v>1</v>
      </c>
      <c r="U463" s="36">
        <v>1</v>
      </c>
      <c r="V463" s="36">
        <v>1</v>
      </c>
      <c r="W463" s="36">
        <v>1</v>
      </c>
      <c r="X463" s="36">
        <v>1</v>
      </c>
      <c r="Y463" s="36">
        <v>1</v>
      </c>
      <c r="Z463" s="36">
        <v>1</v>
      </c>
      <c r="AA463" s="36">
        <v>1</v>
      </c>
      <c r="AB463" s="36">
        <v>1</v>
      </c>
      <c r="AC463" s="36">
        <v>1</v>
      </c>
      <c r="AD463" s="36">
        <v>1</v>
      </c>
      <c r="AE463" s="36">
        <v>1</v>
      </c>
      <c r="AF463" s="36">
        <v>1</v>
      </c>
      <c r="AG463" s="36">
        <v>1</v>
      </c>
      <c r="AH463" s="36">
        <v>1</v>
      </c>
      <c r="AI463" s="36">
        <v>1</v>
      </c>
      <c r="AJ463" s="36">
        <v>1</v>
      </c>
      <c r="AK463" s="36">
        <v>1</v>
      </c>
      <c r="AL463" s="36">
        <v>1</v>
      </c>
      <c r="AM463" s="36">
        <v>1</v>
      </c>
      <c r="AN463" s="36">
        <v>1</v>
      </c>
      <c r="AO463" s="36">
        <v>1</v>
      </c>
      <c r="AP463" s="36">
        <v>1</v>
      </c>
      <c r="AQ463" s="36">
        <v>1</v>
      </c>
      <c r="AR463" s="36">
        <v>1</v>
      </c>
      <c r="AS463" s="36">
        <v>1</v>
      </c>
      <c r="AT463" s="36">
        <v>1</v>
      </c>
      <c r="AU463" s="36">
        <v>1</v>
      </c>
      <c r="AV463" s="36">
        <v>1</v>
      </c>
      <c r="AW463" s="36">
        <v>1</v>
      </c>
      <c r="AX463" s="36">
        <v>1</v>
      </c>
      <c r="AY463" s="36">
        <v>1</v>
      </c>
      <c r="AZ463" s="36">
        <v>1</v>
      </c>
      <c r="BA463" s="36">
        <v>1</v>
      </c>
      <c r="BB463" s="36">
        <v>1</v>
      </c>
      <c r="BC463" s="36">
        <v>1</v>
      </c>
      <c r="BD463" s="37">
        <v>1</v>
      </c>
    </row>
    <row r="464" spans="1:56" s="3" customFormat="1" ht="19" customHeight="1" x14ac:dyDescent="0.2">
      <c r="A464" s="47"/>
      <c r="B464" s="124"/>
      <c r="C464" s="162"/>
      <c r="D464" s="296"/>
      <c r="E464" s="14" t="s">
        <v>243</v>
      </c>
      <c r="F464" s="15"/>
      <c r="G464" s="295"/>
      <c r="H464" s="39">
        <v>40</v>
      </c>
      <c r="I464" s="35">
        <v>1</v>
      </c>
      <c r="J464" s="36">
        <v>1</v>
      </c>
      <c r="K464" s="36">
        <v>1</v>
      </c>
      <c r="L464" s="36">
        <v>1</v>
      </c>
      <c r="M464" s="36">
        <v>1</v>
      </c>
      <c r="N464" s="36">
        <v>1</v>
      </c>
      <c r="O464" s="36">
        <v>1</v>
      </c>
      <c r="P464" s="36">
        <v>1</v>
      </c>
      <c r="Q464" s="36">
        <v>1</v>
      </c>
      <c r="R464" s="36">
        <v>1</v>
      </c>
      <c r="S464" s="36">
        <v>1</v>
      </c>
      <c r="T464" s="36">
        <v>1</v>
      </c>
      <c r="U464" s="36">
        <v>1</v>
      </c>
      <c r="V464" s="36">
        <v>1</v>
      </c>
      <c r="W464" s="36">
        <v>1</v>
      </c>
      <c r="X464" s="36">
        <v>1</v>
      </c>
      <c r="Y464" s="36">
        <v>1</v>
      </c>
      <c r="Z464" s="36">
        <v>1</v>
      </c>
      <c r="AA464" s="36">
        <v>1</v>
      </c>
      <c r="AB464" s="36">
        <v>1</v>
      </c>
      <c r="AC464" s="36">
        <v>1</v>
      </c>
      <c r="AD464" s="36">
        <v>1</v>
      </c>
      <c r="AE464" s="36">
        <v>1</v>
      </c>
      <c r="AF464" s="36">
        <v>1</v>
      </c>
      <c r="AG464" s="36">
        <v>1</v>
      </c>
      <c r="AH464" s="36">
        <v>1</v>
      </c>
      <c r="AI464" s="36">
        <v>1</v>
      </c>
      <c r="AJ464" s="36">
        <v>1</v>
      </c>
      <c r="AK464" s="36">
        <v>1</v>
      </c>
      <c r="AL464" s="36">
        <v>1</v>
      </c>
      <c r="AM464" s="36">
        <v>1</v>
      </c>
      <c r="AN464" s="36">
        <v>1</v>
      </c>
      <c r="AO464" s="36">
        <v>1</v>
      </c>
      <c r="AP464" s="36">
        <v>1</v>
      </c>
      <c r="AQ464" s="36">
        <v>1</v>
      </c>
      <c r="AR464" s="36">
        <v>1</v>
      </c>
      <c r="AS464" s="36">
        <v>1</v>
      </c>
      <c r="AT464" s="36">
        <v>1</v>
      </c>
      <c r="AU464" s="36">
        <v>1</v>
      </c>
      <c r="AV464" s="36">
        <v>1</v>
      </c>
      <c r="AW464" s="36">
        <v>1</v>
      </c>
      <c r="AX464" s="36">
        <v>1</v>
      </c>
      <c r="AY464" s="36">
        <v>1</v>
      </c>
      <c r="AZ464" s="36">
        <v>1</v>
      </c>
      <c r="BA464" s="36">
        <v>1</v>
      </c>
      <c r="BB464" s="36">
        <v>1</v>
      </c>
      <c r="BC464" s="36">
        <v>1</v>
      </c>
      <c r="BD464" s="37">
        <v>1</v>
      </c>
    </row>
    <row r="465" spans="1:56" s="3" customFormat="1" ht="18.5" customHeight="1" x14ac:dyDescent="0.2">
      <c r="A465" s="47"/>
      <c r="B465" s="124"/>
      <c r="C465" s="162"/>
      <c r="D465" s="152"/>
      <c r="E465" s="128">
        <v>1</v>
      </c>
      <c r="F465" s="28">
        <v>-33</v>
      </c>
      <c r="H465" s="39">
        <v>41</v>
      </c>
      <c r="I465" s="35">
        <v>1</v>
      </c>
      <c r="J465" s="36">
        <v>1</v>
      </c>
      <c r="K465" s="36">
        <v>1</v>
      </c>
      <c r="L465" s="36">
        <v>1</v>
      </c>
      <c r="M465" s="36">
        <v>1</v>
      </c>
      <c r="N465" s="36">
        <v>1</v>
      </c>
      <c r="O465" s="36">
        <v>1</v>
      </c>
      <c r="P465" s="36">
        <v>1</v>
      </c>
      <c r="Q465" s="36">
        <v>1</v>
      </c>
      <c r="R465" s="36">
        <v>1</v>
      </c>
      <c r="S465" s="36">
        <v>1</v>
      </c>
      <c r="T465" s="36">
        <v>1</v>
      </c>
      <c r="U465" s="36">
        <v>1</v>
      </c>
      <c r="V465" s="36">
        <v>1</v>
      </c>
      <c r="W465" s="36">
        <v>1</v>
      </c>
      <c r="X465" s="36">
        <v>1</v>
      </c>
      <c r="Y465" s="36">
        <v>1</v>
      </c>
      <c r="Z465" s="36">
        <v>1</v>
      </c>
      <c r="AA465" s="36">
        <v>1</v>
      </c>
      <c r="AB465" s="36">
        <v>1</v>
      </c>
      <c r="AC465" s="36">
        <v>1</v>
      </c>
      <c r="AD465" s="36">
        <v>1</v>
      </c>
      <c r="AE465" s="36">
        <v>1</v>
      </c>
      <c r="AF465" s="36">
        <v>1</v>
      </c>
      <c r="AG465" s="36">
        <v>1</v>
      </c>
      <c r="AH465" s="36">
        <v>1</v>
      </c>
      <c r="AI465" s="36">
        <v>1</v>
      </c>
      <c r="AJ465" s="36">
        <v>1</v>
      </c>
      <c r="AK465" s="36">
        <v>1</v>
      </c>
      <c r="AL465" s="36">
        <v>1</v>
      </c>
      <c r="AM465" s="36">
        <v>1</v>
      </c>
      <c r="AN465" s="36">
        <v>1</v>
      </c>
      <c r="AO465" s="36">
        <v>1</v>
      </c>
      <c r="AP465" s="36">
        <v>1</v>
      </c>
      <c r="AQ465" s="36">
        <v>1</v>
      </c>
      <c r="AR465" s="36">
        <v>1</v>
      </c>
      <c r="AS465" s="36">
        <v>1</v>
      </c>
      <c r="AT465" s="36">
        <v>1</v>
      </c>
      <c r="AU465" s="36">
        <v>1</v>
      </c>
      <c r="AV465" s="36">
        <v>1</v>
      </c>
      <c r="AW465" s="36">
        <v>1</v>
      </c>
      <c r="AX465" s="36">
        <v>1</v>
      </c>
      <c r="AY465" s="36">
        <v>1</v>
      </c>
      <c r="AZ465" s="36">
        <v>1</v>
      </c>
      <c r="BA465" s="36">
        <v>1</v>
      </c>
      <c r="BB465" s="36">
        <v>1</v>
      </c>
      <c r="BC465" s="36">
        <v>1</v>
      </c>
      <c r="BD465" s="37">
        <v>1</v>
      </c>
    </row>
    <row r="466" spans="1:56" s="3" customFormat="1" ht="18" customHeight="1" x14ac:dyDescent="0.2">
      <c r="A466" s="47"/>
      <c r="B466" s="124"/>
      <c r="C466" s="162"/>
      <c r="D466" s="152"/>
      <c r="E466" s="140">
        <v>2</v>
      </c>
      <c r="F466" s="39">
        <v>-33</v>
      </c>
      <c r="H466" s="39">
        <v>42</v>
      </c>
      <c r="I466" s="35">
        <v>1</v>
      </c>
      <c r="J466" s="36">
        <v>1</v>
      </c>
      <c r="K466" s="36">
        <v>1</v>
      </c>
      <c r="L466" s="36">
        <v>1</v>
      </c>
      <c r="M466" s="36">
        <v>1</v>
      </c>
      <c r="N466" s="36">
        <v>1</v>
      </c>
      <c r="O466" s="36">
        <v>1</v>
      </c>
      <c r="P466" s="36">
        <v>1</v>
      </c>
      <c r="Q466" s="36">
        <v>1</v>
      </c>
      <c r="R466" s="36">
        <v>1</v>
      </c>
      <c r="S466" s="36">
        <v>1</v>
      </c>
      <c r="T466" s="36">
        <v>1</v>
      </c>
      <c r="U466" s="36">
        <v>1</v>
      </c>
      <c r="V466" s="36">
        <v>1</v>
      </c>
      <c r="W466" s="36">
        <v>1</v>
      </c>
      <c r="X466" s="36">
        <v>1</v>
      </c>
      <c r="Y466" s="36">
        <v>1</v>
      </c>
      <c r="Z466" s="36">
        <v>1</v>
      </c>
      <c r="AA466" s="36">
        <v>1</v>
      </c>
      <c r="AB466" s="36">
        <v>1</v>
      </c>
      <c r="AC466" s="36">
        <v>1</v>
      </c>
      <c r="AD466" s="36">
        <v>1</v>
      </c>
      <c r="AE466" s="36">
        <v>1</v>
      </c>
      <c r="AF466" s="36">
        <v>1</v>
      </c>
      <c r="AG466" s="36">
        <v>1</v>
      </c>
      <c r="AH466" s="36">
        <v>1</v>
      </c>
      <c r="AI466" s="36">
        <v>1</v>
      </c>
      <c r="AJ466" s="36">
        <v>1</v>
      </c>
      <c r="AK466" s="36">
        <v>1</v>
      </c>
      <c r="AL466" s="36">
        <v>1</v>
      </c>
      <c r="AM466" s="36">
        <v>1</v>
      </c>
      <c r="AN466" s="36">
        <v>1</v>
      </c>
      <c r="AO466" s="36">
        <v>1</v>
      </c>
      <c r="AP466" s="36">
        <v>1</v>
      </c>
      <c r="AQ466" s="36">
        <v>1</v>
      </c>
      <c r="AR466" s="36">
        <v>1</v>
      </c>
      <c r="AS466" s="36">
        <v>1</v>
      </c>
      <c r="AT466" s="36">
        <v>1</v>
      </c>
      <c r="AU466" s="36">
        <v>1</v>
      </c>
      <c r="AV466" s="36">
        <v>1</v>
      </c>
      <c r="AW466" s="36">
        <v>1</v>
      </c>
      <c r="AX466" s="36">
        <v>1</v>
      </c>
      <c r="AY466" s="36">
        <v>1</v>
      </c>
      <c r="AZ466" s="36">
        <v>1</v>
      </c>
      <c r="BA466" s="36">
        <v>1</v>
      </c>
      <c r="BB466" s="36">
        <v>1</v>
      </c>
      <c r="BC466" s="36">
        <v>1</v>
      </c>
      <c r="BD466" s="37">
        <v>1</v>
      </c>
    </row>
    <row r="467" spans="1:56" s="3" customFormat="1" ht="18" customHeight="1" x14ac:dyDescent="0.2">
      <c r="A467" s="47"/>
      <c r="B467" s="124"/>
      <c r="C467" s="162"/>
      <c r="D467" s="152"/>
      <c r="E467" s="140">
        <v>3</v>
      </c>
      <c r="F467" s="39">
        <v>-33</v>
      </c>
      <c r="H467" s="39">
        <v>43</v>
      </c>
      <c r="I467" s="35">
        <v>1</v>
      </c>
      <c r="J467" s="36">
        <v>1</v>
      </c>
      <c r="K467" s="36">
        <v>1</v>
      </c>
      <c r="L467" s="36">
        <v>1</v>
      </c>
      <c r="M467" s="36">
        <v>1</v>
      </c>
      <c r="N467" s="36">
        <v>1</v>
      </c>
      <c r="O467" s="36">
        <v>1</v>
      </c>
      <c r="P467" s="36">
        <v>1</v>
      </c>
      <c r="Q467" s="36">
        <v>1</v>
      </c>
      <c r="R467" s="36">
        <v>1</v>
      </c>
      <c r="S467" s="36">
        <v>1</v>
      </c>
      <c r="T467" s="36">
        <v>1</v>
      </c>
      <c r="U467" s="36">
        <v>1</v>
      </c>
      <c r="V467" s="36">
        <v>1</v>
      </c>
      <c r="W467" s="36">
        <v>1</v>
      </c>
      <c r="X467" s="36">
        <v>1</v>
      </c>
      <c r="Y467" s="36">
        <v>1</v>
      </c>
      <c r="Z467" s="36">
        <v>1</v>
      </c>
      <c r="AA467" s="36">
        <v>1</v>
      </c>
      <c r="AB467" s="36">
        <v>1</v>
      </c>
      <c r="AC467" s="36">
        <v>1</v>
      </c>
      <c r="AD467" s="36">
        <v>1</v>
      </c>
      <c r="AE467" s="36">
        <v>1</v>
      </c>
      <c r="AF467" s="36">
        <v>1</v>
      </c>
      <c r="AG467" s="36">
        <v>1</v>
      </c>
      <c r="AH467" s="36">
        <v>1</v>
      </c>
      <c r="AI467" s="36">
        <v>1</v>
      </c>
      <c r="AJ467" s="36">
        <v>1</v>
      </c>
      <c r="AK467" s="36">
        <v>1</v>
      </c>
      <c r="AL467" s="36">
        <v>1</v>
      </c>
      <c r="AM467" s="36">
        <v>1</v>
      </c>
      <c r="AN467" s="36">
        <v>1</v>
      </c>
      <c r="AO467" s="36">
        <v>1</v>
      </c>
      <c r="AP467" s="36">
        <v>1</v>
      </c>
      <c r="AQ467" s="36">
        <v>1</v>
      </c>
      <c r="AR467" s="36">
        <v>1</v>
      </c>
      <c r="AS467" s="36">
        <v>1</v>
      </c>
      <c r="AT467" s="36">
        <v>1</v>
      </c>
      <c r="AU467" s="36">
        <v>1</v>
      </c>
      <c r="AV467" s="36">
        <v>1</v>
      </c>
      <c r="AW467" s="36">
        <v>1</v>
      </c>
      <c r="AX467" s="36">
        <v>1</v>
      </c>
      <c r="AY467" s="36">
        <v>1</v>
      </c>
      <c r="AZ467" s="36">
        <v>1</v>
      </c>
      <c r="BA467" s="36">
        <v>1</v>
      </c>
      <c r="BB467" s="36">
        <v>1</v>
      </c>
      <c r="BC467" s="36">
        <v>1</v>
      </c>
      <c r="BD467" s="37">
        <v>1</v>
      </c>
    </row>
    <row r="468" spans="1:56" s="3" customFormat="1" ht="18" customHeight="1" x14ac:dyDescent="0.2">
      <c r="A468" s="47"/>
      <c r="B468" s="124"/>
      <c r="C468" s="162"/>
      <c r="D468" s="152"/>
      <c r="E468" s="140">
        <v>4</v>
      </c>
      <c r="F468" s="39">
        <v>-30</v>
      </c>
      <c r="H468" s="39">
        <v>44</v>
      </c>
      <c r="I468" s="35">
        <v>1</v>
      </c>
      <c r="J468" s="36">
        <v>1</v>
      </c>
      <c r="K468" s="36">
        <v>1</v>
      </c>
      <c r="L468" s="36">
        <v>1</v>
      </c>
      <c r="M468" s="36">
        <v>1</v>
      </c>
      <c r="N468" s="36">
        <v>1</v>
      </c>
      <c r="O468" s="36">
        <v>1</v>
      </c>
      <c r="P468" s="36">
        <v>1</v>
      </c>
      <c r="Q468" s="36">
        <v>1</v>
      </c>
      <c r="R468" s="36">
        <v>1</v>
      </c>
      <c r="S468" s="36">
        <v>1</v>
      </c>
      <c r="T468" s="36">
        <v>1</v>
      </c>
      <c r="U468" s="36">
        <v>1</v>
      </c>
      <c r="V468" s="36">
        <v>1</v>
      </c>
      <c r="W468" s="36">
        <v>1</v>
      </c>
      <c r="X468" s="36">
        <v>1</v>
      </c>
      <c r="Y468" s="36">
        <v>1</v>
      </c>
      <c r="Z468" s="36">
        <v>1</v>
      </c>
      <c r="AA468" s="36">
        <v>1</v>
      </c>
      <c r="AB468" s="36">
        <v>1</v>
      </c>
      <c r="AC468" s="36">
        <v>1</v>
      </c>
      <c r="AD468" s="36">
        <v>1</v>
      </c>
      <c r="AE468" s="36">
        <v>1</v>
      </c>
      <c r="AF468" s="36">
        <v>1</v>
      </c>
      <c r="AG468" s="36">
        <v>1</v>
      </c>
      <c r="AH468" s="36">
        <v>1</v>
      </c>
      <c r="AI468" s="36">
        <v>1</v>
      </c>
      <c r="AJ468" s="36">
        <v>1</v>
      </c>
      <c r="AK468" s="36">
        <v>1</v>
      </c>
      <c r="AL468" s="36">
        <v>1</v>
      </c>
      <c r="AM468" s="36">
        <v>1</v>
      </c>
      <c r="AN468" s="36">
        <v>1</v>
      </c>
      <c r="AO468" s="36">
        <v>1</v>
      </c>
      <c r="AP468" s="36">
        <v>1</v>
      </c>
      <c r="AQ468" s="36">
        <v>1</v>
      </c>
      <c r="AR468" s="36">
        <v>1</v>
      </c>
      <c r="AS468" s="36">
        <v>1</v>
      </c>
      <c r="AT468" s="36">
        <v>1</v>
      </c>
      <c r="AU468" s="36">
        <v>1</v>
      </c>
      <c r="AV468" s="36">
        <v>1</v>
      </c>
      <c r="AW468" s="36">
        <v>1</v>
      </c>
      <c r="AX468" s="36">
        <v>1</v>
      </c>
      <c r="AY468" s="36">
        <v>1</v>
      </c>
      <c r="AZ468" s="36">
        <v>1</v>
      </c>
      <c r="BA468" s="36">
        <v>1</v>
      </c>
      <c r="BB468" s="36">
        <v>1</v>
      </c>
      <c r="BC468" s="36">
        <v>1</v>
      </c>
      <c r="BD468" s="37">
        <v>1</v>
      </c>
    </row>
    <row r="469" spans="1:56" s="3" customFormat="1" ht="18" customHeight="1" x14ac:dyDescent="0.2">
      <c r="A469" s="47"/>
      <c r="B469" s="124"/>
      <c r="C469" s="162"/>
      <c r="D469" s="152"/>
      <c r="E469" s="140">
        <v>5</v>
      </c>
      <c r="F469" s="39">
        <v>-25</v>
      </c>
      <c r="H469" s="39">
        <v>45</v>
      </c>
      <c r="I469" s="35">
        <v>1</v>
      </c>
      <c r="J469" s="36">
        <v>1</v>
      </c>
      <c r="K469" s="36">
        <v>1</v>
      </c>
      <c r="L469" s="36">
        <v>1</v>
      </c>
      <c r="M469" s="36">
        <v>1</v>
      </c>
      <c r="N469" s="36">
        <v>1</v>
      </c>
      <c r="O469" s="36">
        <v>1</v>
      </c>
      <c r="P469" s="36">
        <v>1</v>
      </c>
      <c r="Q469" s="36">
        <v>1</v>
      </c>
      <c r="R469" s="36">
        <v>1</v>
      </c>
      <c r="S469" s="36">
        <v>1</v>
      </c>
      <c r="T469" s="36">
        <v>1</v>
      </c>
      <c r="U469" s="36">
        <v>1</v>
      </c>
      <c r="V469" s="36">
        <v>1</v>
      </c>
      <c r="W469" s="36">
        <v>1</v>
      </c>
      <c r="X469" s="36">
        <v>1</v>
      </c>
      <c r="Y469" s="36">
        <v>1</v>
      </c>
      <c r="Z469" s="36">
        <v>1</v>
      </c>
      <c r="AA469" s="36">
        <v>1</v>
      </c>
      <c r="AB469" s="36">
        <v>1</v>
      </c>
      <c r="AC469" s="36">
        <v>1</v>
      </c>
      <c r="AD469" s="36">
        <v>1</v>
      </c>
      <c r="AE469" s="36">
        <v>1</v>
      </c>
      <c r="AF469" s="36">
        <v>1</v>
      </c>
      <c r="AG469" s="36">
        <v>1</v>
      </c>
      <c r="AH469" s="36">
        <v>1</v>
      </c>
      <c r="AI469" s="36">
        <v>1</v>
      </c>
      <c r="AJ469" s="36">
        <v>1</v>
      </c>
      <c r="AK469" s="36">
        <v>1</v>
      </c>
      <c r="AL469" s="36">
        <v>1</v>
      </c>
      <c r="AM469" s="36">
        <v>1</v>
      </c>
      <c r="AN469" s="36">
        <v>1</v>
      </c>
      <c r="AO469" s="36">
        <v>1</v>
      </c>
      <c r="AP469" s="36">
        <v>1</v>
      </c>
      <c r="AQ469" s="36">
        <v>1</v>
      </c>
      <c r="AR469" s="36">
        <v>1</v>
      </c>
      <c r="AS469" s="36">
        <v>1</v>
      </c>
      <c r="AT469" s="36">
        <v>1</v>
      </c>
      <c r="AU469" s="36">
        <v>1</v>
      </c>
      <c r="AV469" s="36">
        <v>1</v>
      </c>
      <c r="AW469" s="36">
        <v>1</v>
      </c>
      <c r="AX469" s="36">
        <v>1</v>
      </c>
      <c r="AY469" s="36">
        <v>1</v>
      </c>
      <c r="AZ469" s="36">
        <v>1</v>
      </c>
      <c r="BA469" s="36">
        <v>1</v>
      </c>
      <c r="BB469" s="36">
        <v>1</v>
      </c>
      <c r="BC469" s="36">
        <v>1</v>
      </c>
      <c r="BD469" s="37">
        <v>1</v>
      </c>
    </row>
    <row r="470" spans="1:56" s="3" customFormat="1" ht="18" customHeight="1" x14ac:dyDescent="0.2">
      <c r="A470" s="47"/>
      <c r="B470" s="124"/>
      <c r="C470" s="162"/>
      <c r="D470" s="152"/>
      <c r="E470" s="140">
        <v>6</v>
      </c>
      <c r="F470" s="39">
        <v>-25</v>
      </c>
      <c r="H470" s="39">
        <v>46</v>
      </c>
      <c r="I470" s="35">
        <v>1</v>
      </c>
      <c r="J470" s="36">
        <v>1</v>
      </c>
      <c r="K470" s="36">
        <v>1</v>
      </c>
      <c r="L470" s="36">
        <v>1</v>
      </c>
      <c r="M470" s="36">
        <v>1</v>
      </c>
      <c r="N470" s="36">
        <v>1</v>
      </c>
      <c r="O470" s="36">
        <v>1</v>
      </c>
      <c r="P470" s="36">
        <v>1</v>
      </c>
      <c r="Q470" s="36">
        <v>1</v>
      </c>
      <c r="R470" s="36">
        <v>1</v>
      </c>
      <c r="S470" s="36">
        <v>1</v>
      </c>
      <c r="T470" s="36">
        <v>1</v>
      </c>
      <c r="U470" s="36">
        <v>1</v>
      </c>
      <c r="V470" s="36">
        <v>1</v>
      </c>
      <c r="W470" s="36">
        <v>1</v>
      </c>
      <c r="X470" s="36">
        <v>1</v>
      </c>
      <c r="Y470" s="36">
        <v>1</v>
      </c>
      <c r="Z470" s="36">
        <v>1</v>
      </c>
      <c r="AA470" s="36">
        <v>1</v>
      </c>
      <c r="AB470" s="36">
        <v>1</v>
      </c>
      <c r="AC470" s="36">
        <v>1</v>
      </c>
      <c r="AD470" s="36">
        <v>1</v>
      </c>
      <c r="AE470" s="36">
        <v>1</v>
      </c>
      <c r="AF470" s="36">
        <v>1</v>
      </c>
      <c r="AG470" s="36">
        <v>1</v>
      </c>
      <c r="AH470" s="36">
        <v>1</v>
      </c>
      <c r="AI470" s="36">
        <v>1</v>
      </c>
      <c r="AJ470" s="36">
        <v>1</v>
      </c>
      <c r="AK470" s="36">
        <v>1</v>
      </c>
      <c r="AL470" s="36">
        <v>1</v>
      </c>
      <c r="AM470" s="36">
        <v>1</v>
      </c>
      <c r="AN470" s="36">
        <v>1</v>
      </c>
      <c r="AO470" s="36">
        <v>1</v>
      </c>
      <c r="AP470" s="36">
        <v>1</v>
      </c>
      <c r="AQ470" s="36">
        <v>1</v>
      </c>
      <c r="AR470" s="36">
        <v>1</v>
      </c>
      <c r="AS470" s="36">
        <v>1</v>
      </c>
      <c r="AT470" s="36">
        <v>1</v>
      </c>
      <c r="AU470" s="36">
        <v>1</v>
      </c>
      <c r="AV470" s="36">
        <v>1</v>
      </c>
      <c r="AW470" s="36">
        <v>1</v>
      </c>
      <c r="AX470" s="36">
        <v>1</v>
      </c>
      <c r="AY470" s="36">
        <v>1</v>
      </c>
      <c r="AZ470" s="36">
        <v>1</v>
      </c>
      <c r="BA470" s="36">
        <v>1</v>
      </c>
      <c r="BB470" s="36">
        <v>1</v>
      </c>
      <c r="BC470" s="36">
        <v>1</v>
      </c>
      <c r="BD470" s="37">
        <v>1</v>
      </c>
    </row>
    <row r="471" spans="1:56" s="3" customFormat="1" ht="18" customHeight="1" x14ac:dyDescent="0.2">
      <c r="A471" s="47"/>
      <c r="B471" s="124"/>
      <c r="C471" s="162"/>
      <c r="D471" s="152"/>
      <c r="E471" s="140">
        <v>7</v>
      </c>
      <c r="F471" s="39">
        <v>-33</v>
      </c>
      <c r="H471" s="39">
        <v>47</v>
      </c>
      <c r="I471" s="35">
        <v>1</v>
      </c>
      <c r="J471" s="36">
        <v>1</v>
      </c>
      <c r="K471" s="36">
        <v>1</v>
      </c>
      <c r="L471" s="36">
        <v>1</v>
      </c>
      <c r="M471" s="36">
        <v>1</v>
      </c>
      <c r="N471" s="36">
        <v>1</v>
      </c>
      <c r="O471" s="36">
        <v>1</v>
      </c>
      <c r="P471" s="36">
        <v>1</v>
      </c>
      <c r="Q471" s="36">
        <v>1</v>
      </c>
      <c r="R471" s="36">
        <v>1</v>
      </c>
      <c r="S471" s="36">
        <v>1</v>
      </c>
      <c r="T471" s="36">
        <v>1</v>
      </c>
      <c r="U471" s="36">
        <v>1</v>
      </c>
      <c r="V471" s="36">
        <v>1</v>
      </c>
      <c r="W471" s="36">
        <v>1</v>
      </c>
      <c r="X471" s="36">
        <v>1</v>
      </c>
      <c r="Y471" s="36">
        <v>1</v>
      </c>
      <c r="Z471" s="36">
        <v>1</v>
      </c>
      <c r="AA471" s="36">
        <v>1</v>
      </c>
      <c r="AB471" s="36">
        <v>1</v>
      </c>
      <c r="AC471" s="36">
        <v>1</v>
      </c>
      <c r="AD471" s="36">
        <v>1</v>
      </c>
      <c r="AE471" s="36">
        <v>1</v>
      </c>
      <c r="AF471" s="36">
        <v>1</v>
      </c>
      <c r="AG471" s="36">
        <v>1</v>
      </c>
      <c r="AH471" s="36">
        <v>1</v>
      </c>
      <c r="AI471" s="36">
        <v>1</v>
      </c>
      <c r="AJ471" s="36">
        <v>1</v>
      </c>
      <c r="AK471" s="36">
        <v>1</v>
      </c>
      <c r="AL471" s="36">
        <v>1</v>
      </c>
      <c r="AM471" s="36">
        <v>1</v>
      </c>
      <c r="AN471" s="36">
        <v>1</v>
      </c>
      <c r="AO471" s="36">
        <v>1</v>
      </c>
      <c r="AP471" s="36">
        <v>1</v>
      </c>
      <c r="AQ471" s="36">
        <v>1</v>
      </c>
      <c r="AR471" s="36">
        <v>1</v>
      </c>
      <c r="AS471" s="36">
        <v>1</v>
      </c>
      <c r="AT471" s="36">
        <v>1</v>
      </c>
      <c r="AU471" s="36">
        <v>1</v>
      </c>
      <c r="AV471" s="36">
        <v>1</v>
      </c>
      <c r="AW471" s="36">
        <v>1</v>
      </c>
      <c r="AX471" s="36">
        <v>1</v>
      </c>
      <c r="AY471" s="36">
        <v>1</v>
      </c>
      <c r="AZ471" s="36">
        <v>1</v>
      </c>
      <c r="BA471" s="36">
        <v>1</v>
      </c>
      <c r="BB471" s="36">
        <v>1</v>
      </c>
      <c r="BC471" s="36">
        <v>1</v>
      </c>
      <c r="BD471" s="37">
        <v>1</v>
      </c>
    </row>
    <row r="472" spans="1:56" s="3" customFormat="1" ht="18.5" customHeight="1" x14ac:dyDescent="0.2">
      <c r="A472" s="47"/>
      <c r="B472" s="124"/>
      <c r="C472" s="162"/>
      <c r="D472" s="152"/>
      <c r="E472" s="140">
        <v>8</v>
      </c>
      <c r="F472" s="39">
        <v>-33</v>
      </c>
      <c r="H472" s="56">
        <v>48</v>
      </c>
      <c r="I472" s="32">
        <v>1</v>
      </c>
      <c r="J472" s="33">
        <v>1</v>
      </c>
      <c r="K472" s="33">
        <v>1</v>
      </c>
      <c r="L472" s="33">
        <v>1</v>
      </c>
      <c r="M472" s="33">
        <v>1</v>
      </c>
      <c r="N472" s="33">
        <v>1</v>
      </c>
      <c r="O472" s="33">
        <v>1</v>
      </c>
      <c r="P472" s="33">
        <v>1</v>
      </c>
      <c r="Q472" s="33">
        <v>1</v>
      </c>
      <c r="R472" s="33">
        <v>1</v>
      </c>
      <c r="S472" s="33">
        <v>1</v>
      </c>
      <c r="T472" s="33">
        <v>1</v>
      </c>
      <c r="U472" s="33">
        <v>1</v>
      </c>
      <c r="V472" s="33">
        <v>1</v>
      </c>
      <c r="W472" s="33">
        <v>1</v>
      </c>
      <c r="X472" s="33">
        <v>1</v>
      </c>
      <c r="Y472" s="33">
        <v>1</v>
      </c>
      <c r="Z472" s="33">
        <v>1</v>
      </c>
      <c r="AA472" s="33">
        <v>1</v>
      </c>
      <c r="AB472" s="33">
        <v>1</v>
      </c>
      <c r="AC472" s="33">
        <v>1</v>
      </c>
      <c r="AD472" s="33">
        <v>1</v>
      </c>
      <c r="AE472" s="33">
        <v>1</v>
      </c>
      <c r="AF472" s="33">
        <v>1</v>
      </c>
      <c r="AG472" s="33">
        <v>1</v>
      </c>
      <c r="AH472" s="33">
        <v>1</v>
      </c>
      <c r="AI472" s="33">
        <v>1</v>
      </c>
      <c r="AJ472" s="33">
        <v>1</v>
      </c>
      <c r="AK472" s="33">
        <v>1</v>
      </c>
      <c r="AL472" s="33">
        <v>1</v>
      </c>
      <c r="AM472" s="33">
        <v>1</v>
      </c>
      <c r="AN472" s="33">
        <v>1</v>
      </c>
      <c r="AO472" s="33">
        <v>1</v>
      </c>
      <c r="AP472" s="33">
        <v>1</v>
      </c>
      <c r="AQ472" s="33">
        <v>1</v>
      </c>
      <c r="AR472" s="33">
        <v>1</v>
      </c>
      <c r="AS472" s="33">
        <v>1</v>
      </c>
      <c r="AT472" s="33">
        <v>1</v>
      </c>
      <c r="AU472" s="33">
        <v>1</v>
      </c>
      <c r="AV472" s="33">
        <v>1</v>
      </c>
      <c r="AW472" s="33">
        <v>1</v>
      </c>
      <c r="AX472" s="33">
        <v>1</v>
      </c>
      <c r="AY472" s="33">
        <v>1</v>
      </c>
      <c r="AZ472" s="33">
        <v>1</v>
      </c>
      <c r="BA472" s="33">
        <v>1</v>
      </c>
      <c r="BB472" s="33">
        <v>1</v>
      </c>
      <c r="BC472" s="33">
        <v>1</v>
      </c>
      <c r="BD472" s="34">
        <v>1</v>
      </c>
    </row>
    <row r="473" spans="1:56" s="3" customFormat="1" ht="18.5" customHeight="1" x14ac:dyDescent="0.2">
      <c r="A473" s="47"/>
      <c r="B473" s="124"/>
      <c r="C473" s="162"/>
      <c r="D473" s="152"/>
      <c r="E473" s="140">
        <v>9</v>
      </c>
      <c r="F473" s="39">
        <v>-33</v>
      </c>
    </row>
    <row r="474" spans="1:56" s="3" customFormat="1" ht="18" customHeight="1" x14ac:dyDescent="0.2">
      <c r="A474" s="47"/>
      <c r="B474" s="124"/>
      <c r="C474" s="162"/>
      <c r="D474" s="152"/>
      <c r="E474" s="140">
        <v>10</v>
      </c>
      <c r="F474" s="39">
        <v>-15</v>
      </c>
    </row>
    <row r="475" spans="1:56" s="3" customFormat="1" ht="18" customHeight="1" x14ac:dyDescent="0.2">
      <c r="A475" s="47"/>
      <c r="B475" s="124"/>
      <c r="C475" s="162"/>
      <c r="D475" s="152"/>
      <c r="E475" s="140">
        <v>11</v>
      </c>
      <c r="F475" s="39">
        <v>-45</v>
      </c>
    </row>
    <row r="476" spans="1:56" s="3" customFormat="1" ht="18" customHeight="1" x14ac:dyDescent="0.2">
      <c r="A476" s="47"/>
      <c r="B476" s="124"/>
      <c r="C476" s="162"/>
      <c r="D476" s="152"/>
      <c r="E476" s="140">
        <v>12</v>
      </c>
      <c r="F476" s="39">
        <v>-38</v>
      </c>
    </row>
    <row r="477" spans="1:56" s="3" customFormat="1" ht="18.5" customHeight="1" x14ac:dyDescent="0.2">
      <c r="A477" s="47"/>
      <c r="B477" s="124"/>
      <c r="C477" s="162"/>
      <c r="D477" s="152"/>
      <c r="E477" s="140">
        <v>13</v>
      </c>
      <c r="F477" s="39">
        <v>-30</v>
      </c>
    </row>
    <row r="478" spans="1:56" s="3" customFormat="1" ht="19" customHeight="1" x14ac:dyDescent="0.2">
      <c r="A478" s="47"/>
      <c r="B478" s="124"/>
      <c r="C478" s="162"/>
      <c r="D478" s="152"/>
      <c r="E478" s="140">
        <v>14</v>
      </c>
      <c r="F478" s="39">
        <v>-23</v>
      </c>
      <c r="H478" s="6" t="s">
        <v>244</v>
      </c>
      <c r="I478" s="4" t="s">
        <v>245</v>
      </c>
      <c r="J478" s="5"/>
      <c r="K478" s="190" t="s">
        <v>246</v>
      </c>
    </row>
    <row r="479" spans="1:56" s="3" customFormat="1" ht="19" customHeight="1" x14ac:dyDescent="0.2">
      <c r="A479" s="47"/>
      <c r="B479" s="124"/>
      <c r="C479" s="162"/>
      <c r="D479" s="152"/>
      <c r="E479" s="140">
        <v>15</v>
      </c>
      <c r="F479" s="39">
        <v>-47</v>
      </c>
      <c r="H479" s="30"/>
      <c r="I479" s="9">
        <v>1</v>
      </c>
      <c r="J479" s="10">
        <v>2</v>
      </c>
      <c r="K479" s="10">
        <v>3</v>
      </c>
      <c r="L479" s="10">
        <v>4</v>
      </c>
      <c r="M479" s="10">
        <v>5</v>
      </c>
      <c r="N479" s="10">
        <v>6</v>
      </c>
      <c r="O479" s="10">
        <v>7</v>
      </c>
      <c r="P479" s="10">
        <v>8</v>
      </c>
      <c r="Q479" s="10">
        <v>9</v>
      </c>
      <c r="R479" s="10">
        <v>10</v>
      </c>
      <c r="S479" s="10">
        <v>11</v>
      </c>
      <c r="T479" s="10">
        <v>12</v>
      </c>
      <c r="U479" s="10">
        <v>13</v>
      </c>
      <c r="V479" s="10">
        <v>14</v>
      </c>
      <c r="W479" s="10">
        <v>15</v>
      </c>
      <c r="X479" s="10">
        <v>16</v>
      </c>
      <c r="Y479" s="10">
        <v>17</v>
      </c>
      <c r="Z479" s="10">
        <v>18</v>
      </c>
      <c r="AA479" s="10">
        <v>19</v>
      </c>
      <c r="AB479" s="10">
        <v>20</v>
      </c>
      <c r="AC479" s="10">
        <v>21</v>
      </c>
      <c r="AD479" s="10">
        <v>22</v>
      </c>
      <c r="AE479" s="10">
        <v>23</v>
      </c>
      <c r="AF479" s="10">
        <v>24</v>
      </c>
      <c r="AG479" s="10">
        <v>25</v>
      </c>
      <c r="AH479" s="10">
        <v>26</v>
      </c>
      <c r="AI479" s="10">
        <v>27</v>
      </c>
      <c r="AJ479" s="10">
        <v>28</v>
      </c>
      <c r="AK479" s="10">
        <v>29</v>
      </c>
      <c r="AL479" s="10">
        <v>30</v>
      </c>
      <c r="AM479" s="10">
        <v>31</v>
      </c>
      <c r="AN479" s="10">
        <v>32</v>
      </c>
      <c r="AO479" s="10">
        <v>33</v>
      </c>
      <c r="AP479" s="10">
        <v>34</v>
      </c>
      <c r="AQ479" s="10">
        <v>35</v>
      </c>
      <c r="AR479" s="10">
        <v>36</v>
      </c>
      <c r="AS479" s="10">
        <v>37</v>
      </c>
      <c r="AT479" s="10">
        <v>38</v>
      </c>
      <c r="AU479" s="10">
        <v>39</v>
      </c>
      <c r="AV479" s="10">
        <v>40</v>
      </c>
      <c r="AW479" s="10">
        <v>41</v>
      </c>
      <c r="AX479" s="10">
        <v>42</v>
      </c>
      <c r="AY479" s="10">
        <v>43</v>
      </c>
      <c r="AZ479" s="10">
        <v>44</v>
      </c>
      <c r="BA479" s="10">
        <v>45</v>
      </c>
      <c r="BB479" s="10">
        <v>46</v>
      </c>
      <c r="BC479" s="10">
        <v>47</v>
      </c>
      <c r="BD479" s="11">
        <v>48</v>
      </c>
    </row>
    <row r="480" spans="1:56" s="3" customFormat="1" ht="19" customHeight="1" x14ac:dyDescent="0.2">
      <c r="A480" s="47"/>
      <c r="B480" s="124"/>
      <c r="C480" s="162"/>
      <c r="D480" s="152"/>
      <c r="E480" s="140">
        <v>16</v>
      </c>
      <c r="F480" s="39">
        <v>-20</v>
      </c>
      <c r="H480" s="297">
        <v>1</v>
      </c>
      <c r="I480" s="298">
        <v>3.4656718032091699E-4</v>
      </c>
      <c r="J480" s="299">
        <v>6.1172837754833198E-4</v>
      </c>
      <c r="K480" s="299">
        <v>5.0212932250105996E-4</v>
      </c>
      <c r="L480" s="299">
        <v>3.3193528981657498E-4</v>
      </c>
      <c r="M480" s="299">
        <v>5.173482041894731E-4</v>
      </c>
      <c r="N480" s="299">
        <v>5.4667140578435402E-4</v>
      </c>
      <c r="O480" s="299">
        <v>5.0212932250105996E-4</v>
      </c>
      <c r="P480" s="299">
        <v>5.173482041894731E-4</v>
      </c>
      <c r="Q480" s="299">
        <v>5.4667140578435402E-4</v>
      </c>
      <c r="R480" s="299">
        <v>3.4656718032091699E-4</v>
      </c>
      <c r="S480" s="299">
        <v>6.1172837754833198E-4</v>
      </c>
      <c r="T480" s="299">
        <v>5.0212932250105996E-4</v>
      </c>
      <c r="U480" s="299">
        <v>3.3193528981657498E-4</v>
      </c>
      <c r="V480" s="299">
        <v>5.173482041894731E-4</v>
      </c>
      <c r="W480" s="299">
        <v>5.4667140578435402E-4</v>
      </c>
      <c r="X480" s="299">
        <v>3.4656718032091699E-4</v>
      </c>
      <c r="Y480" s="299">
        <v>6.1172837754833198E-4</v>
      </c>
      <c r="Z480" s="299">
        <v>5.0212932250105996E-4</v>
      </c>
      <c r="AA480" s="299">
        <v>4.0376057404843397E-4</v>
      </c>
      <c r="AB480" s="299">
        <v>3.3193528981657498E-4</v>
      </c>
      <c r="AC480" s="299">
        <v>5.173482041894731E-4</v>
      </c>
      <c r="AD480" s="299">
        <v>5.4667140578435402E-4</v>
      </c>
      <c r="AE480" s="299">
        <v>3.4656718032091699E-4</v>
      </c>
      <c r="AF480" s="299">
        <v>6.1172837754833198E-4</v>
      </c>
      <c r="AG480" s="299">
        <v>5.0212932250105996E-4</v>
      </c>
      <c r="AH480" s="299">
        <v>3.3193528981657498E-4</v>
      </c>
      <c r="AI480" s="299">
        <v>5.173482041894731E-4</v>
      </c>
      <c r="AJ480" s="299">
        <v>5.4667140578435402E-4</v>
      </c>
      <c r="AK480" s="299">
        <v>3.4656718032091699E-4</v>
      </c>
      <c r="AL480" s="299">
        <v>6.1172837754833198E-4</v>
      </c>
      <c r="AM480" s="299">
        <v>5.3045437596814396E-4</v>
      </c>
      <c r="AN480" s="299">
        <v>5.0212932250105996E-4</v>
      </c>
      <c r="AO480" s="299">
        <v>4.0376057404843397E-4</v>
      </c>
      <c r="AP480" s="299">
        <v>3.3193528981657498E-4</v>
      </c>
      <c r="AQ480" s="299">
        <v>5.173482041894731E-4</v>
      </c>
      <c r="AR480" s="299">
        <v>4.3419190894863999E-4</v>
      </c>
      <c r="AS480" s="299">
        <v>5.4667140578435402E-4</v>
      </c>
      <c r="AT480" s="299">
        <v>3.7018806334197812E-4</v>
      </c>
      <c r="AU480" s="299">
        <v>3.4656718032091699E-4</v>
      </c>
      <c r="AV480" s="299">
        <v>6.1172837754833198E-4</v>
      </c>
      <c r="AW480" s="299">
        <v>5.0212932250105996E-4</v>
      </c>
      <c r="AX480" s="299">
        <v>5.173482041894731E-4</v>
      </c>
      <c r="AY480" s="299">
        <v>5.4667140578435402E-4</v>
      </c>
      <c r="AZ480" s="299">
        <v>5.0212932250105996E-4</v>
      </c>
      <c r="BA480" s="299">
        <v>5.0212932250105996E-4</v>
      </c>
      <c r="BB480" s="299">
        <v>5.173482041894731E-4</v>
      </c>
      <c r="BC480" s="299">
        <v>5.4667140578435402E-4</v>
      </c>
      <c r="BD480" s="300">
        <v>5.0212932250105996E-4</v>
      </c>
    </row>
    <row r="481" spans="1:56" s="3" customFormat="1" ht="18.5" customHeight="1" x14ac:dyDescent="0.2">
      <c r="A481" s="47"/>
      <c r="B481" s="124"/>
      <c r="C481" s="162"/>
      <c r="D481" s="152"/>
      <c r="E481" s="140">
        <v>17</v>
      </c>
      <c r="F481" s="39">
        <v>-15</v>
      </c>
    </row>
    <row r="482" spans="1:56" s="3" customFormat="1" ht="18" customHeight="1" x14ac:dyDescent="0.2">
      <c r="A482" s="47"/>
      <c r="B482" s="124"/>
      <c r="C482" s="162"/>
      <c r="D482" s="152"/>
      <c r="E482" s="140">
        <v>18</v>
      </c>
      <c r="F482" s="39">
        <v>-90</v>
      </c>
    </row>
    <row r="483" spans="1:56" s="3" customFormat="1" ht="18" customHeight="1" x14ac:dyDescent="0.2">
      <c r="A483" s="47"/>
      <c r="B483" s="124"/>
      <c r="C483" s="162"/>
      <c r="D483" s="152"/>
      <c r="E483" s="140">
        <v>19</v>
      </c>
      <c r="F483" s="39">
        <v>-45</v>
      </c>
    </row>
    <row r="484" spans="1:56" s="3" customFormat="1" ht="18.5" customHeight="1" x14ac:dyDescent="0.2">
      <c r="A484" s="47"/>
      <c r="B484" s="124"/>
      <c r="C484" s="162"/>
      <c r="D484" s="152"/>
      <c r="E484" s="140">
        <v>20</v>
      </c>
      <c r="F484" s="39">
        <v>0</v>
      </c>
    </row>
    <row r="485" spans="1:56" s="3" customFormat="1" ht="19" customHeight="1" x14ac:dyDescent="0.2">
      <c r="A485" s="47"/>
      <c r="B485" s="124"/>
      <c r="C485" s="162"/>
      <c r="D485" s="152"/>
      <c r="E485" s="140">
        <v>21</v>
      </c>
      <c r="F485" s="39">
        <v>0</v>
      </c>
      <c r="H485" s="6" t="s">
        <v>247</v>
      </c>
    </row>
    <row r="486" spans="1:56" s="3" customFormat="1" ht="19" customHeight="1" x14ac:dyDescent="0.2">
      <c r="A486" s="47"/>
      <c r="B486" s="124"/>
      <c r="C486" s="162"/>
      <c r="D486" s="152"/>
      <c r="E486" s="140">
        <v>22</v>
      </c>
      <c r="F486" s="39">
        <v>0</v>
      </c>
      <c r="H486" s="4" t="s">
        <v>248</v>
      </c>
    </row>
    <row r="487" spans="1:56" s="3" customFormat="1" ht="19" customHeight="1" x14ac:dyDescent="0.2">
      <c r="A487" s="47"/>
      <c r="B487" s="124"/>
      <c r="C487" s="162"/>
      <c r="D487" s="152"/>
      <c r="E487" s="140">
        <v>23</v>
      </c>
      <c r="F487" s="39">
        <v>0</v>
      </c>
      <c r="H487" s="4" t="s">
        <v>249</v>
      </c>
    </row>
    <row r="488" spans="1:56" s="3" customFormat="1" ht="19" customHeight="1" x14ac:dyDescent="0.2">
      <c r="A488" s="47"/>
      <c r="B488" s="124"/>
      <c r="C488" s="162"/>
      <c r="D488" s="152"/>
      <c r="E488" s="140">
        <v>24</v>
      </c>
      <c r="F488" s="39">
        <v>0</v>
      </c>
      <c r="H488" s="8" t="s">
        <v>250</v>
      </c>
      <c r="I488" s="9">
        <v>1</v>
      </c>
      <c r="J488" s="10">
        <v>2</v>
      </c>
      <c r="K488" s="10">
        <v>3</v>
      </c>
      <c r="L488" s="10">
        <v>4</v>
      </c>
      <c r="M488" s="10">
        <v>5</v>
      </c>
      <c r="N488" s="10">
        <v>6</v>
      </c>
      <c r="O488" s="10">
        <v>7</v>
      </c>
      <c r="P488" s="10">
        <v>8</v>
      </c>
      <c r="Q488" s="10">
        <v>9</v>
      </c>
      <c r="R488" s="10">
        <v>10</v>
      </c>
      <c r="S488" s="10">
        <v>11</v>
      </c>
      <c r="T488" s="10">
        <v>12</v>
      </c>
      <c r="U488" s="10">
        <v>13</v>
      </c>
      <c r="V488" s="10">
        <v>14</v>
      </c>
      <c r="W488" s="10">
        <v>15</v>
      </c>
      <c r="X488" s="10">
        <v>16</v>
      </c>
      <c r="Y488" s="10">
        <v>17</v>
      </c>
      <c r="Z488" s="10">
        <v>18</v>
      </c>
      <c r="AA488" s="10">
        <v>19</v>
      </c>
      <c r="AB488" s="10">
        <v>20</v>
      </c>
      <c r="AC488" s="10">
        <v>21</v>
      </c>
      <c r="AD488" s="10">
        <v>22</v>
      </c>
      <c r="AE488" s="10">
        <v>23</v>
      </c>
      <c r="AF488" s="10">
        <v>24</v>
      </c>
      <c r="AG488" s="10">
        <v>25</v>
      </c>
      <c r="AH488" s="10">
        <v>26</v>
      </c>
      <c r="AI488" s="10">
        <v>27</v>
      </c>
      <c r="AJ488" s="10">
        <v>28</v>
      </c>
      <c r="AK488" s="10">
        <v>29</v>
      </c>
      <c r="AL488" s="10">
        <v>30</v>
      </c>
      <c r="AM488" s="10">
        <v>31</v>
      </c>
      <c r="AN488" s="10">
        <v>32</v>
      </c>
      <c r="AO488" s="10">
        <v>33</v>
      </c>
      <c r="AP488" s="10">
        <v>34</v>
      </c>
      <c r="AQ488" s="10">
        <v>35</v>
      </c>
      <c r="AR488" s="10">
        <v>36</v>
      </c>
      <c r="AS488" s="10">
        <v>37</v>
      </c>
      <c r="AT488" s="10">
        <v>38</v>
      </c>
      <c r="AU488" s="10">
        <v>39</v>
      </c>
      <c r="AV488" s="10">
        <v>40</v>
      </c>
      <c r="AW488" s="10">
        <v>41</v>
      </c>
      <c r="AX488" s="10">
        <v>42</v>
      </c>
      <c r="AY488" s="10">
        <v>43</v>
      </c>
      <c r="AZ488" s="10">
        <v>44</v>
      </c>
      <c r="BA488" s="10">
        <v>45</v>
      </c>
      <c r="BB488" s="10">
        <v>46</v>
      </c>
      <c r="BC488" s="10">
        <v>47</v>
      </c>
      <c r="BD488" s="11">
        <v>48</v>
      </c>
    </row>
    <row r="489" spans="1:56" s="3" customFormat="1" ht="18.5" customHeight="1" x14ac:dyDescent="0.2">
      <c r="A489" s="47"/>
      <c r="B489" s="124"/>
      <c r="C489" s="162"/>
      <c r="D489" s="152"/>
      <c r="E489" s="140">
        <v>25</v>
      </c>
      <c r="F489" s="39">
        <v>0</v>
      </c>
      <c r="H489" s="28">
        <v>1</v>
      </c>
      <c r="I489" s="283">
        <v>0.75193789344891915</v>
      </c>
      <c r="J489" s="284">
        <v>0.65193525422485499</v>
      </c>
      <c r="K489" s="284">
        <v>0.65193525422485499</v>
      </c>
      <c r="L489" s="284">
        <v>0.65193525422485499</v>
      </c>
      <c r="M489" s="284">
        <v>0.65193525422485499</v>
      </c>
      <c r="N489" s="284">
        <v>0.65193525422485499</v>
      </c>
      <c r="O489" s="284">
        <v>0.55193525422485512</v>
      </c>
      <c r="P489" s="284">
        <v>0.55193525422485512</v>
      </c>
      <c r="Q489" s="284">
        <v>0.55193525422485512</v>
      </c>
      <c r="R489" s="284">
        <v>0.55193789344891897</v>
      </c>
      <c r="S489" s="284">
        <v>0.55193525422485512</v>
      </c>
      <c r="T489" s="284">
        <v>0.55193525422485512</v>
      </c>
      <c r="U489" s="284">
        <v>0.55193525422485512</v>
      </c>
      <c r="V489" s="284">
        <v>0.55193525422485512</v>
      </c>
      <c r="W489" s="284">
        <v>0.55193525422485512</v>
      </c>
      <c r="X489" s="284">
        <v>0.55193789344891897</v>
      </c>
      <c r="Y489" s="284">
        <v>0.55193525422485512</v>
      </c>
      <c r="Z489" s="284">
        <v>0.55193525422485512</v>
      </c>
      <c r="AA489" s="284">
        <v>0.55193525422485512</v>
      </c>
      <c r="AB489" s="284">
        <v>0.55193525422485512</v>
      </c>
      <c r="AC489" s="284">
        <v>0.55193525422485512</v>
      </c>
      <c r="AD489" s="284">
        <v>0.55193525422485512</v>
      </c>
      <c r="AE489" s="284">
        <v>0.55193789344891897</v>
      </c>
      <c r="AF489" s="284">
        <v>0.55193525422485512</v>
      </c>
      <c r="AG489" s="284">
        <v>0.55193525422485512</v>
      </c>
      <c r="AH489" s="284">
        <v>0.55193525422485512</v>
      </c>
      <c r="AI489" s="284">
        <v>0.55193525422485512</v>
      </c>
      <c r="AJ489" s="284">
        <v>0.55193525422485512</v>
      </c>
      <c r="AK489" s="284">
        <v>0.55193789344891897</v>
      </c>
      <c r="AL489" s="284">
        <v>0.55193525422485512</v>
      </c>
      <c r="AM489" s="284">
        <v>0.55193525422485512</v>
      </c>
      <c r="AN489" s="284">
        <v>0.55193525422485512</v>
      </c>
      <c r="AO489" s="284">
        <v>0.55193525422485512</v>
      </c>
      <c r="AP489" s="284">
        <v>0.55193525422485512</v>
      </c>
      <c r="AQ489" s="284">
        <v>0.55193525422485512</v>
      </c>
      <c r="AR489" s="284">
        <v>0.55193525422485512</v>
      </c>
      <c r="AS489" s="284">
        <v>0.55193525422485512</v>
      </c>
      <c r="AT489" s="284">
        <v>0.55193525422485512</v>
      </c>
      <c r="AU489" s="284">
        <v>0.55193789344891897</v>
      </c>
      <c r="AV489" s="284">
        <v>0.55193525422485512</v>
      </c>
      <c r="AW489" s="284">
        <v>0.55193525422485512</v>
      </c>
      <c r="AX489" s="284">
        <v>0.55193525422485512</v>
      </c>
      <c r="AY489" s="284">
        <v>0.55193525422485512</v>
      </c>
      <c r="AZ489" s="284">
        <v>0.55193525422485512</v>
      </c>
      <c r="BA489" s="284">
        <v>0.55193525422485512</v>
      </c>
      <c r="BB489" s="284">
        <v>0.55193525422485512</v>
      </c>
      <c r="BC489" s="284">
        <v>0.55193525422485512</v>
      </c>
      <c r="BD489" s="285">
        <v>0.55193525422485512</v>
      </c>
    </row>
    <row r="490" spans="1:56" s="3" customFormat="1" ht="18" customHeight="1" x14ac:dyDescent="0.2">
      <c r="A490" s="47"/>
      <c r="B490" s="124"/>
      <c r="C490" s="162"/>
      <c r="D490" s="152"/>
      <c r="E490" s="140">
        <v>26</v>
      </c>
      <c r="F490" s="39">
        <v>0</v>
      </c>
      <c r="H490" s="39">
        <v>2</v>
      </c>
      <c r="I490" s="286">
        <v>0.65193525422485499</v>
      </c>
      <c r="J490" s="287">
        <v>0.75193789344891915</v>
      </c>
      <c r="K490" s="287">
        <v>0.65193525422485499</v>
      </c>
      <c r="L490" s="287">
        <v>0.65193525422485499</v>
      </c>
      <c r="M490" s="287">
        <v>0.65193525422485499</v>
      </c>
      <c r="N490" s="287">
        <v>0.65193525422485499</v>
      </c>
      <c r="O490" s="287">
        <v>0.55193525422485512</v>
      </c>
      <c r="P490" s="287">
        <v>0.55193525422485512</v>
      </c>
      <c r="Q490" s="287">
        <v>0.55193525422485512</v>
      </c>
      <c r="R490" s="287">
        <v>0.55193525422485512</v>
      </c>
      <c r="S490" s="287">
        <v>0.55193789344891897</v>
      </c>
      <c r="T490" s="287">
        <v>0.55193525422485512</v>
      </c>
      <c r="U490" s="287">
        <v>0.55193525422485512</v>
      </c>
      <c r="V490" s="287">
        <v>0.55193525422485512</v>
      </c>
      <c r="W490" s="287">
        <v>0.55193525422485512</v>
      </c>
      <c r="X490" s="287">
        <v>0.55193525422485512</v>
      </c>
      <c r="Y490" s="287">
        <v>0.55193789344891897</v>
      </c>
      <c r="Z490" s="287">
        <v>0.55193525422485512</v>
      </c>
      <c r="AA490" s="287">
        <v>0.55193525422485512</v>
      </c>
      <c r="AB490" s="287">
        <v>0.55193525422485512</v>
      </c>
      <c r="AC490" s="287">
        <v>0.55193525422485512</v>
      </c>
      <c r="AD490" s="287">
        <v>0.55193525422485512</v>
      </c>
      <c r="AE490" s="287">
        <v>0.55193525422485512</v>
      </c>
      <c r="AF490" s="287">
        <v>0.55193789344891897</v>
      </c>
      <c r="AG490" s="287">
        <v>0.55193525422485512</v>
      </c>
      <c r="AH490" s="287">
        <v>0.55193525422485512</v>
      </c>
      <c r="AI490" s="287">
        <v>0.55193525422485512</v>
      </c>
      <c r="AJ490" s="287">
        <v>0.55193525422485512</v>
      </c>
      <c r="AK490" s="287">
        <v>0.55193525422485512</v>
      </c>
      <c r="AL490" s="287">
        <v>0.55193789344891897</v>
      </c>
      <c r="AM490" s="287">
        <v>0.55193525422485512</v>
      </c>
      <c r="AN490" s="287">
        <v>0.55193525422485512</v>
      </c>
      <c r="AO490" s="287">
        <v>0.55193525422485512</v>
      </c>
      <c r="AP490" s="287">
        <v>0.55193525422485512</v>
      </c>
      <c r="AQ490" s="287">
        <v>0.55193525422485512</v>
      </c>
      <c r="AR490" s="287">
        <v>0.55193525422485512</v>
      </c>
      <c r="AS490" s="287">
        <v>0.55193525422485512</v>
      </c>
      <c r="AT490" s="287">
        <v>0.55193525422485512</v>
      </c>
      <c r="AU490" s="287">
        <v>0.55193525422485512</v>
      </c>
      <c r="AV490" s="287">
        <v>0.55193789344891897</v>
      </c>
      <c r="AW490" s="287">
        <v>0.55193525422485512</v>
      </c>
      <c r="AX490" s="287">
        <v>0.55193525422485512</v>
      </c>
      <c r="AY490" s="287">
        <v>0.55193525422485512</v>
      </c>
      <c r="AZ490" s="287">
        <v>0.55193525422485512</v>
      </c>
      <c r="BA490" s="287">
        <v>0.55193525422485512</v>
      </c>
      <c r="BB490" s="287">
        <v>0.55193525422485512</v>
      </c>
      <c r="BC490" s="287">
        <v>0.55193525422485512</v>
      </c>
      <c r="BD490" s="288">
        <v>0.55193525422485512</v>
      </c>
    </row>
    <row r="491" spans="1:56" s="3" customFormat="1" ht="18" customHeight="1" x14ac:dyDescent="0.2">
      <c r="C491" s="162"/>
      <c r="D491" s="152"/>
      <c r="E491" s="140">
        <v>27</v>
      </c>
      <c r="F491" s="39">
        <v>0</v>
      </c>
      <c r="H491" s="39">
        <v>3</v>
      </c>
      <c r="I491" s="286">
        <v>0.65193525422485499</v>
      </c>
      <c r="J491" s="287">
        <v>0.65193525422485499</v>
      </c>
      <c r="K491" s="287">
        <v>0.75193789344891915</v>
      </c>
      <c r="L491" s="287">
        <v>0.65193525422485499</v>
      </c>
      <c r="M491" s="287">
        <v>0.65193525422485499</v>
      </c>
      <c r="N491" s="287">
        <v>0.65193525422485499</v>
      </c>
      <c r="O491" s="287">
        <v>0.55193789344891897</v>
      </c>
      <c r="P491" s="287">
        <v>0.55193525422485512</v>
      </c>
      <c r="Q491" s="287">
        <v>0.55193525422485512</v>
      </c>
      <c r="R491" s="287">
        <v>0.55193525422485512</v>
      </c>
      <c r="S491" s="287">
        <v>0.55193525422485512</v>
      </c>
      <c r="T491" s="287">
        <v>0.55193789344891897</v>
      </c>
      <c r="U491" s="287">
        <v>0.55193525422485512</v>
      </c>
      <c r="V491" s="287">
        <v>0.55193525422485512</v>
      </c>
      <c r="W491" s="287">
        <v>0.55193525422485512</v>
      </c>
      <c r="X491" s="287">
        <v>0.55193525422485512</v>
      </c>
      <c r="Y491" s="287">
        <v>0.55193525422485512</v>
      </c>
      <c r="Z491" s="287">
        <v>0.55193789344891897</v>
      </c>
      <c r="AA491" s="287">
        <v>0.55193525422485512</v>
      </c>
      <c r="AB491" s="287">
        <v>0.55193525422485512</v>
      </c>
      <c r="AC491" s="287">
        <v>0.55193525422485512</v>
      </c>
      <c r="AD491" s="287">
        <v>0.55193525422485512</v>
      </c>
      <c r="AE491" s="287">
        <v>0.55193525422485512</v>
      </c>
      <c r="AF491" s="287">
        <v>0.55193525422485512</v>
      </c>
      <c r="AG491" s="287">
        <v>0.55193789344891897</v>
      </c>
      <c r="AH491" s="287">
        <v>0.55193525422485512</v>
      </c>
      <c r="AI491" s="287">
        <v>0.55193525422485512</v>
      </c>
      <c r="AJ491" s="287">
        <v>0.55193525422485512</v>
      </c>
      <c r="AK491" s="287">
        <v>0.55193525422485512</v>
      </c>
      <c r="AL491" s="287">
        <v>0.55193525422485512</v>
      </c>
      <c r="AM491" s="287">
        <v>0.55193525422485512</v>
      </c>
      <c r="AN491" s="287">
        <v>0.55193789344891897</v>
      </c>
      <c r="AO491" s="287">
        <v>0.55193525422485512</v>
      </c>
      <c r="AP491" s="287">
        <v>0.55193525422485512</v>
      </c>
      <c r="AQ491" s="287">
        <v>0.55193525422485512</v>
      </c>
      <c r="AR491" s="287">
        <v>0.55193525422485512</v>
      </c>
      <c r="AS491" s="287">
        <v>0.55193525422485512</v>
      </c>
      <c r="AT491" s="287">
        <v>0.55193525422485512</v>
      </c>
      <c r="AU491" s="287">
        <v>0.55193525422485512</v>
      </c>
      <c r="AV491" s="287">
        <v>0.55193525422485512</v>
      </c>
      <c r="AW491" s="287">
        <v>0.55193789344891897</v>
      </c>
      <c r="AX491" s="287">
        <v>0.55193525422485512</v>
      </c>
      <c r="AY491" s="287">
        <v>0.55193525422485512</v>
      </c>
      <c r="AZ491" s="287">
        <v>0.55193789344891897</v>
      </c>
      <c r="BA491" s="287">
        <v>0.55193789344891897</v>
      </c>
      <c r="BB491" s="287">
        <v>0.55193525422485512</v>
      </c>
      <c r="BC491" s="287">
        <v>0.55193525422485512</v>
      </c>
      <c r="BD491" s="288">
        <v>0.55193789344891897</v>
      </c>
    </row>
    <row r="492" spans="1:56" s="3" customFormat="1" ht="18" customHeight="1" x14ac:dyDescent="0.2">
      <c r="C492" s="162"/>
      <c r="D492" s="152"/>
      <c r="E492" s="140">
        <v>28</v>
      </c>
      <c r="F492" s="39">
        <v>0</v>
      </c>
      <c r="H492" s="39">
        <v>4</v>
      </c>
      <c r="I492" s="286">
        <v>0.65193525422485499</v>
      </c>
      <c r="J492" s="287">
        <v>0.65193525422485499</v>
      </c>
      <c r="K492" s="287">
        <v>0.65193525422485499</v>
      </c>
      <c r="L492" s="287">
        <v>0.75193789344891915</v>
      </c>
      <c r="M492" s="287">
        <v>0.65193525422485499</v>
      </c>
      <c r="N492" s="287">
        <v>0.65193525422485499</v>
      </c>
      <c r="O492" s="287">
        <v>0.55193525422485512</v>
      </c>
      <c r="P492" s="287">
        <v>0.55193525422485512</v>
      </c>
      <c r="Q492" s="287">
        <v>0.55193525422485512</v>
      </c>
      <c r="R492" s="287">
        <v>0.55193525422485512</v>
      </c>
      <c r="S492" s="287">
        <v>0.55193525422485512</v>
      </c>
      <c r="T492" s="287">
        <v>0.55193525422485512</v>
      </c>
      <c r="U492" s="287">
        <v>0.55193789344891897</v>
      </c>
      <c r="V492" s="287">
        <v>0.55193525422485512</v>
      </c>
      <c r="W492" s="287">
        <v>0.55193525422485512</v>
      </c>
      <c r="X492" s="287">
        <v>0.55193525422485512</v>
      </c>
      <c r="Y492" s="287">
        <v>0.55193525422485512</v>
      </c>
      <c r="Z492" s="287">
        <v>0.55193525422485512</v>
      </c>
      <c r="AA492" s="287">
        <v>0.55193525422485512</v>
      </c>
      <c r="AB492" s="287">
        <v>0.55193789344891897</v>
      </c>
      <c r="AC492" s="287">
        <v>0.55193525422485512</v>
      </c>
      <c r="AD492" s="287">
        <v>0.55193525422485512</v>
      </c>
      <c r="AE492" s="287">
        <v>0.55193525422485512</v>
      </c>
      <c r="AF492" s="287">
        <v>0.55193525422485512</v>
      </c>
      <c r="AG492" s="287">
        <v>0.55193525422485512</v>
      </c>
      <c r="AH492" s="287">
        <v>0.55193789344891897</v>
      </c>
      <c r="AI492" s="287">
        <v>0.55193525422485512</v>
      </c>
      <c r="AJ492" s="287">
        <v>0.55193525422485512</v>
      </c>
      <c r="AK492" s="287">
        <v>0.55193525422485512</v>
      </c>
      <c r="AL492" s="287">
        <v>0.55193525422485512</v>
      </c>
      <c r="AM492" s="287">
        <v>0.55193525422485512</v>
      </c>
      <c r="AN492" s="287">
        <v>0.55193525422485512</v>
      </c>
      <c r="AO492" s="287">
        <v>0.55193525422485512</v>
      </c>
      <c r="AP492" s="287">
        <v>0.55193789344891897</v>
      </c>
      <c r="AQ492" s="287">
        <v>0.55193525422485512</v>
      </c>
      <c r="AR492" s="287">
        <v>0.55193525422485512</v>
      </c>
      <c r="AS492" s="287">
        <v>0.55193525422485512</v>
      </c>
      <c r="AT492" s="287">
        <v>0.55193525422485512</v>
      </c>
      <c r="AU492" s="287">
        <v>0.55193525422485512</v>
      </c>
      <c r="AV492" s="287">
        <v>0.55193525422485512</v>
      </c>
      <c r="AW492" s="287">
        <v>0.55193525422485512</v>
      </c>
      <c r="AX492" s="287">
        <v>0.55193525422485512</v>
      </c>
      <c r="AY492" s="287">
        <v>0.55193525422485512</v>
      </c>
      <c r="AZ492" s="287">
        <v>0.55193525422485512</v>
      </c>
      <c r="BA492" s="287">
        <v>0.55193525422485512</v>
      </c>
      <c r="BB492" s="287">
        <v>0.55193525422485512</v>
      </c>
      <c r="BC492" s="287">
        <v>0.55193525422485512</v>
      </c>
      <c r="BD492" s="288">
        <v>0.55193525422485512</v>
      </c>
    </row>
    <row r="493" spans="1:56" s="3" customFormat="1" ht="18" customHeight="1" x14ac:dyDescent="0.2">
      <c r="C493" s="162"/>
      <c r="D493" s="152"/>
      <c r="E493" s="140">
        <v>29</v>
      </c>
      <c r="F493" s="39">
        <v>0</v>
      </c>
      <c r="H493" s="39">
        <v>5</v>
      </c>
      <c r="I493" s="286">
        <v>0.65193525422485499</v>
      </c>
      <c r="J493" s="287">
        <v>0.65193525422485499</v>
      </c>
      <c r="K493" s="287">
        <v>0.65193525422485499</v>
      </c>
      <c r="L493" s="287">
        <v>0.65193525422485499</v>
      </c>
      <c r="M493" s="287">
        <v>0.75193789344891915</v>
      </c>
      <c r="N493" s="287">
        <v>0.65193525422485499</v>
      </c>
      <c r="O493" s="287">
        <v>0.55193525422485512</v>
      </c>
      <c r="P493" s="287">
        <v>0.55193789344891897</v>
      </c>
      <c r="Q493" s="287">
        <v>0.55193525422485512</v>
      </c>
      <c r="R493" s="287">
        <v>0.55193525422485512</v>
      </c>
      <c r="S493" s="287">
        <v>0.55193525422485512</v>
      </c>
      <c r="T493" s="287">
        <v>0.55193525422485512</v>
      </c>
      <c r="U493" s="287">
        <v>0.55193525422485512</v>
      </c>
      <c r="V493" s="287">
        <v>0.55193789344891897</v>
      </c>
      <c r="W493" s="287">
        <v>0.55193525422485512</v>
      </c>
      <c r="X493" s="287">
        <v>0.55193525422485512</v>
      </c>
      <c r="Y493" s="287">
        <v>0.55193525422485512</v>
      </c>
      <c r="Z493" s="287">
        <v>0.55193525422485512</v>
      </c>
      <c r="AA493" s="287">
        <v>0.55193525422485512</v>
      </c>
      <c r="AB493" s="287">
        <v>0.55193525422485512</v>
      </c>
      <c r="AC493" s="287">
        <v>0.55193789344891897</v>
      </c>
      <c r="AD493" s="287">
        <v>0.55193525422485512</v>
      </c>
      <c r="AE493" s="287">
        <v>0.55193525422485512</v>
      </c>
      <c r="AF493" s="287">
        <v>0.55193525422485512</v>
      </c>
      <c r="AG493" s="287">
        <v>0.55193525422485512</v>
      </c>
      <c r="AH493" s="287">
        <v>0.55193525422485512</v>
      </c>
      <c r="AI493" s="287">
        <v>0.55193789344891897</v>
      </c>
      <c r="AJ493" s="287">
        <v>0.55193525422485512</v>
      </c>
      <c r="AK493" s="287">
        <v>0.55193525422485512</v>
      </c>
      <c r="AL493" s="287">
        <v>0.55193525422485512</v>
      </c>
      <c r="AM493" s="287">
        <v>0.55193525422485512</v>
      </c>
      <c r="AN493" s="287">
        <v>0.55193525422485512</v>
      </c>
      <c r="AO493" s="287">
        <v>0.55193525422485512</v>
      </c>
      <c r="AP493" s="287">
        <v>0.55193525422485512</v>
      </c>
      <c r="AQ493" s="287">
        <v>0.55193789344891897</v>
      </c>
      <c r="AR493" s="287">
        <v>0.55193525422485512</v>
      </c>
      <c r="AS493" s="287">
        <v>0.55193525422485512</v>
      </c>
      <c r="AT493" s="287">
        <v>0.55193525422485512</v>
      </c>
      <c r="AU493" s="287">
        <v>0.55193525422485512</v>
      </c>
      <c r="AV493" s="287">
        <v>0.55193525422485512</v>
      </c>
      <c r="AW493" s="287">
        <v>0.55193525422485512</v>
      </c>
      <c r="AX493" s="287">
        <v>0.55193789344891897</v>
      </c>
      <c r="AY493" s="287">
        <v>0.55193525422485512</v>
      </c>
      <c r="AZ493" s="287">
        <v>0.55193525422485512</v>
      </c>
      <c r="BA493" s="287">
        <v>0.55193525422485512</v>
      </c>
      <c r="BB493" s="287">
        <v>0.55193789344891897</v>
      </c>
      <c r="BC493" s="287">
        <v>0.55193525422485512</v>
      </c>
      <c r="BD493" s="288">
        <v>0.55193525422485512</v>
      </c>
    </row>
    <row r="494" spans="1:56" s="3" customFormat="1" ht="18" customHeight="1" x14ac:dyDescent="0.2">
      <c r="C494" s="162"/>
      <c r="D494" s="152"/>
      <c r="E494" s="140">
        <v>30</v>
      </c>
      <c r="F494" s="39">
        <v>0</v>
      </c>
      <c r="H494" s="39">
        <v>6</v>
      </c>
      <c r="I494" s="286">
        <v>0.65193525422485499</v>
      </c>
      <c r="J494" s="287">
        <v>0.65193525422485499</v>
      </c>
      <c r="K494" s="287">
        <v>0.65193525422485499</v>
      </c>
      <c r="L494" s="287">
        <v>0.65193525422485499</v>
      </c>
      <c r="M494" s="287">
        <v>0.65193525422485499</v>
      </c>
      <c r="N494" s="287">
        <v>0.75193789344891915</v>
      </c>
      <c r="O494" s="287">
        <v>0.55193525422485512</v>
      </c>
      <c r="P494" s="287">
        <v>0.55193525422485512</v>
      </c>
      <c r="Q494" s="287">
        <v>0.55193789344891897</v>
      </c>
      <c r="R494" s="287">
        <v>0.55193525422485512</v>
      </c>
      <c r="S494" s="287">
        <v>0.55193525422485512</v>
      </c>
      <c r="T494" s="287">
        <v>0.55193525422485512</v>
      </c>
      <c r="U494" s="287">
        <v>0.55193525422485512</v>
      </c>
      <c r="V494" s="287">
        <v>0.55193525422485512</v>
      </c>
      <c r="W494" s="287">
        <v>0.55193789344891897</v>
      </c>
      <c r="X494" s="287">
        <v>0.55193525422485512</v>
      </c>
      <c r="Y494" s="287">
        <v>0.55193525422485512</v>
      </c>
      <c r="Z494" s="287">
        <v>0.55193525422485512</v>
      </c>
      <c r="AA494" s="287">
        <v>0.55193525422485512</v>
      </c>
      <c r="AB494" s="287">
        <v>0.55193525422485512</v>
      </c>
      <c r="AC494" s="287">
        <v>0.55193525422485512</v>
      </c>
      <c r="AD494" s="287">
        <v>0.55193789344891897</v>
      </c>
      <c r="AE494" s="287">
        <v>0.55193525422485512</v>
      </c>
      <c r="AF494" s="287">
        <v>0.55193525422485512</v>
      </c>
      <c r="AG494" s="287">
        <v>0.55193525422485512</v>
      </c>
      <c r="AH494" s="287">
        <v>0.55193525422485512</v>
      </c>
      <c r="AI494" s="287">
        <v>0.55193525422485512</v>
      </c>
      <c r="AJ494" s="287">
        <v>0.55193789344891897</v>
      </c>
      <c r="AK494" s="287">
        <v>0.55193525422485512</v>
      </c>
      <c r="AL494" s="287">
        <v>0.55193525422485512</v>
      </c>
      <c r="AM494" s="287">
        <v>0.55193525422485512</v>
      </c>
      <c r="AN494" s="287">
        <v>0.55193525422485512</v>
      </c>
      <c r="AO494" s="287">
        <v>0.55193525422485512</v>
      </c>
      <c r="AP494" s="287">
        <v>0.55193525422485512</v>
      </c>
      <c r="AQ494" s="287">
        <v>0.55193525422485512</v>
      </c>
      <c r="AR494" s="287">
        <v>0.55193525422485512</v>
      </c>
      <c r="AS494" s="287">
        <v>0.55193789344891897</v>
      </c>
      <c r="AT494" s="287">
        <v>0.55193525422485512</v>
      </c>
      <c r="AU494" s="287">
        <v>0.55193525422485512</v>
      </c>
      <c r="AV494" s="287">
        <v>0.55193525422485512</v>
      </c>
      <c r="AW494" s="287">
        <v>0.55193525422485512</v>
      </c>
      <c r="AX494" s="287">
        <v>0.55193525422485512</v>
      </c>
      <c r="AY494" s="287">
        <v>0.55193789344891897</v>
      </c>
      <c r="AZ494" s="287">
        <v>0.55193525422485512</v>
      </c>
      <c r="BA494" s="287">
        <v>0.55193525422485512</v>
      </c>
      <c r="BB494" s="287">
        <v>0.55193525422485512</v>
      </c>
      <c r="BC494" s="287">
        <v>0.55193789344891897</v>
      </c>
      <c r="BD494" s="288">
        <v>0.55193525422485512</v>
      </c>
    </row>
    <row r="495" spans="1:56" s="3" customFormat="1" ht="18" customHeight="1" x14ac:dyDescent="0.2">
      <c r="E495" s="140">
        <v>31</v>
      </c>
      <c r="F495" s="39">
        <v>0</v>
      </c>
      <c r="H495" s="39">
        <v>7</v>
      </c>
      <c r="I495" s="286">
        <v>0.55193525422485512</v>
      </c>
      <c r="J495" s="287">
        <v>0.55193525422485512</v>
      </c>
      <c r="K495" s="287">
        <v>0.55193789344891897</v>
      </c>
      <c r="L495" s="287">
        <v>0.55193525422485512</v>
      </c>
      <c r="M495" s="287">
        <v>0.55193525422485512</v>
      </c>
      <c r="N495" s="287">
        <v>0.55193525422485512</v>
      </c>
      <c r="O495" s="287">
        <v>1.5519378934489201</v>
      </c>
      <c r="P495" s="287">
        <v>1.0519352542248499</v>
      </c>
      <c r="Q495" s="287">
        <v>1.0519352542248499</v>
      </c>
      <c r="R495" s="287">
        <v>0.55193525422485512</v>
      </c>
      <c r="S495" s="287">
        <v>0.55193525422485512</v>
      </c>
      <c r="T495" s="287">
        <v>0.55193789344891897</v>
      </c>
      <c r="U495" s="287">
        <v>0.55193525422485512</v>
      </c>
      <c r="V495" s="287">
        <v>0.55193525422485512</v>
      </c>
      <c r="W495" s="287">
        <v>0.55193525422485512</v>
      </c>
      <c r="X495" s="287">
        <v>0.55193525422485512</v>
      </c>
      <c r="Y495" s="287">
        <v>0.55193525422485512</v>
      </c>
      <c r="Z495" s="287">
        <v>0.55193789344891897</v>
      </c>
      <c r="AA495" s="287">
        <v>0.55193525422485512</v>
      </c>
      <c r="AB495" s="287">
        <v>0.55193525422485512</v>
      </c>
      <c r="AC495" s="287">
        <v>0.55193525422485512</v>
      </c>
      <c r="AD495" s="287">
        <v>0.55193525422485512</v>
      </c>
      <c r="AE495" s="287">
        <v>0.55193525422485512</v>
      </c>
      <c r="AF495" s="287">
        <v>0.55193525422485512</v>
      </c>
      <c r="AG495" s="287">
        <v>0.55193789344891897</v>
      </c>
      <c r="AH495" s="287">
        <v>0.55193525422485512</v>
      </c>
      <c r="AI495" s="287">
        <v>0.55193525422485512</v>
      </c>
      <c r="AJ495" s="287">
        <v>0.55193525422485512</v>
      </c>
      <c r="AK495" s="287">
        <v>0.55193525422485512</v>
      </c>
      <c r="AL495" s="287">
        <v>0.55193525422485512</v>
      </c>
      <c r="AM495" s="287">
        <v>0.55193525422485512</v>
      </c>
      <c r="AN495" s="287">
        <v>0.55193789344891897</v>
      </c>
      <c r="AO495" s="287">
        <v>0.55193525422485512</v>
      </c>
      <c r="AP495" s="287">
        <v>0.55193525422485512</v>
      </c>
      <c r="AQ495" s="287">
        <v>0.55193525422485512</v>
      </c>
      <c r="AR495" s="287">
        <v>0.55193525422485512</v>
      </c>
      <c r="AS495" s="287">
        <v>0.55193525422485512</v>
      </c>
      <c r="AT495" s="287">
        <v>0.55193525422485512</v>
      </c>
      <c r="AU495" s="287">
        <v>0.55193525422485512</v>
      </c>
      <c r="AV495" s="287">
        <v>0.55193525422485512</v>
      </c>
      <c r="AW495" s="287">
        <v>0.55193789344891897</v>
      </c>
      <c r="AX495" s="287">
        <v>0.55193525422485512</v>
      </c>
      <c r="AY495" s="287">
        <v>0.55193525422485512</v>
      </c>
      <c r="AZ495" s="287">
        <v>0.55193789344891897</v>
      </c>
      <c r="BA495" s="287">
        <v>0.55193789344891897</v>
      </c>
      <c r="BB495" s="287">
        <v>0.55193525422485512</v>
      </c>
      <c r="BC495" s="287">
        <v>0.55193525422485512</v>
      </c>
      <c r="BD495" s="288">
        <v>0.55193789344891897</v>
      </c>
    </row>
    <row r="496" spans="1:56" s="3" customFormat="1" ht="18.5" customHeight="1" x14ac:dyDescent="0.2">
      <c r="E496" s="140">
        <v>32</v>
      </c>
      <c r="F496" s="39">
        <v>0</v>
      </c>
      <c r="H496" s="39">
        <v>8</v>
      </c>
      <c r="I496" s="286">
        <v>0.55193525422485512</v>
      </c>
      <c r="J496" s="287">
        <v>0.55193525422485512</v>
      </c>
      <c r="K496" s="287">
        <v>0.55193525422485512</v>
      </c>
      <c r="L496" s="287">
        <v>0.55193525422485512</v>
      </c>
      <c r="M496" s="287">
        <v>0.55193789344891897</v>
      </c>
      <c r="N496" s="287">
        <v>0.55193525422485512</v>
      </c>
      <c r="O496" s="287">
        <v>1.0519352542248499</v>
      </c>
      <c r="P496" s="287">
        <v>1.5519378934489201</v>
      </c>
      <c r="Q496" s="287">
        <v>1.0519352542248499</v>
      </c>
      <c r="R496" s="287">
        <v>0.55193525422485512</v>
      </c>
      <c r="S496" s="287">
        <v>0.55193525422485512</v>
      </c>
      <c r="T496" s="287">
        <v>0.55193525422485512</v>
      </c>
      <c r="U496" s="287">
        <v>0.55193525422485512</v>
      </c>
      <c r="V496" s="287">
        <v>0.55193789344891897</v>
      </c>
      <c r="W496" s="287">
        <v>0.55193525422485512</v>
      </c>
      <c r="X496" s="287">
        <v>0.55193525422485512</v>
      </c>
      <c r="Y496" s="287">
        <v>0.55193525422485512</v>
      </c>
      <c r="Z496" s="287">
        <v>0.55193525422485512</v>
      </c>
      <c r="AA496" s="287">
        <v>0.55193525422485512</v>
      </c>
      <c r="AB496" s="287">
        <v>0.55193525422485512</v>
      </c>
      <c r="AC496" s="287">
        <v>0.55193789344891897</v>
      </c>
      <c r="AD496" s="287">
        <v>0.55193525422485512</v>
      </c>
      <c r="AE496" s="287">
        <v>0.55193525422485512</v>
      </c>
      <c r="AF496" s="287">
        <v>0.55193525422485512</v>
      </c>
      <c r="AG496" s="287">
        <v>0.55193525422485512</v>
      </c>
      <c r="AH496" s="287">
        <v>0.55193525422485512</v>
      </c>
      <c r="AI496" s="287">
        <v>0.55193789344891897</v>
      </c>
      <c r="AJ496" s="287">
        <v>0.55193525422485512</v>
      </c>
      <c r="AK496" s="287">
        <v>0.55193525422485512</v>
      </c>
      <c r="AL496" s="287">
        <v>0.55193525422485512</v>
      </c>
      <c r="AM496" s="287">
        <v>0.55193525422485512</v>
      </c>
      <c r="AN496" s="287">
        <v>0.55193525422485512</v>
      </c>
      <c r="AO496" s="287">
        <v>0.55193525422485512</v>
      </c>
      <c r="AP496" s="287">
        <v>0.55193525422485512</v>
      </c>
      <c r="AQ496" s="287">
        <v>0.55193789344891897</v>
      </c>
      <c r="AR496" s="287">
        <v>0.55193525422485512</v>
      </c>
      <c r="AS496" s="287">
        <v>0.55193525422485512</v>
      </c>
      <c r="AT496" s="287">
        <v>0.55193525422485512</v>
      </c>
      <c r="AU496" s="287">
        <v>0.55193525422485512</v>
      </c>
      <c r="AV496" s="287">
        <v>0.55193525422485512</v>
      </c>
      <c r="AW496" s="287">
        <v>0.55193525422485512</v>
      </c>
      <c r="AX496" s="287">
        <v>0.55193789344891897</v>
      </c>
      <c r="AY496" s="287">
        <v>0.55193525422485512</v>
      </c>
      <c r="AZ496" s="287">
        <v>0.55193525422485512</v>
      </c>
      <c r="BA496" s="287">
        <v>0.55193525422485512</v>
      </c>
      <c r="BB496" s="287">
        <v>0.55193789344891897</v>
      </c>
      <c r="BC496" s="287">
        <v>0.55193525422485512</v>
      </c>
      <c r="BD496" s="288">
        <v>0.55193525422485512</v>
      </c>
    </row>
    <row r="497" spans="1:56" s="3" customFormat="1" ht="19" customHeight="1" x14ac:dyDescent="0.2">
      <c r="A497" s="6" t="s">
        <v>251</v>
      </c>
      <c r="E497" s="140">
        <v>33</v>
      </c>
      <c r="F497" s="39">
        <v>0</v>
      </c>
      <c r="H497" s="39">
        <v>9</v>
      </c>
      <c r="I497" s="286">
        <v>0.55193525422485512</v>
      </c>
      <c r="J497" s="287">
        <v>0.55193525422485512</v>
      </c>
      <c r="K497" s="287">
        <v>0.55193525422485512</v>
      </c>
      <c r="L497" s="287">
        <v>0.55193525422485512</v>
      </c>
      <c r="M497" s="287">
        <v>0.55193525422485512</v>
      </c>
      <c r="N497" s="287">
        <v>0.55193789344891897</v>
      </c>
      <c r="O497" s="287">
        <v>1.0519352542248499</v>
      </c>
      <c r="P497" s="287">
        <v>1.0519352542248499</v>
      </c>
      <c r="Q497" s="287">
        <v>1.5519378934489201</v>
      </c>
      <c r="R497" s="287">
        <v>0.55193525422485512</v>
      </c>
      <c r="S497" s="287">
        <v>0.55193525422485512</v>
      </c>
      <c r="T497" s="287">
        <v>0.55193525422485512</v>
      </c>
      <c r="U497" s="287">
        <v>0.55193525422485512</v>
      </c>
      <c r="V497" s="287">
        <v>0.55193525422485512</v>
      </c>
      <c r="W497" s="287">
        <v>0.55193789344891897</v>
      </c>
      <c r="X497" s="287">
        <v>0.55193525422485512</v>
      </c>
      <c r="Y497" s="287">
        <v>0.55193525422485512</v>
      </c>
      <c r="Z497" s="287">
        <v>0.55193525422485512</v>
      </c>
      <c r="AA497" s="287">
        <v>0.55193525422485512</v>
      </c>
      <c r="AB497" s="287">
        <v>0.55193525422485512</v>
      </c>
      <c r="AC497" s="287">
        <v>0.55193525422485512</v>
      </c>
      <c r="AD497" s="287">
        <v>0.55193789344891897</v>
      </c>
      <c r="AE497" s="287">
        <v>0.55193525422485512</v>
      </c>
      <c r="AF497" s="287">
        <v>0.55193525422485512</v>
      </c>
      <c r="AG497" s="287">
        <v>0.55193525422485512</v>
      </c>
      <c r="AH497" s="287">
        <v>0.55193525422485512</v>
      </c>
      <c r="AI497" s="287">
        <v>0.55193525422485512</v>
      </c>
      <c r="AJ497" s="287">
        <v>0.55193789344891897</v>
      </c>
      <c r="AK497" s="287">
        <v>0.55193525422485512</v>
      </c>
      <c r="AL497" s="287">
        <v>0.55193525422485512</v>
      </c>
      <c r="AM497" s="287">
        <v>0.55193525422485512</v>
      </c>
      <c r="AN497" s="287">
        <v>0.55193525422485512</v>
      </c>
      <c r="AO497" s="287">
        <v>0.55193525422485512</v>
      </c>
      <c r="AP497" s="287">
        <v>0.55193525422485512</v>
      </c>
      <c r="AQ497" s="287">
        <v>0.55193525422485512</v>
      </c>
      <c r="AR497" s="287">
        <v>0.55193525422485512</v>
      </c>
      <c r="AS497" s="287">
        <v>0.55193789344891897</v>
      </c>
      <c r="AT497" s="287">
        <v>0.55193525422485512</v>
      </c>
      <c r="AU497" s="287">
        <v>0.55193525422485512</v>
      </c>
      <c r="AV497" s="287">
        <v>0.55193525422485512</v>
      </c>
      <c r="AW497" s="287">
        <v>0.55193525422485512</v>
      </c>
      <c r="AX497" s="287">
        <v>0.55193525422485512</v>
      </c>
      <c r="AY497" s="287">
        <v>0.55193789344891897</v>
      </c>
      <c r="AZ497" s="287">
        <v>0.55193525422485512</v>
      </c>
      <c r="BA497" s="287">
        <v>0.55193525422485512</v>
      </c>
      <c r="BB497" s="287">
        <v>0.55193525422485512</v>
      </c>
      <c r="BC497" s="287">
        <v>0.55193789344891897</v>
      </c>
      <c r="BD497" s="288">
        <v>0.55193525422485512</v>
      </c>
    </row>
    <row r="498" spans="1:56" s="3" customFormat="1" ht="19" customHeight="1" x14ac:dyDescent="0.2">
      <c r="A498" s="8" t="s">
        <v>252</v>
      </c>
      <c r="B498" s="8" t="s">
        <v>253</v>
      </c>
      <c r="C498" s="4" t="s">
        <v>254</v>
      </c>
      <c r="E498" s="140">
        <v>34</v>
      </c>
      <c r="F498" s="39">
        <v>0</v>
      </c>
      <c r="H498" s="39">
        <v>10</v>
      </c>
      <c r="I498" s="286">
        <v>0.55193789344891897</v>
      </c>
      <c r="J498" s="287">
        <v>0.55193525422485512</v>
      </c>
      <c r="K498" s="287">
        <v>0.55193525422485512</v>
      </c>
      <c r="L498" s="287">
        <v>0.55193525422485512</v>
      </c>
      <c r="M498" s="287">
        <v>0.55193525422485512</v>
      </c>
      <c r="N498" s="287">
        <v>0.55193525422485512</v>
      </c>
      <c r="O498" s="287">
        <v>0.55193525422485512</v>
      </c>
      <c r="P498" s="287">
        <v>0.55193525422485512</v>
      </c>
      <c r="Q498" s="287">
        <v>0.55193525422485512</v>
      </c>
      <c r="R498" s="287">
        <v>0.88527122678225212</v>
      </c>
      <c r="S498" s="287">
        <v>0.71860192089152097</v>
      </c>
      <c r="T498" s="287">
        <v>0.71860192089152097</v>
      </c>
      <c r="U498" s="287">
        <v>0.71860192089152097</v>
      </c>
      <c r="V498" s="287">
        <v>0.71860192089152097</v>
      </c>
      <c r="W498" s="287">
        <v>0.71860192089152097</v>
      </c>
      <c r="X498" s="287">
        <v>0.55193789344891897</v>
      </c>
      <c r="Y498" s="287">
        <v>0.55193525422485512</v>
      </c>
      <c r="Z498" s="287">
        <v>0.55193525422485512</v>
      </c>
      <c r="AA498" s="287">
        <v>0.55193525422485512</v>
      </c>
      <c r="AB498" s="287">
        <v>0.55193525422485512</v>
      </c>
      <c r="AC498" s="287">
        <v>0.55193525422485512</v>
      </c>
      <c r="AD498" s="287">
        <v>0.55193525422485512</v>
      </c>
      <c r="AE498" s="287">
        <v>0.55193789344891897</v>
      </c>
      <c r="AF498" s="287">
        <v>0.55193525422485512</v>
      </c>
      <c r="AG498" s="287">
        <v>0.55193525422485512</v>
      </c>
      <c r="AH498" s="287">
        <v>0.55193525422485512</v>
      </c>
      <c r="AI498" s="287">
        <v>0.55193525422485512</v>
      </c>
      <c r="AJ498" s="287">
        <v>0.55193525422485512</v>
      </c>
      <c r="AK498" s="287">
        <v>0.55193789344891897</v>
      </c>
      <c r="AL498" s="287">
        <v>0.55193525422485512</v>
      </c>
      <c r="AM498" s="287">
        <v>0.55193525422485512</v>
      </c>
      <c r="AN498" s="287">
        <v>0.55193525422485512</v>
      </c>
      <c r="AO498" s="287">
        <v>0.55193525422485512</v>
      </c>
      <c r="AP498" s="287">
        <v>0.55193525422485512</v>
      </c>
      <c r="AQ498" s="287">
        <v>0.55193525422485512</v>
      </c>
      <c r="AR498" s="287">
        <v>0.55193525422485512</v>
      </c>
      <c r="AS498" s="287">
        <v>0.55193525422485512</v>
      </c>
      <c r="AT498" s="287">
        <v>0.55193525422485512</v>
      </c>
      <c r="AU498" s="287">
        <v>0.55193789344891897</v>
      </c>
      <c r="AV498" s="287">
        <v>0.55193525422485512</v>
      </c>
      <c r="AW498" s="287">
        <v>0.55193525422485512</v>
      </c>
      <c r="AX498" s="287">
        <v>0.55193525422485512</v>
      </c>
      <c r="AY498" s="287">
        <v>0.55193525422485512</v>
      </c>
      <c r="AZ498" s="287">
        <v>0.55193525422485512</v>
      </c>
      <c r="BA498" s="287">
        <v>0.55193525422485512</v>
      </c>
      <c r="BB498" s="287">
        <v>0.55193525422485512</v>
      </c>
      <c r="BC498" s="287">
        <v>0.55193525422485512</v>
      </c>
      <c r="BD498" s="288">
        <v>0.55193525422485512</v>
      </c>
    </row>
    <row r="499" spans="1:56" s="3" customFormat="1" ht="18.5" customHeight="1" x14ac:dyDescent="0.2">
      <c r="A499" s="28">
        <v>-736</v>
      </c>
      <c r="B499" s="275">
        <v>2.2152646502835501E-4</v>
      </c>
      <c r="C499" s="301">
        <v>735.99988923676699</v>
      </c>
      <c r="E499" s="140">
        <v>35</v>
      </c>
      <c r="F499" s="39">
        <v>0</v>
      </c>
      <c r="G499" s="302"/>
      <c r="H499" s="39">
        <v>11</v>
      </c>
      <c r="I499" s="286">
        <v>0.55193525422485512</v>
      </c>
      <c r="J499" s="287">
        <v>0.55193789344891897</v>
      </c>
      <c r="K499" s="287">
        <v>0.55193525422485512</v>
      </c>
      <c r="L499" s="287">
        <v>0.55193525422485512</v>
      </c>
      <c r="M499" s="287">
        <v>0.55193525422485512</v>
      </c>
      <c r="N499" s="287">
        <v>0.55193525422485512</v>
      </c>
      <c r="O499" s="287">
        <v>0.55193525422485512</v>
      </c>
      <c r="P499" s="287">
        <v>0.55193525422485512</v>
      </c>
      <c r="Q499" s="287">
        <v>0.55193525422485512</v>
      </c>
      <c r="R499" s="287">
        <v>0.71860192089152097</v>
      </c>
      <c r="S499" s="287">
        <v>0.88527122678225212</v>
      </c>
      <c r="T499" s="287">
        <v>0.71860192089152097</v>
      </c>
      <c r="U499" s="287">
        <v>0.71860192089152097</v>
      </c>
      <c r="V499" s="287">
        <v>0.71860192089152097</v>
      </c>
      <c r="W499" s="287">
        <v>0.71860192089152097</v>
      </c>
      <c r="X499" s="287">
        <v>0.55193525422485512</v>
      </c>
      <c r="Y499" s="287">
        <v>0.55193789344891897</v>
      </c>
      <c r="Z499" s="287">
        <v>0.55193525422485512</v>
      </c>
      <c r="AA499" s="287">
        <v>0.55193525422485512</v>
      </c>
      <c r="AB499" s="287">
        <v>0.55193525422485512</v>
      </c>
      <c r="AC499" s="287">
        <v>0.55193525422485512</v>
      </c>
      <c r="AD499" s="287">
        <v>0.55193525422485512</v>
      </c>
      <c r="AE499" s="287">
        <v>0.55193525422485512</v>
      </c>
      <c r="AF499" s="287">
        <v>0.55193789344891897</v>
      </c>
      <c r="AG499" s="287">
        <v>0.55193525422485512</v>
      </c>
      <c r="AH499" s="287">
        <v>0.55193525422485512</v>
      </c>
      <c r="AI499" s="287">
        <v>0.55193525422485512</v>
      </c>
      <c r="AJ499" s="287">
        <v>0.55193525422485512</v>
      </c>
      <c r="AK499" s="287">
        <v>0.55193525422485512</v>
      </c>
      <c r="AL499" s="287">
        <v>0.55193789344891897</v>
      </c>
      <c r="AM499" s="287">
        <v>0.55193525422485512</v>
      </c>
      <c r="AN499" s="287">
        <v>0.55193525422485512</v>
      </c>
      <c r="AO499" s="287">
        <v>0.55193525422485512</v>
      </c>
      <c r="AP499" s="287">
        <v>0.55193525422485512</v>
      </c>
      <c r="AQ499" s="287">
        <v>0.55193525422485512</v>
      </c>
      <c r="AR499" s="287">
        <v>0.55193525422485512</v>
      </c>
      <c r="AS499" s="287">
        <v>0.55193525422485512</v>
      </c>
      <c r="AT499" s="287">
        <v>0.55193525422485512</v>
      </c>
      <c r="AU499" s="287">
        <v>0.55193525422485512</v>
      </c>
      <c r="AV499" s="287">
        <v>0.55193789344891897</v>
      </c>
      <c r="AW499" s="287">
        <v>0.55193525422485512</v>
      </c>
      <c r="AX499" s="287">
        <v>0.55193525422485512</v>
      </c>
      <c r="AY499" s="287">
        <v>0.55193525422485512</v>
      </c>
      <c r="AZ499" s="287">
        <v>0.55193525422485512</v>
      </c>
      <c r="BA499" s="287">
        <v>0.55193525422485512</v>
      </c>
      <c r="BB499" s="287">
        <v>0.55193525422485512</v>
      </c>
      <c r="BC499" s="287">
        <v>0.55193525422485512</v>
      </c>
      <c r="BD499" s="288">
        <v>0.55193525422485512</v>
      </c>
    </row>
    <row r="500" spans="1:56" s="3" customFormat="1" ht="18" customHeight="1" x14ac:dyDescent="0.2">
      <c r="A500" s="39">
        <v>-736</v>
      </c>
      <c r="B500" s="276">
        <v>6.64579395085066E-4</v>
      </c>
      <c r="C500" s="303">
        <v>735.99966771030199</v>
      </c>
      <c r="E500" s="140">
        <v>36</v>
      </c>
      <c r="F500" s="39">
        <v>0</v>
      </c>
      <c r="G500" s="302"/>
      <c r="H500" s="39">
        <v>12</v>
      </c>
      <c r="I500" s="286">
        <v>0.55193525422485512</v>
      </c>
      <c r="J500" s="287">
        <v>0.55193525422485512</v>
      </c>
      <c r="K500" s="287">
        <v>0.55193789344891897</v>
      </c>
      <c r="L500" s="287">
        <v>0.55193525422485512</v>
      </c>
      <c r="M500" s="287">
        <v>0.55193525422485512</v>
      </c>
      <c r="N500" s="287">
        <v>0.55193525422485512</v>
      </c>
      <c r="O500" s="287">
        <v>0.55193789344891897</v>
      </c>
      <c r="P500" s="287">
        <v>0.55193525422485512</v>
      </c>
      <c r="Q500" s="287">
        <v>0.55193525422485512</v>
      </c>
      <c r="R500" s="287">
        <v>0.71860192089152097</v>
      </c>
      <c r="S500" s="287">
        <v>0.71860192089152097</v>
      </c>
      <c r="T500" s="287">
        <v>0.88527122678225212</v>
      </c>
      <c r="U500" s="287">
        <v>0.71860192089152097</v>
      </c>
      <c r="V500" s="287">
        <v>0.71860192089152097</v>
      </c>
      <c r="W500" s="287">
        <v>0.71860192089152097</v>
      </c>
      <c r="X500" s="287">
        <v>0.55193525422485512</v>
      </c>
      <c r="Y500" s="287">
        <v>0.55193525422485512</v>
      </c>
      <c r="Z500" s="287">
        <v>0.55193789344891897</v>
      </c>
      <c r="AA500" s="287">
        <v>0.55193525422485512</v>
      </c>
      <c r="AB500" s="287">
        <v>0.55193525422485512</v>
      </c>
      <c r="AC500" s="287">
        <v>0.55193525422485512</v>
      </c>
      <c r="AD500" s="287">
        <v>0.55193525422485512</v>
      </c>
      <c r="AE500" s="287">
        <v>0.55193525422485512</v>
      </c>
      <c r="AF500" s="287">
        <v>0.55193525422485512</v>
      </c>
      <c r="AG500" s="287">
        <v>0.55193789344891897</v>
      </c>
      <c r="AH500" s="287">
        <v>0.55193525422485512</v>
      </c>
      <c r="AI500" s="287">
        <v>0.55193525422485512</v>
      </c>
      <c r="AJ500" s="287">
        <v>0.55193525422485512</v>
      </c>
      <c r="AK500" s="287">
        <v>0.55193525422485512</v>
      </c>
      <c r="AL500" s="287">
        <v>0.55193525422485512</v>
      </c>
      <c r="AM500" s="287">
        <v>0.55193525422485512</v>
      </c>
      <c r="AN500" s="287">
        <v>0.55193789344891897</v>
      </c>
      <c r="AO500" s="287">
        <v>0.55193525422485512</v>
      </c>
      <c r="AP500" s="287">
        <v>0.55193525422485512</v>
      </c>
      <c r="AQ500" s="287">
        <v>0.55193525422485512</v>
      </c>
      <c r="AR500" s="287">
        <v>0.55193525422485512</v>
      </c>
      <c r="AS500" s="287">
        <v>0.55193525422485512</v>
      </c>
      <c r="AT500" s="287">
        <v>0.55193525422485512</v>
      </c>
      <c r="AU500" s="287">
        <v>0.55193525422485512</v>
      </c>
      <c r="AV500" s="287">
        <v>0.55193525422485512</v>
      </c>
      <c r="AW500" s="287">
        <v>0.55193789344891897</v>
      </c>
      <c r="AX500" s="287">
        <v>0.55193525422485512</v>
      </c>
      <c r="AY500" s="287">
        <v>0.55193525422485512</v>
      </c>
      <c r="AZ500" s="287">
        <v>0.55193789344891897</v>
      </c>
      <c r="BA500" s="287">
        <v>0.55193789344891897</v>
      </c>
      <c r="BB500" s="287">
        <v>0.55193525422485512</v>
      </c>
      <c r="BC500" s="287">
        <v>0.55193525422485512</v>
      </c>
      <c r="BD500" s="288">
        <v>0.55193789344891897</v>
      </c>
    </row>
    <row r="501" spans="1:56" s="3" customFormat="1" ht="18" customHeight="1" x14ac:dyDescent="0.2">
      <c r="A501" s="39">
        <v>-736</v>
      </c>
      <c r="B501" s="276">
        <v>4.4305293005671099E-4</v>
      </c>
      <c r="C501" s="303">
        <v>735.999778473535</v>
      </c>
      <c r="E501" s="140">
        <v>37</v>
      </c>
      <c r="F501" s="39">
        <v>0</v>
      </c>
      <c r="G501" s="302"/>
      <c r="H501" s="39">
        <v>13</v>
      </c>
      <c r="I501" s="286">
        <v>0.55193525422485512</v>
      </c>
      <c r="J501" s="287">
        <v>0.55193525422485512</v>
      </c>
      <c r="K501" s="287">
        <v>0.55193525422485512</v>
      </c>
      <c r="L501" s="287">
        <v>0.55193789344891897</v>
      </c>
      <c r="M501" s="287">
        <v>0.55193525422485512</v>
      </c>
      <c r="N501" s="287">
        <v>0.55193525422485512</v>
      </c>
      <c r="O501" s="287">
        <v>0.55193525422485512</v>
      </c>
      <c r="P501" s="287">
        <v>0.55193525422485512</v>
      </c>
      <c r="Q501" s="287">
        <v>0.55193525422485512</v>
      </c>
      <c r="R501" s="287">
        <v>0.71860192089152097</v>
      </c>
      <c r="S501" s="287">
        <v>0.71860192089152097</v>
      </c>
      <c r="T501" s="287">
        <v>0.71860192089152097</v>
      </c>
      <c r="U501" s="287">
        <v>0.88527122678225212</v>
      </c>
      <c r="V501" s="287">
        <v>0.71860192089152097</v>
      </c>
      <c r="W501" s="287">
        <v>0.71860192089152097</v>
      </c>
      <c r="X501" s="287">
        <v>0.55193525422485512</v>
      </c>
      <c r="Y501" s="287">
        <v>0.55193525422485512</v>
      </c>
      <c r="Z501" s="287">
        <v>0.55193525422485512</v>
      </c>
      <c r="AA501" s="287">
        <v>0.55193525422485512</v>
      </c>
      <c r="AB501" s="287">
        <v>0.55193789344891897</v>
      </c>
      <c r="AC501" s="287">
        <v>0.55193525422485512</v>
      </c>
      <c r="AD501" s="287">
        <v>0.55193525422485512</v>
      </c>
      <c r="AE501" s="287">
        <v>0.55193525422485512</v>
      </c>
      <c r="AF501" s="287">
        <v>0.55193525422485512</v>
      </c>
      <c r="AG501" s="287">
        <v>0.55193525422485512</v>
      </c>
      <c r="AH501" s="287">
        <v>0.55193789344891897</v>
      </c>
      <c r="AI501" s="287">
        <v>0.55193525422485512</v>
      </c>
      <c r="AJ501" s="287">
        <v>0.55193525422485512</v>
      </c>
      <c r="AK501" s="287">
        <v>0.55193525422485512</v>
      </c>
      <c r="AL501" s="287">
        <v>0.55193525422485512</v>
      </c>
      <c r="AM501" s="287">
        <v>0.55193525422485512</v>
      </c>
      <c r="AN501" s="287">
        <v>0.55193525422485512</v>
      </c>
      <c r="AO501" s="287">
        <v>0.55193525422485512</v>
      </c>
      <c r="AP501" s="287">
        <v>0.55193789344891897</v>
      </c>
      <c r="AQ501" s="287">
        <v>0.55193525422485512</v>
      </c>
      <c r="AR501" s="287">
        <v>0.55193525422485512</v>
      </c>
      <c r="AS501" s="287">
        <v>0.55193525422485512</v>
      </c>
      <c r="AT501" s="287">
        <v>0.55193525422485512</v>
      </c>
      <c r="AU501" s="287">
        <v>0.55193525422485512</v>
      </c>
      <c r="AV501" s="287">
        <v>0.55193525422485512</v>
      </c>
      <c r="AW501" s="287">
        <v>0.55193525422485512</v>
      </c>
      <c r="AX501" s="287">
        <v>0.55193525422485512</v>
      </c>
      <c r="AY501" s="287">
        <v>0.55193525422485512</v>
      </c>
      <c r="AZ501" s="287">
        <v>0.55193525422485512</v>
      </c>
      <c r="BA501" s="287">
        <v>0.55193525422485512</v>
      </c>
      <c r="BB501" s="287">
        <v>0.55193525422485512</v>
      </c>
      <c r="BC501" s="287">
        <v>0.55193525422485512</v>
      </c>
      <c r="BD501" s="288">
        <v>0.55193525422485512</v>
      </c>
    </row>
    <row r="502" spans="1:56" s="3" customFormat="1" ht="18" customHeight="1" x14ac:dyDescent="0.2">
      <c r="A502" s="39">
        <v>-736</v>
      </c>
      <c r="B502" s="276">
        <v>6.94116257088847E-4</v>
      </c>
      <c r="C502" s="303">
        <v>735.99965294187098</v>
      </c>
      <c r="E502" s="140">
        <v>38</v>
      </c>
      <c r="F502" s="39">
        <v>0</v>
      </c>
      <c r="G502" s="302"/>
      <c r="H502" s="39">
        <v>14</v>
      </c>
      <c r="I502" s="286">
        <v>0.55193525422485512</v>
      </c>
      <c r="J502" s="287">
        <v>0.55193525422485512</v>
      </c>
      <c r="K502" s="287">
        <v>0.55193525422485512</v>
      </c>
      <c r="L502" s="287">
        <v>0.55193525422485512</v>
      </c>
      <c r="M502" s="287">
        <v>0.55193789344891897</v>
      </c>
      <c r="N502" s="287">
        <v>0.55193525422485512</v>
      </c>
      <c r="O502" s="287">
        <v>0.55193525422485512</v>
      </c>
      <c r="P502" s="287">
        <v>0.55193789344891897</v>
      </c>
      <c r="Q502" s="287">
        <v>0.55193525422485512</v>
      </c>
      <c r="R502" s="287">
        <v>0.71860192089152097</v>
      </c>
      <c r="S502" s="287">
        <v>0.71860192089152097</v>
      </c>
      <c r="T502" s="287">
        <v>0.71860192089152097</v>
      </c>
      <c r="U502" s="287">
        <v>0.71860192089152097</v>
      </c>
      <c r="V502" s="287">
        <v>0.88527122678225212</v>
      </c>
      <c r="W502" s="287">
        <v>0.71860192089152097</v>
      </c>
      <c r="X502" s="287">
        <v>0.55193525422485512</v>
      </c>
      <c r="Y502" s="287">
        <v>0.55193525422485512</v>
      </c>
      <c r="Z502" s="287">
        <v>0.55193525422485512</v>
      </c>
      <c r="AA502" s="287">
        <v>0.55193525422485512</v>
      </c>
      <c r="AB502" s="287">
        <v>0.55193525422485512</v>
      </c>
      <c r="AC502" s="287">
        <v>0.55193789344891897</v>
      </c>
      <c r="AD502" s="287">
        <v>0.55193525422485512</v>
      </c>
      <c r="AE502" s="287">
        <v>0.55193525422485512</v>
      </c>
      <c r="AF502" s="287">
        <v>0.55193525422485512</v>
      </c>
      <c r="AG502" s="287">
        <v>0.55193525422485512</v>
      </c>
      <c r="AH502" s="287">
        <v>0.55193525422485512</v>
      </c>
      <c r="AI502" s="287">
        <v>0.55193789344891897</v>
      </c>
      <c r="AJ502" s="287">
        <v>0.55193525422485512</v>
      </c>
      <c r="AK502" s="287">
        <v>0.55193525422485512</v>
      </c>
      <c r="AL502" s="287">
        <v>0.55193525422485512</v>
      </c>
      <c r="AM502" s="287">
        <v>0.55193525422485512</v>
      </c>
      <c r="AN502" s="287">
        <v>0.55193525422485512</v>
      </c>
      <c r="AO502" s="287">
        <v>0.55193525422485512</v>
      </c>
      <c r="AP502" s="287">
        <v>0.55193525422485512</v>
      </c>
      <c r="AQ502" s="287">
        <v>0.55193789344891897</v>
      </c>
      <c r="AR502" s="287">
        <v>0.55193525422485512</v>
      </c>
      <c r="AS502" s="287">
        <v>0.55193525422485512</v>
      </c>
      <c r="AT502" s="287">
        <v>0.55193525422485512</v>
      </c>
      <c r="AU502" s="287">
        <v>0.55193525422485512</v>
      </c>
      <c r="AV502" s="287">
        <v>0.55193525422485512</v>
      </c>
      <c r="AW502" s="287">
        <v>0.55193525422485512</v>
      </c>
      <c r="AX502" s="287">
        <v>0.55193789344891897</v>
      </c>
      <c r="AY502" s="287">
        <v>0.55193525422485512</v>
      </c>
      <c r="AZ502" s="287">
        <v>0.55193525422485512</v>
      </c>
      <c r="BA502" s="287">
        <v>0.55193525422485512</v>
      </c>
      <c r="BB502" s="287">
        <v>0.55193789344891897</v>
      </c>
      <c r="BC502" s="287">
        <v>0.55193525422485512</v>
      </c>
      <c r="BD502" s="288">
        <v>0.55193525422485512</v>
      </c>
    </row>
    <row r="503" spans="1:56" s="3" customFormat="1" ht="18" customHeight="1" x14ac:dyDescent="0.2">
      <c r="A503" s="39">
        <v>-736</v>
      </c>
      <c r="B503" s="276">
        <v>2.9536862003780702E-4</v>
      </c>
      <c r="C503" s="303">
        <v>735.99985231568996</v>
      </c>
      <c r="E503" s="140">
        <v>39</v>
      </c>
      <c r="F503" s="39">
        <v>0</v>
      </c>
      <c r="G503" s="302"/>
      <c r="H503" s="39">
        <v>15</v>
      </c>
      <c r="I503" s="286">
        <v>0.55193525422485512</v>
      </c>
      <c r="J503" s="287">
        <v>0.55193525422485512</v>
      </c>
      <c r="K503" s="287">
        <v>0.55193525422485512</v>
      </c>
      <c r="L503" s="287">
        <v>0.55193525422485512</v>
      </c>
      <c r="M503" s="287">
        <v>0.55193525422485512</v>
      </c>
      <c r="N503" s="287">
        <v>0.55193789344891897</v>
      </c>
      <c r="O503" s="287">
        <v>0.55193525422485512</v>
      </c>
      <c r="P503" s="287">
        <v>0.55193525422485512</v>
      </c>
      <c r="Q503" s="287">
        <v>0.55193789344891897</v>
      </c>
      <c r="R503" s="287">
        <v>0.71860192089152097</v>
      </c>
      <c r="S503" s="287">
        <v>0.71860192089152097</v>
      </c>
      <c r="T503" s="287">
        <v>0.71860192089152097</v>
      </c>
      <c r="U503" s="287">
        <v>0.71860192089152097</v>
      </c>
      <c r="V503" s="287">
        <v>0.71860192089152097</v>
      </c>
      <c r="W503" s="287">
        <v>0.88527122678225212</v>
      </c>
      <c r="X503" s="287">
        <v>0.55193525422485512</v>
      </c>
      <c r="Y503" s="287">
        <v>0.55193525422485512</v>
      </c>
      <c r="Z503" s="287">
        <v>0.55193525422485512</v>
      </c>
      <c r="AA503" s="287">
        <v>0.55193525422485512</v>
      </c>
      <c r="AB503" s="287">
        <v>0.55193525422485512</v>
      </c>
      <c r="AC503" s="287">
        <v>0.55193525422485512</v>
      </c>
      <c r="AD503" s="287">
        <v>0.55193789344891897</v>
      </c>
      <c r="AE503" s="287">
        <v>0.55193525422485512</v>
      </c>
      <c r="AF503" s="287">
        <v>0.55193525422485512</v>
      </c>
      <c r="AG503" s="287">
        <v>0.55193525422485512</v>
      </c>
      <c r="AH503" s="287">
        <v>0.55193525422485512</v>
      </c>
      <c r="AI503" s="287">
        <v>0.55193525422485512</v>
      </c>
      <c r="AJ503" s="287">
        <v>0.55193789344891897</v>
      </c>
      <c r="AK503" s="287">
        <v>0.55193525422485512</v>
      </c>
      <c r="AL503" s="287">
        <v>0.55193525422485512</v>
      </c>
      <c r="AM503" s="287">
        <v>0.55193525422485512</v>
      </c>
      <c r="AN503" s="287">
        <v>0.55193525422485512</v>
      </c>
      <c r="AO503" s="287">
        <v>0.55193525422485512</v>
      </c>
      <c r="AP503" s="287">
        <v>0.55193525422485512</v>
      </c>
      <c r="AQ503" s="287">
        <v>0.55193525422485512</v>
      </c>
      <c r="AR503" s="287">
        <v>0.55193525422485512</v>
      </c>
      <c r="AS503" s="287">
        <v>0.55193789344891897</v>
      </c>
      <c r="AT503" s="287">
        <v>0.55193525422485512</v>
      </c>
      <c r="AU503" s="287">
        <v>0.55193525422485512</v>
      </c>
      <c r="AV503" s="287">
        <v>0.55193525422485512</v>
      </c>
      <c r="AW503" s="287">
        <v>0.55193525422485512</v>
      </c>
      <c r="AX503" s="287">
        <v>0.55193525422485512</v>
      </c>
      <c r="AY503" s="287">
        <v>0.55193789344891897</v>
      </c>
      <c r="AZ503" s="287">
        <v>0.55193525422485512</v>
      </c>
      <c r="BA503" s="287">
        <v>0.55193525422485512</v>
      </c>
      <c r="BB503" s="287">
        <v>0.55193525422485512</v>
      </c>
      <c r="BC503" s="287">
        <v>0.55193789344891897</v>
      </c>
      <c r="BD503" s="288">
        <v>0.55193525422485512</v>
      </c>
    </row>
    <row r="504" spans="1:56" s="3" customFormat="1" ht="18" customHeight="1" x14ac:dyDescent="0.2">
      <c r="A504" s="39">
        <v>-736</v>
      </c>
      <c r="B504" s="276">
        <v>1.3291587901701301E-3</v>
      </c>
      <c r="C504" s="303">
        <v>735.99933542060501</v>
      </c>
      <c r="E504" s="140">
        <v>40</v>
      </c>
      <c r="F504" s="39">
        <v>0</v>
      </c>
      <c r="G504" s="302"/>
      <c r="H504" s="39">
        <v>16</v>
      </c>
      <c r="I504" s="286">
        <v>0.55193789344891897</v>
      </c>
      <c r="J504" s="287">
        <v>0.55193525422485512</v>
      </c>
      <c r="K504" s="287">
        <v>0.55193525422485512</v>
      </c>
      <c r="L504" s="287">
        <v>0.55193525422485512</v>
      </c>
      <c r="M504" s="287">
        <v>0.55193525422485512</v>
      </c>
      <c r="N504" s="287">
        <v>0.55193525422485512</v>
      </c>
      <c r="O504" s="287">
        <v>0.55193525422485512</v>
      </c>
      <c r="P504" s="287">
        <v>0.55193525422485512</v>
      </c>
      <c r="Q504" s="287">
        <v>0.55193525422485512</v>
      </c>
      <c r="R504" s="287">
        <v>0.55193789344891897</v>
      </c>
      <c r="S504" s="287">
        <v>0.55193525422485512</v>
      </c>
      <c r="T504" s="287">
        <v>0.55193525422485512</v>
      </c>
      <c r="U504" s="287">
        <v>0.55193525422485512</v>
      </c>
      <c r="V504" s="287">
        <v>0.55193525422485512</v>
      </c>
      <c r="W504" s="287">
        <v>0.55193525422485512</v>
      </c>
      <c r="X504" s="287">
        <v>1.5519378934489201</v>
      </c>
      <c r="Y504" s="287">
        <v>1.0519352542248499</v>
      </c>
      <c r="Z504" s="287">
        <v>1.0519352542248499</v>
      </c>
      <c r="AA504" s="287">
        <v>1.0519352542248499</v>
      </c>
      <c r="AB504" s="287">
        <v>1.0519352542248499</v>
      </c>
      <c r="AC504" s="287">
        <v>1.0519352542248499</v>
      </c>
      <c r="AD504" s="287">
        <v>1.0519352542248499</v>
      </c>
      <c r="AE504" s="287">
        <v>0.55193789344891897</v>
      </c>
      <c r="AF504" s="287">
        <v>0.55193525422485512</v>
      </c>
      <c r="AG504" s="287">
        <v>0.55193525422485512</v>
      </c>
      <c r="AH504" s="287">
        <v>0.55193525422485512</v>
      </c>
      <c r="AI504" s="287">
        <v>0.55193525422485512</v>
      </c>
      <c r="AJ504" s="287">
        <v>0.55193525422485512</v>
      </c>
      <c r="AK504" s="287">
        <v>0.55193789344891897</v>
      </c>
      <c r="AL504" s="287">
        <v>0.55193525422485512</v>
      </c>
      <c r="AM504" s="287">
        <v>0.55193525422485512</v>
      </c>
      <c r="AN504" s="287">
        <v>0.55193525422485512</v>
      </c>
      <c r="AO504" s="287">
        <v>0.55193525422485512</v>
      </c>
      <c r="AP504" s="287">
        <v>0.55193525422485512</v>
      </c>
      <c r="AQ504" s="287">
        <v>0.55193525422485512</v>
      </c>
      <c r="AR504" s="287">
        <v>0.55193525422485512</v>
      </c>
      <c r="AS504" s="287">
        <v>0.55193525422485512</v>
      </c>
      <c r="AT504" s="287">
        <v>0.55193525422485512</v>
      </c>
      <c r="AU504" s="287">
        <v>0.55193789344891897</v>
      </c>
      <c r="AV504" s="287">
        <v>0.55193525422485512</v>
      </c>
      <c r="AW504" s="287">
        <v>0.55193525422485512</v>
      </c>
      <c r="AX504" s="287">
        <v>0.55193525422485512</v>
      </c>
      <c r="AY504" s="287">
        <v>0.55193525422485512</v>
      </c>
      <c r="AZ504" s="287">
        <v>0.55193525422485512</v>
      </c>
      <c r="BA504" s="287">
        <v>0.55193525422485512</v>
      </c>
      <c r="BB504" s="287">
        <v>0.55193525422485512</v>
      </c>
      <c r="BC504" s="287">
        <v>0.55193525422485512</v>
      </c>
      <c r="BD504" s="288">
        <v>0.55193525422485512</v>
      </c>
    </row>
    <row r="505" spans="1:56" s="3" customFormat="1" ht="18" customHeight="1" x14ac:dyDescent="0.2">
      <c r="A505" s="39">
        <v>-736</v>
      </c>
      <c r="B505" s="276">
        <v>4.4305293005671099E-4</v>
      </c>
      <c r="C505" s="303">
        <v>735.999778473535</v>
      </c>
      <c r="E505" s="140">
        <v>41</v>
      </c>
      <c r="F505" s="39">
        <v>0</v>
      </c>
      <c r="G505" s="302"/>
      <c r="H505" s="39">
        <v>17</v>
      </c>
      <c r="I505" s="286">
        <v>0.55193525422485512</v>
      </c>
      <c r="J505" s="287">
        <v>0.55193789344891897</v>
      </c>
      <c r="K505" s="287">
        <v>0.55193525422485512</v>
      </c>
      <c r="L505" s="287">
        <v>0.55193525422485512</v>
      </c>
      <c r="M505" s="287">
        <v>0.55193525422485512</v>
      </c>
      <c r="N505" s="287">
        <v>0.55193525422485512</v>
      </c>
      <c r="O505" s="287">
        <v>0.55193525422485512</v>
      </c>
      <c r="P505" s="287">
        <v>0.55193525422485512</v>
      </c>
      <c r="Q505" s="287">
        <v>0.55193525422485512</v>
      </c>
      <c r="R505" s="287">
        <v>0.55193525422485512</v>
      </c>
      <c r="S505" s="287">
        <v>0.55193789344891897</v>
      </c>
      <c r="T505" s="287">
        <v>0.55193525422485512</v>
      </c>
      <c r="U505" s="287">
        <v>0.55193525422485512</v>
      </c>
      <c r="V505" s="287">
        <v>0.55193525422485512</v>
      </c>
      <c r="W505" s="287">
        <v>0.55193525422485512</v>
      </c>
      <c r="X505" s="287">
        <v>1.0519352542248499</v>
      </c>
      <c r="Y505" s="287">
        <v>1.5519378934489201</v>
      </c>
      <c r="Z505" s="287">
        <v>1.0519352542248499</v>
      </c>
      <c r="AA505" s="287">
        <v>1.0519352542248499</v>
      </c>
      <c r="AB505" s="287">
        <v>1.0519352542248499</v>
      </c>
      <c r="AC505" s="287">
        <v>1.0519352542248499</v>
      </c>
      <c r="AD505" s="287">
        <v>1.0519352542248499</v>
      </c>
      <c r="AE505" s="287">
        <v>0.55193525422485512</v>
      </c>
      <c r="AF505" s="287">
        <v>0.55193789344891897</v>
      </c>
      <c r="AG505" s="287">
        <v>0.55193525422485512</v>
      </c>
      <c r="AH505" s="287">
        <v>0.55193525422485512</v>
      </c>
      <c r="AI505" s="287">
        <v>0.55193525422485512</v>
      </c>
      <c r="AJ505" s="287">
        <v>0.55193525422485512</v>
      </c>
      <c r="AK505" s="287">
        <v>0.55193525422485512</v>
      </c>
      <c r="AL505" s="287">
        <v>0.55193789344891897</v>
      </c>
      <c r="AM505" s="287">
        <v>0.55193525422485512</v>
      </c>
      <c r="AN505" s="287">
        <v>0.55193525422485512</v>
      </c>
      <c r="AO505" s="287">
        <v>0.55193525422485512</v>
      </c>
      <c r="AP505" s="287">
        <v>0.55193525422485512</v>
      </c>
      <c r="AQ505" s="287">
        <v>0.55193525422485512</v>
      </c>
      <c r="AR505" s="287">
        <v>0.55193525422485512</v>
      </c>
      <c r="AS505" s="287">
        <v>0.55193525422485512</v>
      </c>
      <c r="AT505" s="287">
        <v>0.55193525422485512</v>
      </c>
      <c r="AU505" s="287">
        <v>0.55193525422485512</v>
      </c>
      <c r="AV505" s="287">
        <v>0.55193789344891897</v>
      </c>
      <c r="AW505" s="287">
        <v>0.55193525422485512</v>
      </c>
      <c r="AX505" s="287">
        <v>0.55193525422485512</v>
      </c>
      <c r="AY505" s="287">
        <v>0.55193525422485512</v>
      </c>
      <c r="AZ505" s="287">
        <v>0.55193525422485512</v>
      </c>
      <c r="BA505" s="287">
        <v>0.55193525422485512</v>
      </c>
      <c r="BB505" s="287">
        <v>0.55193525422485512</v>
      </c>
      <c r="BC505" s="287">
        <v>0.55193525422485512</v>
      </c>
      <c r="BD505" s="288">
        <v>0.55193525422485512</v>
      </c>
    </row>
    <row r="506" spans="1:56" s="3" customFormat="1" ht="18" customHeight="1" x14ac:dyDescent="0.2">
      <c r="A506" s="39">
        <v>-736</v>
      </c>
      <c r="B506" s="276">
        <v>2.9536862003780702E-4</v>
      </c>
      <c r="C506" s="303">
        <v>735.99985231568996</v>
      </c>
      <c r="E506" s="140">
        <v>42</v>
      </c>
      <c r="F506" s="39">
        <v>0</v>
      </c>
      <c r="G506" s="302"/>
      <c r="H506" s="39">
        <v>18</v>
      </c>
      <c r="I506" s="286">
        <v>0.55193525422485512</v>
      </c>
      <c r="J506" s="287">
        <v>0.55193525422485512</v>
      </c>
      <c r="K506" s="287">
        <v>0.55193789344891897</v>
      </c>
      <c r="L506" s="287">
        <v>0.55193525422485512</v>
      </c>
      <c r="M506" s="287">
        <v>0.55193525422485512</v>
      </c>
      <c r="N506" s="287">
        <v>0.55193525422485512</v>
      </c>
      <c r="O506" s="287">
        <v>0.55193789344891897</v>
      </c>
      <c r="P506" s="287">
        <v>0.55193525422485512</v>
      </c>
      <c r="Q506" s="287">
        <v>0.55193525422485512</v>
      </c>
      <c r="R506" s="287">
        <v>0.55193525422485512</v>
      </c>
      <c r="S506" s="287">
        <v>0.55193525422485512</v>
      </c>
      <c r="T506" s="287">
        <v>0.55193789344891897</v>
      </c>
      <c r="U506" s="287">
        <v>0.55193525422485512</v>
      </c>
      <c r="V506" s="287">
        <v>0.55193525422485512</v>
      </c>
      <c r="W506" s="287">
        <v>0.55193525422485512</v>
      </c>
      <c r="X506" s="287">
        <v>1.0519352542248499</v>
      </c>
      <c r="Y506" s="287">
        <v>1.0519352542248499</v>
      </c>
      <c r="Z506" s="287">
        <v>1.5519378934489201</v>
      </c>
      <c r="AA506" s="287">
        <v>1.0519352542248499</v>
      </c>
      <c r="AB506" s="287">
        <v>1.0519352542248499</v>
      </c>
      <c r="AC506" s="287">
        <v>1.0519352542248499</v>
      </c>
      <c r="AD506" s="287">
        <v>1.0519352542248499</v>
      </c>
      <c r="AE506" s="287">
        <v>0.55193525422485512</v>
      </c>
      <c r="AF506" s="287">
        <v>0.55193525422485512</v>
      </c>
      <c r="AG506" s="287">
        <v>0.55193789344891897</v>
      </c>
      <c r="AH506" s="287">
        <v>0.55193525422485512</v>
      </c>
      <c r="AI506" s="287">
        <v>0.55193525422485512</v>
      </c>
      <c r="AJ506" s="287">
        <v>0.55193525422485512</v>
      </c>
      <c r="AK506" s="287">
        <v>0.55193525422485512</v>
      </c>
      <c r="AL506" s="287">
        <v>0.55193525422485512</v>
      </c>
      <c r="AM506" s="287">
        <v>0.55193525422485512</v>
      </c>
      <c r="AN506" s="287">
        <v>0.55193789344891897</v>
      </c>
      <c r="AO506" s="287">
        <v>0.55193525422485512</v>
      </c>
      <c r="AP506" s="287">
        <v>0.55193525422485512</v>
      </c>
      <c r="AQ506" s="287">
        <v>0.55193525422485512</v>
      </c>
      <c r="AR506" s="287">
        <v>0.55193525422485512</v>
      </c>
      <c r="AS506" s="287">
        <v>0.55193525422485512</v>
      </c>
      <c r="AT506" s="287">
        <v>0.55193525422485512</v>
      </c>
      <c r="AU506" s="287">
        <v>0.55193525422485512</v>
      </c>
      <c r="AV506" s="287">
        <v>0.55193525422485512</v>
      </c>
      <c r="AW506" s="287">
        <v>0.55193789344891897</v>
      </c>
      <c r="AX506" s="287">
        <v>0.55193525422485512</v>
      </c>
      <c r="AY506" s="287">
        <v>0.55193525422485512</v>
      </c>
      <c r="AZ506" s="287">
        <v>0.55193789344891897</v>
      </c>
      <c r="BA506" s="287">
        <v>0.55193789344891897</v>
      </c>
      <c r="BB506" s="287">
        <v>0.55193525422485512</v>
      </c>
      <c r="BC506" s="287">
        <v>0.55193525422485512</v>
      </c>
      <c r="BD506" s="288">
        <v>0.55193789344891897</v>
      </c>
    </row>
    <row r="507" spans="1:56" s="3" customFormat="1" ht="18" customHeight="1" x14ac:dyDescent="0.2">
      <c r="A507" s="39">
        <v>-736</v>
      </c>
      <c r="B507" s="276">
        <v>1.3291587901701301E-3</v>
      </c>
      <c r="C507" s="303">
        <v>735.99933542060501</v>
      </c>
      <c r="E507" s="140">
        <v>43</v>
      </c>
      <c r="F507" s="39">
        <v>0</v>
      </c>
      <c r="G507" s="302"/>
      <c r="H507" s="39">
        <v>19</v>
      </c>
      <c r="I507" s="286">
        <v>0.55193525422485512</v>
      </c>
      <c r="J507" s="287">
        <v>0.55193525422485512</v>
      </c>
      <c r="K507" s="287">
        <v>0.55193525422485512</v>
      </c>
      <c r="L507" s="287">
        <v>0.55193525422485512</v>
      </c>
      <c r="M507" s="287">
        <v>0.55193525422485512</v>
      </c>
      <c r="N507" s="287">
        <v>0.55193525422485512</v>
      </c>
      <c r="O507" s="287">
        <v>0.55193525422485512</v>
      </c>
      <c r="P507" s="287">
        <v>0.55193525422485512</v>
      </c>
      <c r="Q507" s="287">
        <v>0.55193525422485512</v>
      </c>
      <c r="R507" s="287">
        <v>0.55193525422485512</v>
      </c>
      <c r="S507" s="287">
        <v>0.55193525422485512</v>
      </c>
      <c r="T507" s="287">
        <v>0.55193525422485512</v>
      </c>
      <c r="U507" s="287">
        <v>0.55193525422485512</v>
      </c>
      <c r="V507" s="287">
        <v>0.55193525422485512</v>
      </c>
      <c r="W507" s="287">
        <v>0.55193525422485512</v>
      </c>
      <c r="X507" s="287">
        <v>1.0519352542248499</v>
      </c>
      <c r="Y507" s="287">
        <v>1.0519352542248499</v>
      </c>
      <c r="Z507" s="287">
        <v>1.0519352542248499</v>
      </c>
      <c r="AA507" s="287">
        <v>1.5519378934489201</v>
      </c>
      <c r="AB507" s="287">
        <v>1.0519352542248499</v>
      </c>
      <c r="AC507" s="287">
        <v>1.0519352542248499</v>
      </c>
      <c r="AD507" s="287">
        <v>1.0519352542248499</v>
      </c>
      <c r="AE507" s="287">
        <v>0.55193525422485512</v>
      </c>
      <c r="AF507" s="287">
        <v>0.55193525422485512</v>
      </c>
      <c r="AG507" s="287">
        <v>0.55193525422485512</v>
      </c>
      <c r="AH507" s="287">
        <v>0.55193525422485512</v>
      </c>
      <c r="AI507" s="287">
        <v>0.55193525422485512</v>
      </c>
      <c r="AJ507" s="287">
        <v>0.55193525422485512</v>
      </c>
      <c r="AK507" s="287">
        <v>0.55193525422485512</v>
      </c>
      <c r="AL507" s="287">
        <v>0.55193525422485512</v>
      </c>
      <c r="AM507" s="287">
        <v>0.55193525422485512</v>
      </c>
      <c r="AN507" s="287">
        <v>0.55193525422485512</v>
      </c>
      <c r="AO507" s="287">
        <v>0.55193789344891897</v>
      </c>
      <c r="AP507" s="287">
        <v>0.55193525422485512</v>
      </c>
      <c r="AQ507" s="287">
        <v>0.55193525422485512</v>
      </c>
      <c r="AR507" s="287">
        <v>0.55193525422485512</v>
      </c>
      <c r="AS507" s="287">
        <v>0.55193525422485512</v>
      </c>
      <c r="AT507" s="287">
        <v>0.55193525422485512</v>
      </c>
      <c r="AU507" s="287">
        <v>0.55193525422485512</v>
      </c>
      <c r="AV507" s="287">
        <v>0.55193525422485512</v>
      </c>
      <c r="AW507" s="287">
        <v>0.55193525422485512</v>
      </c>
      <c r="AX507" s="287">
        <v>0.55193525422485512</v>
      </c>
      <c r="AY507" s="287">
        <v>0.55193525422485512</v>
      </c>
      <c r="AZ507" s="287">
        <v>0.55193525422485512</v>
      </c>
      <c r="BA507" s="287">
        <v>0.55193525422485512</v>
      </c>
      <c r="BB507" s="287">
        <v>0.55193525422485512</v>
      </c>
      <c r="BC507" s="287">
        <v>0.55193525422485512</v>
      </c>
      <c r="BD507" s="288">
        <v>0.55193525422485512</v>
      </c>
    </row>
    <row r="508" spans="1:56" s="3" customFormat="1" ht="18" customHeight="1" x14ac:dyDescent="0.2">
      <c r="A508" s="39">
        <v>-736</v>
      </c>
      <c r="B508" s="276">
        <v>2.2152646502835501E-4</v>
      </c>
      <c r="C508" s="303">
        <v>735.99988923676699</v>
      </c>
      <c r="E508" s="140">
        <v>44</v>
      </c>
      <c r="F508" s="39">
        <v>0</v>
      </c>
      <c r="G508" s="302"/>
      <c r="H508" s="39">
        <v>20</v>
      </c>
      <c r="I508" s="286">
        <v>0.55193525422485512</v>
      </c>
      <c r="J508" s="287">
        <v>0.55193525422485512</v>
      </c>
      <c r="K508" s="287">
        <v>0.55193525422485512</v>
      </c>
      <c r="L508" s="287">
        <v>0.55193789344891897</v>
      </c>
      <c r="M508" s="287">
        <v>0.55193525422485512</v>
      </c>
      <c r="N508" s="287">
        <v>0.55193525422485512</v>
      </c>
      <c r="O508" s="287">
        <v>0.55193525422485512</v>
      </c>
      <c r="P508" s="287">
        <v>0.55193525422485512</v>
      </c>
      <c r="Q508" s="287">
        <v>0.55193525422485512</v>
      </c>
      <c r="R508" s="287">
        <v>0.55193525422485512</v>
      </c>
      <c r="S508" s="287">
        <v>0.55193525422485512</v>
      </c>
      <c r="T508" s="287">
        <v>0.55193525422485512</v>
      </c>
      <c r="U508" s="287">
        <v>0.55193789344891897</v>
      </c>
      <c r="V508" s="287">
        <v>0.55193525422485512</v>
      </c>
      <c r="W508" s="287">
        <v>0.55193525422485512</v>
      </c>
      <c r="X508" s="287">
        <v>1.0519352542248499</v>
      </c>
      <c r="Y508" s="287">
        <v>1.0519352542248499</v>
      </c>
      <c r="Z508" s="287">
        <v>1.0519352542248499</v>
      </c>
      <c r="AA508" s="287">
        <v>1.0519352542248499</v>
      </c>
      <c r="AB508" s="287">
        <v>1.5519378934489201</v>
      </c>
      <c r="AC508" s="287">
        <v>1.0519352542248499</v>
      </c>
      <c r="AD508" s="287">
        <v>1.0519352542248499</v>
      </c>
      <c r="AE508" s="287">
        <v>0.55193525422485512</v>
      </c>
      <c r="AF508" s="287">
        <v>0.55193525422485512</v>
      </c>
      <c r="AG508" s="287">
        <v>0.55193525422485512</v>
      </c>
      <c r="AH508" s="287">
        <v>0.55193789344891897</v>
      </c>
      <c r="AI508" s="287">
        <v>0.55193525422485512</v>
      </c>
      <c r="AJ508" s="287">
        <v>0.55193525422485512</v>
      </c>
      <c r="AK508" s="287">
        <v>0.55193525422485512</v>
      </c>
      <c r="AL508" s="287">
        <v>0.55193525422485512</v>
      </c>
      <c r="AM508" s="287">
        <v>0.55193525422485512</v>
      </c>
      <c r="AN508" s="287">
        <v>0.55193525422485512</v>
      </c>
      <c r="AO508" s="287">
        <v>0.55193525422485512</v>
      </c>
      <c r="AP508" s="287">
        <v>0.55193789344891897</v>
      </c>
      <c r="AQ508" s="287">
        <v>0.55193525422485512</v>
      </c>
      <c r="AR508" s="287">
        <v>0.55193525422485512</v>
      </c>
      <c r="AS508" s="287">
        <v>0.55193525422485512</v>
      </c>
      <c r="AT508" s="287">
        <v>0.55193525422485512</v>
      </c>
      <c r="AU508" s="287">
        <v>0.55193525422485512</v>
      </c>
      <c r="AV508" s="287">
        <v>0.55193525422485512</v>
      </c>
      <c r="AW508" s="287">
        <v>0.55193525422485512</v>
      </c>
      <c r="AX508" s="287">
        <v>0.55193525422485512</v>
      </c>
      <c r="AY508" s="287">
        <v>0.55193525422485512</v>
      </c>
      <c r="AZ508" s="287">
        <v>0.55193525422485512</v>
      </c>
      <c r="BA508" s="287">
        <v>0.55193525422485512</v>
      </c>
      <c r="BB508" s="287">
        <v>0.55193525422485512</v>
      </c>
      <c r="BC508" s="287">
        <v>0.55193525422485512</v>
      </c>
      <c r="BD508" s="288">
        <v>0.55193525422485512</v>
      </c>
    </row>
    <row r="509" spans="1:56" s="3" customFormat="1" ht="18" customHeight="1" x14ac:dyDescent="0.2">
      <c r="A509" s="39">
        <v>-736</v>
      </c>
      <c r="B509" s="276">
        <v>6.64579395085066E-4</v>
      </c>
      <c r="C509" s="303">
        <v>735.99966771030199</v>
      </c>
      <c r="E509" s="140">
        <v>45</v>
      </c>
      <c r="F509" s="39">
        <v>0</v>
      </c>
      <c r="G509" s="302"/>
      <c r="H509" s="39">
        <v>21</v>
      </c>
      <c r="I509" s="286">
        <v>0.55193525422485512</v>
      </c>
      <c r="J509" s="287">
        <v>0.55193525422485512</v>
      </c>
      <c r="K509" s="287">
        <v>0.55193525422485512</v>
      </c>
      <c r="L509" s="287">
        <v>0.55193525422485512</v>
      </c>
      <c r="M509" s="287">
        <v>0.55193789344891897</v>
      </c>
      <c r="N509" s="287">
        <v>0.55193525422485512</v>
      </c>
      <c r="O509" s="287">
        <v>0.55193525422485512</v>
      </c>
      <c r="P509" s="287">
        <v>0.55193789344891897</v>
      </c>
      <c r="Q509" s="287">
        <v>0.55193525422485512</v>
      </c>
      <c r="R509" s="287">
        <v>0.55193525422485512</v>
      </c>
      <c r="S509" s="287">
        <v>0.55193525422485512</v>
      </c>
      <c r="T509" s="287">
        <v>0.55193525422485512</v>
      </c>
      <c r="U509" s="287">
        <v>0.55193525422485512</v>
      </c>
      <c r="V509" s="287">
        <v>0.55193789344891897</v>
      </c>
      <c r="W509" s="287">
        <v>0.55193525422485512</v>
      </c>
      <c r="X509" s="287">
        <v>1.0519352542248499</v>
      </c>
      <c r="Y509" s="287">
        <v>1.0519352542248499</v>
      </c>
      <c r="Z509" s="287">
        <v>1.0519352542248499</v>
      </c>
      <c r="AA509" s="287">
        <v>1.0519352542248499</v>
      </c>
      <c r="AB509" s="287">
        <v>1.0519352542248499</v>
      </c>
      <c r="AC509" s="287">
        <v>1.5519378934489201</v>
      </c>
      <c r="AD509" s="287">
        <v>1.0519352542248499</v>
      </c>
      <c r="AE509" s="287">
        <v>0.55193525422485512</v>
      </c>
      <c r="AF509" s="287">
        <v>0.55193525422485512</v>
      </c>
      <c r="AG509" s="287">
        <v>0.55193525422485512</v>
      </c>
      <c r="AH509" s="287">
        <v>0.55193525422485512</v>
      </c>
      <c r="AI509" s="287">
        <v>0.55193789344891897</v>
      </c>
      <c r="AJ509" s="287">
        <v>0.55193525422485512</v>
      </c>
      <c r="AK509" s="287">
        <v>0.55193525422485512</v>
      </c>
      <c r="AL509" s="287">
        <v>0.55193525422485512</v>
      </c>
      <c r="AM509" s="287">
        <v>0.55193525422485512</v>
      </c>
      <c r="AN509" s="287">
        <v>0.55193525422485512</v>
      </c>
      <c r="AO509" s="287">
        <v>0.55193525422485512</v>
      </c>
      <c r="AP509" s="287">
        <v>0.55193525422485512</v>
      </c>
      <c r="AQ509" s="287">
        <v>0.55193789344891897</v>
      </c>
      <c r="AR509" s="287">
        <v>0.55193525422485512</v>
      </c>
      <c r="AS509" s="287">
        <v>0.55193525422485512</v>
      </c>
      <c r="AT509" s="287">
        <v>0.55193525422485512</v>
      </c>
      <c r="AU509" s="287">
        <v>0.55193525422485512</v>
      </c>
      <c r="AV509" s="287">
        <v>0.55193525422485512</v>
      </c>
      <c r="AW509" s="287">
        <v>0.55193525422485512</v>
      </c>
      <c r="AX509" s="287">
        <v>0.55193789344891897</v>
      </c>
      <c r="AY509" s="287">
        <v>0.55193525422485512</v>
      </c>
      <c r="AZ509" s="287">
        <v>0.55193525422485512</v>
      </c>
      <c r="BA509" s="287">
        <v>0.55193525422485512</v>
      </c>
      <c r="BB509" s="287">
        <v>0.55193789344891897</v>
      </c>
      <c r="BC509" s="287">
        <v>0.55193525422485512</v>
      </c>
      <c r="BD509" s="288">
        <v>0.55193525422485512</v>
      </c>
    </row>
    <row r="510" spans="1:56" s="3" customFormat="1" ht="18" customHeight="1" x14ac:dyDescent="0.2">
      <c r="A510" s="39">
        <v>-736</v>
      </c>
      <c r="B510" s="276">
        <v>4.4305293005671099E-4</v>
      </c>
      <c r="C510" s="303">
        <v>735.999778473535</v>
      </c>
      <c r="E510" s="140">
        <v>46</v>
      </c>
      <c r="F510" s="39">
        <v>0</v>
      </c>
      <c r="G510" s="302"/>
      <c r="H510" s="39">
        <v>22</v>
      </c>
      <c r="I510" s="286">
        <v>0.55193525422485512</v>
      </c>
      <c r="J510" s="287">
        <v>0.55193525422485512</v>
      </c>
      <c r="K510" s="287">
        <v>0.55193525422485512</v>
      </c>
      <c r="L510" s="287">
        <v>0.55193525422485512</v>
      </c>
      <c r="M510" s="287">
        <v>0.55193525422485512</v>
      </c>
      <c r="N510" s="287">
        <v>0.55193789344891897</v>
      </c>
      <c r="O510" s="287">
        <v>0.55193525422485512</v>
      </c>
      <c r="P510" s="287">
        <v>0.55193525422485512</v>
      </c>
      <c r="Q510" s="287">
        <v>0.55193789344891897</v>
      </c>
      <c r="R510" s="287">
        <v>0.55193525422485512</v>
      </c>
      <c r="S510" s="287">
        <v>0.55193525422485512</v>
      </c>
      <c r="T510" s="287">
        <v>0.55193525422485512</v>
      </c>
      <c r="U510" s="287">
        <v>0.55193525422485512</v>
      </c>
      <c r="V510" s="287">
        <v>0.55193525422485512</v>
      </c>
      <c r="W510" s="287">
        <v>0.55193789344891897</v>
      </c>
      <c r="X510" s="287">
        <v>1.0519352542248499</v>
      </c>
      <c r="Y510" s="287">
        <v>1.0519352542248499</v>
      </c>
      <c r="Z510" s="287">
        <v>1.0519352542248499</v>
      </c>
      <c r="AA510" s="287">
        <v>1.0519352542248499</v>
      </c>
      <c r="AB510" s="287">
        <v>1.0519352542248499</v>
      </c>
      <c r="AC510" s="287">
        <v>1.0519352542248499</v>
      </c>
      <c r="AD510" s="287">
        <v>1.5519378934489201</v>
      </c>
      <c r="AE510" s="287">
        <v>0.55193525422485512</v>
      </c>
      <c r="AF510" s="287">
        <v>0.55193525422485512</v>
      </c>
      <c r="AG510" s="287">
        <v>0.55193525422485512</v>
      </c>
      <c r="AH510" s="287">
        <v>0.55193525422485512</v>
      </c>
      <c r="AI510" s="287">
        <v>0.55193525422485512</v>
      </c>
      <c r="AJ510" s="287">
        <v>0.55193789344891897</v>
      </c>
      <c r="AK510" s="287">
        <v>0.55193525422485512</v>
      </c>
      <c r="AL510" s="287">
        <v>0.55193525422485512</v>
      </c>
      <c r="AM510" s="287">
        <v>0.55193525422485512</v>
      </c>
      <c r="AN510" s="287">
        <v>0.55193525422485512</v>
      </c>
      <c r="AO510" s="287">
        <v>0.55193525422485512</v>
      </c>
      <c r="AP510" s="287">
        <v>0.55193525422485512</v>
      </c>
      <c r="AQ510" s="287">
        <v>0.55193525422485512</v>
      </c>
      <c r="AR510" s="287">
        <v>0.55193525422485512</v>
      </c>
      <c r="AS510" s="287">
        <v>0.55193789344891897</v>
      </c>
      <c r="AT510" s="287">
        <v>0.55193525422485512</v>
      </c>
      <c r="AU510" s="287">
        <v>0.55193525422485512</v>
      </c>
      <c r="AV510" s="287">
        <v>0.55193525422485512</v>
      </c>
      <c r="AW510" s="287">
        <v>0.55193525422485512</v>
      </c>
      <c r="AX510" s="287">
        <v>0.55193525422485512</v>
      </c>
      <c r="AY510" s="287">
        <v>0.55193789344891897</v>
      </c>
      <c r="AZ510" s="287">
        <v>0.55193525422485512</v>
      </c>
      <c r="BA510" s="287">
        <v>0.55193525422485512</v>
      </c>
      <c r="BB510" s="287">
        <v>0.55193525422485512</v>
      </c>
      <c r="BC510" s="287">
        <v>0.55193789344891897</v>
      </c>
      <c r="BD510" s="288">
        <v>0.55193525422485512</v>
      </c>
    </row>
    <row r="511" spans="1:56" s="3" customFormat="1" ht="18" customHeight="1" x14ac:dyDescent="0.2">
      <c r="A511" s="39">
        <v>-736</v>
      </c>
      <c r="B511" s="276">
        <v>6.94116257088847E-4</v>
      </c>
      <c r="C511" s="303">
        <v>735.99965294187098</v>
      </c>
      <c r="E511" s="140">
        <v>47</v>
      </c>
      <c r="F511" s="39">
        <v>0</v>
      </c>
      <c r="G511" s="302"/>
      <c r="H511" s="39">
        <v>23</v>
      </c>
      <c r="I511" s="286">
        <v>0.55193789344891897</v>
      </c>
      <c r="J511" s="287">
        <v>0.55193525422485512</v>
      </c>
      <c r="K511" s="287">
        <v>0.55193525422485512</v>
      </c>
      <c r="L511" s="287">
        <v>0.55193525422485512</v>
      </c>
      <c r="M511" s="287">
        <v>0.55193525422485512</v>
      </c>
      <c r="N511" s="287">
        <v>0.55193525422485512</v>
      </c>
      <c r="O511" s="287">
        <v>0.55193525422485512</v>
      </c>
      <c r="P511" s="287">
        <v>0.55193525422485512</v>
      </c>
      <c r="Q511" s="287">
        <v>0.55193525422485512</v>
      </c>
      <c r="R511" s="287">
        <v>0.55193789344891897</v>
      </c>
      <c r="S511" s="287">
        <v>0.55193525422485512</v>
      </c>
      <c r="T511" s="287">
        <v>0.55193525422485512</v>
      </c>
      <c r="U511" s="287">
        <v>0.55193525422485512</v>
      </c>
      <c r="V511" s="287">
        <v>0.55193525422485512</v>
      </c>
      <c r="W511" s="287">
        <v>0.55193525422485512</v>
      </c>
      <c r="X511" s="287">
        <v>0.55193789344891897</v>
      </c>
      <c r="Y511" s="287">
        <v>0.55193525422485512</v>
      </c>
      <c r="Z511" s="287">
        <v>0.55193525422485512</v>
      </c>
      <c r="AA511" s="287">
        <v>0.55193525422485512</v>
      </c>
      <c r="AB511" s="287">
        <v>0.55193525422485512</v>
      </c>
      <c r="AC511" s="287">
        <v>0.55193525422485512</v>
      </c>
      <c r="AD511" s="287">
        <v>0.55193525422485512</v>
      </c>
      <c r="AE511" s="287">
        <v>0.88527122678225212</v>
      </c>
      <c r="AF511" s="287">
        <v>0.71860192089152097</v>
      </c>
      <c r="AG511" s="287">
        <v>0.71860192089152097</v>
      </c>
      <c r="AH511" s="287">
        <v>0.71860192089152097</v>
      </c>
      <c r="AI511" s="287">
        <v>0.71860192089152097</v>
      </c>
      <c r="AJ511" s="287">
        <v>0.71860192089152097</v>
      </c>
      <c r="AK511" s="287">
        <v>0.55193789344891897</v>
      </c>
      <c r="AL511" s="287">
        <v>0.55193525422485512</v>
      </c>
      <c r="AM511" s="287">
        <v>0.55193525422485512</v>
      </c>
      <c r="AN511" s="287">
        <v>0.55193525422485512</v>
      </c>
      <c r="AO511" s="287">
        <v>0.55193525422485512</v>
      </c>
      <c r="AP511" s="287">
        <v>0.55193525422485512</v>
      </c>
      <c r="AQ511" s="287">
        <v>0.55193525422485512</v>
      </c>
      <c r="AR511" s="287">
        <v>0.55193525422485512</v>
      </c>
      <c r="AS511" s="287">
        <v>0.55193525422485512</v>
      </c>
      <c r="AT511" s="287">
        <v>0.55193525422485512</v>
      </c>
      <c r="AU511" s="287">
        <v>0.55193789344891897</v>
      </c>
      <c r="AV511" s="287">
        <v>0.55193525422485512</v>
      </c>
      <c r="AW511" s="287">
        <v>0.55193525422485512</v>
      </c>
      <c r="AX511" s="287">
        <v>0.55193525422485512</v>
      </c>
      <c r="AY511" s="287">
        <v>0.55193525422485512</v>
      </c>
      <c r="AZ511" s="287">
        <v>0.55193525422485512</v>
      </c>
      <c r="BA511" s="287">
        <v>0.55193525422485512</v>
      </c>
      <c r="BB511" s="287">
        <v>0.55193525422485512</v>
      </c>
      <c r="BC511" s="287">
        <v>0.55193525422485512</v>
      </c>
      <c r="BD511" s="288">
        <v>0.55193525422485512</v>
      </c>
    </row>
    <row r="512" spans="1:56" s="3" customFormat="1" ht="18" customHeight="1" x14ac:dyDescent="0.2">
      <c r="A512" s="39">
        <v>-736</v>
      </c>
      <c r="B512" s="276">
        <v>2.9536862003780702E-4</v>
      </c>
      <c r="C512" s="303">
        <v>735.99985231568996</v>
      </c>
      <c r="E512" s="140">
        <v>48</v>
      </c>
      <c r="F512" s="39">
        <v>0</v>
      </c>
      <c r="G512" s="302"/>
      <c r="H512" s="39">
        <v>24</v>
      </c>
      <c r="I512" s="286">
        <v>0.55193525422485512</v>
      </c>
      <c r="J512" s="287">
        <v>0.55193789344891897</v>
      </c>
      <c r="K512" s="287">
        <v>0.55193525422485512</v>
      </c>
      <c r="L512" s="287">
        <v>0.55193525422485512</v>
      </c>
      <c r="M512" s="287">
        <v>0.55193525422485512</v>
      </c>
      <c r="N512" s="287">
        <v>0.55193525422485512</v>
      </c>
      <c r="O512" s="287">
        <v>0.55193525422485512</v>
      </c>
      <c r="P512" s="287">
        <v>0.55193525422485512</v>
      </c>
      <c r="Q512" s="287">
        <v>0.55193525422485512</v>
      </c>
      <c r="R512" s="287">
        <v>0.55193525422485512</v>
      </c>
      <c r="S512" s="287">
        <v>0.55193789344891897</v>
      </c>
      <c r="T512" s="287">
        <v>0.55193525422485512</v>
      </c>
      <c r="U512" s="287">
        <v>0.55193525422485512</v>
      </c>
      <c r="V512" s="287">
        <v>0.55193525422485512</v>
      </c>
      <c r="W512" s="287">
        <v>0.55193525422485512</v>
      </c>
      <c r="X512" s="287">
        <v>0.55193525422485512</v>
      </c>
      <c r="Y512" s="287">
        <v>0.55193789344891897</v>
      </c>
      <c r="Z512" s="287">
        <v>0.55193525422485512</v>
      </c>
      <c r="AA512" s="287">
        <v>0.55193525422485512</v>
      </c>
      <c r="AB512" s="287">
        <v>0.55193525422485512</v>
      </c>
      <c r="AC512" s="287">
        <v>0.55193525422485512</v>
      </c>
      <c r="AD512" s="287">
        <v>0.55193525422485512</v>
      </c>
      <c r="AE512" s="287">
        <v>0.71860192089152097</v>
      </c>
      <c r="AF512" s="287">
        <v>0.88527122678225212</v>
      </c>
      <c r="AG512" s="287">
        <v>0.71860192089152097</v>
      </c>
      <c r="AH512" s="287">
        <v>0.71860192089152097</v>
      </c>
      <c r="AI512" s="287">
        <v>0.71860192089152097</v>
      </c>
      <c r="AJ512" s="287">
        <v>0.71860192089152097</v>
      </c>
      <c r="AK512" s="287">
        <v>0.55193525422485512</v>
      </c>
      <c r="AL512" s="287">
        <v>0.55193789344891897</v>
      </c>
      <c r="AM512" s="287">
        <v>0.55193525422485512</v>
      </c>
      <c r="AN512" s="287">
        <v>0.55193525422485512</v>
      </c>
      <c r="AO512" s="287">
        <v>0.55193525422485512</v>
      </c>
      <c r="AP512" s="287">
        <v>0.55193525422485512</v>
      </c>
      <c r="AQ512" s="287">
        <v>0.55193525422485512</v>
      </c>
      <c r="AR512" s="287">
        <v>0.55193525422485512</v>
      </c>
      <c r="AS512" s="287">
        <v>0.55193525422485512</v>
      </c>
      <c r="AT512" s="287">
        <v>0.55193525422485512</v>
      </c>
      <c r="AU512" s="287">
        <v>0.55193525422485512</v>
      </c>
      <c r="AV512" s="287">
        <v>0.55193789344891897</v>
      </c>
      <c r="AW512" s="287">
        <v>0.55193525422485512</v>
      </c>
      <c r="AX512" s="287">
        <v>0.55193525422485512</v>
      </c>
      <c r="AY512" s="287">
        <v>0.55193525422485512</v>
      </c>
      <c r="AZ512" s="287">
        <v>0.55193525422485512</v>
      </c>
      <c r="BA512" s="287">
        <v>0.55193525422485512</v>
      </c>
      <c r="BB512" s="287">
        <v>0.55193525422485512</v>
      </c>
      <c r="BC512" s="287">
        <v>0.55193525422485512</v>
      </c>
      <c r="BD512" s="288">
        <v>0.55193525422485512</v>
      </c>
    </row>
    <row r="513" spans="1:56" s="3" customFormat="1" ht="18" customHeight="1" x14ac:dyDescent="0.2">
      <c r="A513" s="39">
        <v>-736</v>
      </c>
      <c r="B513" s="276">
        <v>1.3291587901701301E-3</v>
      </c>
      <c r="C513" s="303">
        <v>735.99933542060501</v>
      </c>
      <c r="E513" s="140">
        <v>49</v>
      </c>
      <c r="F513" s="39">
        <v>0</v>
      </c>
      <c r="G513" s="302"/>
      <c r="H513" s="39">
        <v>25</v>
      </c>
      <c r="I513" s="286">
        <v>0.55193525422485512</v>
      </c>
      <c r="J513" s="287">
        <v>0.55193525422485512</v>
      </c>
      <c r="K513" s="287">
        <v>0.55193789344891897</v>
      </c>
      <c r="L513" s="287">
        <v>0.55193525422485512</v>
      </c>
      <c r="M513" s="287">
        <v>0.55193525422485512</v>
      </c>
      <c r="N513" s="287">
        <v>0.55193525422485512</v>
      </c>
      <c r="O513" s="287">
        <v>0.55193789344891897</v>
      </c>
      <c r="P513" s="287">
        <v>0.55193525422485512</v>
      </c>
      <c r="Q513" s="287">
        <v>0.55193525422485512</v>
      </c>
      <c r="R513" s="287">
        <v>0.55193525422485512</v>
      </c>
      <c r="S513" s="287">
        <v>0.55193525422485512</v>
      </c>
      <c r="T513" s="287">
        <v>0.55193789344891897</v>
      </c>
      <c r="U513" s="287">
        <v>0.55193525422485512</v>
      </c>
      <c r="V513" s="287">
        <v>0.55193525422485512</v>
      </c>
      <c r="W513" s="287">
        <v>0.55193525422485512</v>
      </c>
      <c r="X513" s="287">
        <v>0.55193525422485512</v>
      </c>
      <c r="Y513" s="287">
        <v>0.55193525422485512</v>
      </c>
      <c r="Z513" s="287">
        <v>0.55193789344891897</v>
      </c>
      <c r="AA513" s="287">
        <v>0.55193525422485512</v>
      </c>
      <c r="AB513" s="287">
        <v>0.55193525422485512</v>
      </c>
      <c r="AC513" s="287">
        <v>0.55193525422485512</v>
      </c>
      <c r="AD513" s="287">
        <v>0.55193525422485512</v>
      </c>
      <c r="AE513" s="287">
        <v>0.71860192089152097</v>
      </c>
      <c r="AF513" s="287">
        <v>0.71860192089152097</v>
      </c>
      <c r="AG513" s="287">
        <v>0.88527122678225212</v>
      </c>
      <c r="AH513" s="287">
        <v>0.71860192089152097</v>
      </c>
      <c r="AI513" s="287">
        <v>0.71860192089152097</v>
      </c>
      <c r="AJ513" s="287">
        <v>0.71860192089152097</v>
      </c>
      <c r="AK513" s="287">
        <v>0.55193525422485512</v>
      </c>
      <c r="AL513" s="287">
        <v>0.55193525422485512</v>
      </c>
      <c r="AM513" s="287">
        <v>0.55193525422485512</v>
      </c>
      <c r="AN513" s="287">
        <v>0.55193789344891897</v>
      </c>
      <c r="AO513" s="287">
        <v>0.55193525422485512</v>
      </c>
      <c r="AP513" s="287">
        <v>0.55193525422485512</v>
      </c>
      <c r="AQ513" s="287">
        <v>0.55193525422485512</v>
      </c>
      <c r="AR513" s="287">
        <v>0.55193525422485512</v>
      </c>
      <c r="AS513" s="287">
        <v>0.55193525422485512</v>
      </c>
      <c r="AT513" s="287">
        <v>0.55193525422485512</v>
      </c>
      <c r="AU513" s="287">
        <v>0.55193525422485512</v>
      </c>
      <c r="AV513" s="287">
        <v>0.55193525422485512</v>
      </c>
      <c r="AW513" s="287">
        <v>0.55193789344891897</v>
      </c>
      <c r="AX513" s="287">
        <v>0.55193525422485512</v>
      </c>
      <c r="AY513" s="287">
        <v>0.55193525422485512</v>
      </c>
      <c r="AZ513" s="287">
        <v>0.55193789344891897</v>
      </c>
      <c r="BA513" s="287">
        <v>0.55193789344891897</v>
      </c>
      <c r="BB513" s="287">
        <v>0.55193525422485512</v>
      </c>
      <c r="BC513" s="287">
        <v>0.55193525422485512</v>
      </c>
      <c r="BD513" s="288">
        <v>0.55193789344891897</v>
      </c>
    </row>
    <row r="514" spans="1:56" s="3" customFormat="1" ht="18" customHeight="1" x14ac:dyDescent="0.2">
      <c r="A514" s="39">
        <v>-736</v>
      </c>
      <c r="B514" s="276">
        <v>2.2152646502835501E-4</v>
      </c>
      <c r="C514" s="303">
        <v>735.99988923676699</v>
      </c>
      <c r="E514" s="140">
        <v>50</v>
      </c>
      <c r="F514" s="39">
        <v>0</v>
      </c>
      <c r="G514" s="302"/>
      <c r="H514" s="39">
        <v>26</v>
      </c>
      <c r="I514" s="286">
        <v>0.55193525422485512</v>
      </c>
      <c r="J514" s="287">
        <v>0.55193525422485512</v>
      </c>
      <c r="K514" s="287">
        <v>0.55193525422485512</v>
      </c>
      <c r="L514" s="287">
        <v>0.55193789344891897</v>
      </c>
      <c r="M514" s="287">
        <v>0.55193525422485512</v>
      </c>
      <c r="N514" s="287">
        <v>0.55193525422485512</v>
      </c>
      <c r="O514" s="287">
        <v>0.55193525422485512</v>
      </c>
      <c r="P514" s="287">
        <v>0.55193525422485512</v>
      </c>
      <c r="Q514" s="287">
        <v>0.55193525422485512</v>
      </c>
      <c r="R514" s="287">
        <v>0.55193525422485512</v>
      </c>
      <c r="S514" s="287">
        <v>0.55193525422485512</v>
      </c>
      <c r="T514" s="287">
        <v>0.55193525422485512</v>
      </c>
      <c r="U514" s="287">
        <v>0.55193789344891897</v>
      </c>
      <c r="V514" s="287">
        <v>0.55193525422485512</v>
      </c>
      <c r="W514" s="287">
        <v>0.55193525422485512</v>
      </c>
      <c r="X514" s="287">
        <v>0.55193525422485512</v>
      </c>
      <c r="Y514" s="287">
        <v>0.55193525422485512</v>
      </c>
      <c r="Z514" s="287">
        <v>0.55193525422485512</v>
      </c>
      <c r="AA514" s="287">
        <v>0.55193525422485512</v>
      </c>
      <c r="AB514" s="287">
        <v>0.55193789344891897</v>
      </c>
      <c r="AC514" s="287">
        <v>0.55193525422485512</v>
      </c>
      <c r="AD514" s="287">
        <v>0.55193525422485512</v>
      </c>
      <c r="AE514" s="287">
        <v>0.71860192089152097</v>
      </c>
      <c r="AF514" s="287">
        <v>0.71860192089152097</v>
      </c>
      <c r="AG514" s="287">
        <v>0.71860192089152097</v>
      </c>
      <c r="AH514" s="287">
        <v>0.88527122678225212</v>
      </c>
      <c r="AI514" s="287">
        <v>0.71860192089152097</v>
      </c>
      <c r="AJ514" s="287">
        <v>0.71860192089152097</v>
      </c>
      <c r="AK514" s="287">
        <v>0.55193525422485512</v>
      </c>
      <c r="AL514" s="287">
        <v>0.55193525422485512</v>
      </c>
      <c r="AM514" s="287">
        <v>0.55193525422485512</v>
      </c>
      <c r="AN514" s="287">
        <v>0.55193525422485512</v>
      </c>
      <c r="AO514" s="287">
        <v>0.55193525422485512</v>
      </c>
      <c r="AP514" s="287">
        <v>0.55193789344891897</v>
      </c>
      <c r="AQ514" s="287">
        <v>0.55193525422485512</v>
      </c>
      <c r="AR514" s="287">
        <v>0.55193525422485512</v>
      </c>
      <c r="AS514" s="287">
        <v>0.55193525422485512</v>
      </c>
      <c r="AT514" s="287">
        <v>0.55193525422485512</v>
      </c>
      <c r="AU514" s="287">
        <v>0.55193525422485512</v>
      </c>
      <c r="AV514" s="287">
        <v>0.55193525422485512</v>
      </c>
      <c r="AW514" s="287">
        <v>0.55193525422485512</v>
      </c>
      <c r="AX514" s="287">
        <v>0.55193525422485512</v>
      </c>
      <c r="AY514" s="287">
        <v>0.55193525422485512</v>
      </c>
      <c r="AZ514" s="287">
        <v>0.55193525422485512</v>
      </c>
      <c r="BA514" s="287">
        <v>0.55193525422485512</v>
      </c>
      <c r="BB514" s="287">
        <v>0.55193525422485512</v>
      </c>
      <c r="BC514" s="287">
        <v>0.55193525422485512</v>
      </c>
      <c r="BD514" s="288">
        <v>0.55193525422485512</v>
      </c>
    </row>
    <row r="515" spans="1:56" s="3" customFormat="1" ht="18" customHeight="1" x14ac:dyDescent="0.2">
      <c r="A515" s="39">
        <v>-736</v>
      </c>
      <c r="B515" s="276">
        <v>6.64579395085066E-4</v>
      </c>
      <c r="C515" s="303">
        <v>735.99966771030199</v>
      </c>
      <c r="E515" s="140">
        <v>51</v>
      </c>
      <c r="F515" s="39">
        <v>0</v>
      </c>
      <c r="G515" s="302"/>
      <c r="H515" s="39">
        <v>27</v>
      </c>
      <c r="I515" s="286">
        <v>0.55193525422485512</v>
      </c>
      <c r="J515" s="287">
        <v>0.55193525422485512</v>
      </c>
      <c r="K515" s="287">
        <v>0.55193525422485512</v>
      </c>
      <c r="L515" s="287">
        <v>0.55193525422485512</v>
      </c>
      <c r="M515" s="287">
        <v>0.55193789344891897</v>
      </c>
      <c r="N515" s="287">
        <v>0.55193525422485512</v>
      </c>
      <c r="O515" s="287">
        <v>0.55193525422485512</v>
      </c>
      <c r="P515" s="287">
        <v>0.55193789344891897</v>
      </c>
      <c r="Q515" s="287">
        <v>0.55193525422485512</v>
      </c>
      <c r="R515" s="287">
        <v>0.55193525422485512</v>
      </c>
      <c r="S515" s="287">
        <v>0.55193525422485512</v>
      </c>
      <c r="T515" s="287">
        <v>0.55193525422485512</v>
      </c>
      <c r="U515" s="287">
        <v>0.55193525422485512</v>
      </c>
      <c r="V515" s="287">
        <v>0.55193789344891897</v>
      </c>
      <c r="W515" s="287">
        <v>0.55193525422485512</v>
      </c>
      <c r="X515" s="287">
        <v>0.55193525422485512</v>
      </c>
      <c r="Y515" s="287">
        <v>0.55193525422485512</v>
      </c>
      <c r="Z515" s="287">
        <v>0.55193525422485512</v>
      </c>
      <c r="AA515" s="287">
        <v>0.55193525422485512</v>
      </c>
      <c r="AB515" s="287">
        <v>0.55193525422485512</v>
      </c>
      <c r="AC515" s="287">
        <v>0.55193789344891897</v>
      </c>
      <c r="AD515" s="287">
        <v>0.55193525422485512</v>
      </c>
      <c r="AE515" s="287">
        <v>0.71860192089152097</v>
      </c>
      <c r="AF515" s="287">
        <v>0.71860192089152097</v>
      </c>
      <c r="AG515" s="287">
        <v>0.71860192089152097</v>
      </c>
      <c r="AH515" s="287">
        <v>0.71860192089152097</v>
      </c>
      <c r="AI515" s="287">
        <v>0.88527122678225212</v>
      </c>
      <c r="AJ515" s="287">
        <v>0.71860192089152097</v>
      </c>
      <c r="AK515" s="287">
        <v>0.55193525422485512</v>
      </c>
      <c r="AL515" s="287">
        <v>0.55193525422485512</v>
      </c>
      <c r="AM515" s="287">
        <v>0.55193525422485512</v>
      </c>
      <c r="AN515" s="287">
        <v>0.55193525422485512</v>
      </c>
      <c r="AO515" s="287">
        <v>0.55193525422485512</v>
      </c>
      <c r="AP515" s="287">
        <v>0.55193525422485512</v>
      </c>
      <c r="AQ515" s="287">
        <v>0.55193789344891897</v>
      </c>
      <c r="AR515" s="287">
        <v>0.55193525422485512</v>
      </c>
      <c r="AS515" s="287">
        <v>0.55193525422485512</v>
      </c>
      <c r="AT515" s="287">
        <v>0.55193525422485512</v>
      </c>
      <c r="AU515" s="287">
        <v>0.55193525422485512</v>
      </c>
      <c r="AV515" s="287">
        <v>0.55193525422485512</v>
      </c>
      <c r="AW515" s="287">
        <v>0.55193525422485512</v>
      </c>
      <c r="AX515" s="287">
        <v>0.55193789344891897</v>
      </c>
      <c r="AY515" s="287">
        <v>0.55193525422485512</v>
      </c>
      <c r="AZ515" s="287">
        <v>0.55193525422485512</v>
      </c>
      <c r="BA515" s="287">
        <v>0.55193525422485512</v>
      </c>
      <c r="BB515" s="287">
        <v>0.55193789344891897</v>
      </c>
      <c r="BC515" s="287">
        <v>0.55193525422485512</v>
      </c>
      <c r="BD515" s="288">
        <v>0.55193525422485512</v>
      </c>
    </row>
    <row r="516" spans="1:56" s="3" customFormat="1" ht="18" customHeight="1" x14ac:dyDescent="0.2">
      <c r="A516" s="39">
        <v>-736</v>
      </c>
      <c r="B516" s="276">
        <v>4.4305293005671099E-4</v>
      </c>
      <c r="C516" s="303">
        <v>735.999778473535</v>
      </c>
      <c r="E516" s="140">
        <v>52</v>
      </c>
      <c r="F516" s="39">
        <v>0</v>
      </c>
      <c r="G516" s="302"/>
      <c r="H516" s="39">
        <v>28</v>
      </c>
      <c r="I516" s="286">
        <v>0.55193525422485512</v>
      </c>
      <c r="J516" s="287">
        <v>0.55193525422485512</v>
      </c>
      <c r="K516" s="287">
        <v>0.55193525422485512</v>
      </c>
      <c r="L516" s="287">
        <v>0.55193525422485512</v>
      </c>
      <c r="M516" s="287">
        <v>0.55193525422485512</v>
      </c>
      <c r="N516" s="287">
        <v>0.55193789344891897</v>
      </c>
      <c r="O516" s="287">
        <v>0.55193525422485512</v>
      </c>
      <c r="P516" s="287">
        <v>0.55193525422485512</v>
      </c>
      <c r="Q516" s="287">
        <v>0.55193789344891897</v>
      </c>
      <c r="R516" s="287">
        <v>0.55193525422485512</v>
      </c>
      <c r="S516" s="287">
        <v>0.55193525422485512</v>
      </c>
      <c r="T516" s="287">
        <v>0.55193525422485512</v>
      </c>
      <c r="U516" s="287">
        <v>0.55193525422485512</v>
      </c>
      <c r="V516" s="287">
        <v>0.55193525422485512</v>
      </c>
      <c r="W516" s="287">
        <v>0.55193789344891897</v>
      </c>
      <c r="X516" s="287">
        <v>0.55193525422485512</v>
      </c>
      <c r="Y516" s="287">
        <v>0.55193525422485512</v>
      </c>
      <c r="Z516" s="287">
        <v>0.55193525422485512</v>
      </c>
      <c r="AA516" s="287">
        <v>0.55193525422485512</v>
      </c>
      <c r="AB516" s="287">
        <v>0.55193525422485512</v>
      </c>
      <c r="AC516" s="287">
        <v>0.55193525422485512</v>
      </c>
      <c r="AD516" s="287">
        <v>0.55193789344891897</v>
      </c>
      <c r="AE516" s="287">
        <v>0.71860192089152097</v>
      </c>
      <c r="AF516" s="287">
        <v>0.71860192089152097</v>
      </c>
      <c r="AG516" s="287">
        <v>0.71860192089152097</v>
      </c>
      <c r="AH516" s="287">
        <v>0.71860192089152097</v>
      </c>
      <c r="AI516" s="287">
        <v>0.71860192089152097</v>
      </c>
      <c r="AJ516" s="287">
        <v>0.88527122678225212</v>
      </c>
      <c r="AK516" s="287">
        <v>0.55193525422485512</v>
      </c>
      <c r="AL516" s="287">
        <v>0.55193525422485512</v>
      </c>
      <c r="AM516" s="287">
        <v>0.55193525422485512</v>
      </c>
      <c r="AN516" s="287">
        <v>0.55193525422485512</v>
      </c>
      <c r="AO516" s="287">
        <v>0.55193525422485512</v>
      </c>
      <c r="AP516" s="287">
        <v>0.55193525422485512</v>
      </c>
      <c r="AQ516" s="287">
        <v>0.55193525422485512</v>
      </c>
      <c r="AR516" s="287">
        <v>0.55193525422485512</v>
      </c>
      <c r="AS516" s="287">
        <v>0.55193789344891897</v>
      </c>
      <c r="AT516" s="287">
        <v>0.55193525422485512</v>
      </c>
      <c r="AU516" s="287">
        <v>0.55193525422485512</v>
      </c>
      <c r="AV516" s="287">
        <v>0.55193525422485512</v>
      </c>
      <c r="AW516" s="287">
        <v>0.55193525422485512</v>
      </c>
      <c r="AX516" s="287">
        <v>0.55193525422485512</v>
      </c>
      <c r="AY516" s="287">
        <v>0.55193789344891897</v>
      </c>
      <c r="AZ516" s="287">
        <v>0.55193525422485512</v>
      </c>
      <c r="BA516" s="287">
        <v>0.55193525422485512</v>
      </c>
      <c r="BB516" s="287">
        <v>0.55193525422485512</v>
      </c>
      <c r="BC516" s="287">
        <v>0.55193789344891897</v>
      </c>
      <c r="BD516" s="288">
        <v>0.55193525422485512</v>
      </c>
    </row>
    <row r="517" spans="1:56" s="3" customFormat="1" ht="18" customHeight="1" x14ac:dyDescent="0.2">
      <c r="A517" s="39">
        <v>-736</v>
      </c>
      <c r="B517" s="276">
        <v>3.3967391304347798E-4</v>
      </c>
      <c r="C517" s="303">
        <v>735.99983016304304</v>
      </c>
      <c r="E517" s="140">
        <v>53</v>
      </c>
      <c r="F517" s="39">
        <v>0</v>
      </c>
      <c r="G517" s="302"/>
      <c r="H517" s="39">
        <v>29</v>
      </c>
      <c r="I517" s="286">
        <v>0.55193789344891897</v>
      </c>
      <c r="J517" s="287">
        <v>0.55193525422485512</v>
      </c>
      <c r="K517" s="287">
        <v>0.55193525422485512</v>
      </c>
      <c r="L517" s="287">
        <v>0.55193525422485512</v>
      </c>
      <c r="M517" s="287">
        <v>0.55193525422485512</v>
      </c>
      <c r="N517" s="287">
        <v>0.55193525422485512</v>
      </c>
      <c r="O517" s="287">
        <v>0.55193525422485512</v>
      </c>
      <c r="P517" s="287">
        <v>0.55193525422485512</v>
      </c>
      <c r="Q517" s="287">
        <v>0.55193525422485512</v>
      </c>
      <c r="R517" s="287">
        <v>0.55193789344891897</v>
      </c>
      <c r="S517" s="287">
        <v>0.55193525422485512</v>
      </c>
      <c r="T517" s="287">
        <v>0.55193525422485512</v>
      </c>
      <c r="U517" s="287">
        <v>0.55193525422485512</v>
      </c>
      <c r="V517" s="287">
        <v>0.55193525422485512</v>
      </c>
      <c r="W517" s="287">
        <v>0.55193525422485512</v>
      </c>
      <c r="X517" s="287">
        <v>0.55193789344891897</v>
      </c>
      <c r="Y517" s="287">
        <v>0.55193525422485512</v>
      </c>
      <c r="Z517" s="287">
        <v>0.55193525422485512</v>
      </c>
      <c r="AA517" s="287">
        <v>0.55193525422485512</v>
      </c>
      <c r="AB517" s="287">
        <v>0.55193525422485512</v>
      </c>
      <c r="AC517" s="287">
        <v>0.55193525422485512</v>
      </c>
      <c r="AD517" s="287">
        <v>0.55193525422485512</v>
      </c>
      <c r="AE517" s="287">
        <v>0.55193789344891897</v>
      </c>
      <c r="AF517" s="287">
        <v>0.55193525422485512</v>
      </c>
      <c r="AG517" s="287">
        <v>0.55193525422485512</v>
      </c>
      <c r="AH517" s="287">
        <v>0.55193525422485512</v>
      </c>
      <c r="AI517" s="287">
        <v>0.55193525422485512</v>
      </c>
      <c r="AJ517" s="287">
        <v>0.55193525422485512</v>
      </c>
      <c r="AK517" s="287">
        <v>0.62886097037199606</v>
      </c>
      <c r="AL517" s="287">
        <v>0.590396792686393</v>
      </c>
      <c r="AM517" s="287">
        <v>0.590396792686393</v>
      </c>
      <c r="AN517" s="287">
        <v>0.590396792686393</v>
      </c>
      <c r="AO517" s="287">
        <v>0.590396792686393</v>
      </c>
      <c r="AP517" s="287">
        <v>0.590396792686393</v>
      </c>
      <c r="AQ517" s="287">
        <v>0.590396792686393</v>
      </c>
      <c r="AR517" s="287">
        <v>0.590396792686393</v>
      </c>
      <c r="AS517" s="287">
        <v>0.590396792686393</v>
      </c>
      <c r="AT517" s="287">
        <v>0.590396792686393</v>
      </c>
      <c r="AU517" s="287">
        <v>0.55193789344891897</v>
      </c>
      <c r="AV517" s="287">
        <v>0.55193525422485512</v>
      </c>
      <c r="AW517" s="287">
        <v>0.55193525422485512</v>
      </c>
      <c r="AX517" s="287">
        <v>0.55193525422485512</v>
      </c>
      <c r="AY517" s="287">
        <v>0.55193525422485512</v>
      </c>
      <c r="AZ517" s="287">
        <v>0.55193525422485512</v>
      </c>
      <c r="BA517" s="287">
        <v>0.55193525422485512</v>
      </c>
      <c r="BB517" s="287">
        <v>0.55193525422485512</v>
      </c>
      <c r="BC517" s="287">
        <v>0.55193525422485512</v>
      </c>
      <c r="BD517" s="288">
        <v>0.55193525422485512</v>
      </c>
    </row>
    <row r="518" spans="1:56" s="3" customFormat="1" ht="18" customHeight="1" x14ac:dyDescent="0.2">
      <c r="A518" s="39">
        <v>-736</v>
      </c>
      <c r="B518" s="276">
        <v>6.94116257088847E-4</v>
      </c>
      <c r="C518" s="303">
        <v>735.99965294187098</v>
      </c>
      <c r="E518" s="140">
        <v>54</v>
      </c>
      <c r="F518" s="39">
        <v>0</v>
      </c>
      <c r="G518" s="302"/>
      <c r="H518" s="39">
        <v>30</v>
      </c>
      <c r="I518" s="286">
        <v>0.55193525422485512</v>
      </c>
      <c r="J518" s="287">
        <v>0.55193789344891897</v>
      </c>
      <c r="K518" s="287">
        <v>0.55193525422485512</v>
      </c>
      <c r="L518" s="287">
        <v>0.55193525422485512</v>
      </c>
      <c r="M518" s="287">
        <v>0.55193525422485512</v>
      </c>
      <c r="N518" s="287">
        <v>0.55193525422485512</v>
      </c>
      <c r="O518" s="287">
        <v>0.55193525422485512</v>
      </c>
      <c r="P518" s="287">
        <v>0.55193525422485512</v>
      </c>
      <c r="Q518" s="287">
        <v>0.55193525422485512</v>
      </c>
      <c r="R518" s="287">
        <v>0.55193525422485512</v>
      </c>
      <c r="S518" s="287">
        <v>0.55193789344891897</v>
      </c>
      <c r="T518" s="287">
        <v>0.55193525422485512</v>
      </c>
      <c r="U518" s="287">
        <v>0.55193525422485512</v>
      </c>
      <c r="V518" s="287">
        <v>0.55193525422485512</v>
      </c>
      <c r="W518" s="287">
        <v>0.55193525422485512</v>
      </c>
      <c r="X518" s="287">
        <v>0.55193525422485512</v>
      </c>
      <c r="Y518" s="287">
        <v>0.55193789344891897</v>
      </c>
      <c r="Z518" s="287">
        <v>0.55193525422485512</v>
      </c>
      <c r="AA518" s="287">
        <v>0.55193525422485512</v>
      </c>
      <c r="AB518" s="287">
        <v>0.55193525422485512</v>
      </c>
      <c r="AC518" s="287">
        <v>0.55193525422485512</v>
      </c>
      <c r="AD518" s="287">
        <v>0.55193525422485512</v>
      </c>
      <c r="AE518" s="287">
        <v>0.55193525422485512</v>
      </c>
      <c r="AF518" s="287">
        <v>0.55193789344891897</v>
      </c>
      <c r="AG518" s="287">
        <v>0.55193525422485512</v>
      </c>
      <c r="AH518" s="287">
        <v>0.55193525422485512</v>
      </c>
      <c r="AI518" s="287">
        <v>0.55193525422485512</v>
      </c>
      <c r="AJ518" s="287">
        <v>0.55193525422485512</v>
      </c>
      <c r="AK518" s="287">
        <v>0.590396792686393</v>
      </c>
      <c r="AL518" s="287">
        <v>0.62886097037199606</v>
      </c>
      <c r="AM518" s="287">
        <v>0.590396792686393</v>
      </c>
      <c r="AN518" s="287">
        <v>0.590396792686393</v>
      </c>
      <c r="AO518" s="287">
        <v>0.590396792686393</v>
      </c>
      <c r="AP518" s="287">
        <v>0.590396792686393</v>
      </c>
      <c r="AQ518" s="287">
        <v>0.590396792686393</v>
      </c>
      <c r="AR518" s="287">
        <v>0.590396792686393</v>
      </c>
      <c r="AS518" s="287">
        <v>0.590396792686393</v>
      </c>
      <c r="AT518" s="287">
        <v>0.590396792686393</v>
      </c>
      <c r="AU518" s="287">
        <v>0.55193525422485512</v>
      </c>
      <c r="AV518" s="287">
        <v>0.55193789344891897</v>
      </c>
      <c r="AW518" s="287">
        <v>0.55193525422485512</v>
      </c>
      <c r="AX518" s="287">
        <v>0.55193525422485512</v>
      </c>
      <c r="AY518" s="287">
        <v>0.55193525422485512</v>
      </c>
      <c r="AZ518" s="287">
        <v>0.55193525422485512</v>
      </c>
      <c r="BA518" s="287">
        <v>0.55193525422485512</v>
      </c>
      <c r="BB518" s="287">
        <v>0.55193525422485512</v>
      </c>
      <c r="BC518" s="287">
        <v>0.55193525422485512</v>
      </c>
      <c r="BD518" s="288">
        <v>0.55193525422485512</v>
      </c>
    </row>
    <row r="519" spans="1:56" s="3" customFormat="1" ht="18" customHeight="1" x14ac:dyDescent="0.2">
      <c r="A519" s="39">
        <v>-736</v>
      </c>
      <c r="B519" s="276">
        <v>2.9536862003780702E-4</v>
      </c>
      <c r="C519" s="303">
        <v>735.99985231568996</v>
      </c>
      <c r="E519" s="140">
        <v>55</v>
      </c>
      <c r="F519" s="39">
        <v>0</v>
      </c>
      <c r="G519" s="302"/>
      <c r="H519" s="39">
        <v>31</v>
      </c>
      <c r="I519" s="286">
        <v>0.55193525422485512</v>
      </c>
      <c r="J519" s="287">
        <v>0.55193525422485512</v>
      </c>
      <c r="K519" s="287">
        <v>0.55193525422485512</v>
      </c>
      <c r="L519" s="287">
        <v>0.55193525422485512</v>
      </c>
      <c r="M519" s="287">
        <v>0.55193525422485512</v>
      </c>
      <c r="N519" s="287">
        <v>0.55193525422485512</v>
      </c>
      <c r="O519" s="287">
        <v>0.55193525422485512</v>
      </c>
      <c r="P519" s="287">
        <v>0.55193525422485512</v>
      </c>
      <c r="Q519" s="287">
        <v>0.55193525422485512</v>
      </c>
      <c r="R519" s="287">
        <v>0.55193525422485512</v>
      </c>
      <c r="S519" s="287">
        <v>0.55193525422485512</v>
      </c>
      <c r="T519" s="287">
        <v>0.55193525422485512</v>
      </c>
      <c r="U519" s="287">
        <v>0.55193525422485512</v>
      </c>
      <c r="V519" s="287">
        <v>0.55193525422485512</v>
      </c>
      <c r="W519" s="287">
        <v>0.55193525422485512</v>
      </c>
      <c r="X519" s="287">
        <v>0.55193525422485512</v>
      </c>
      <c r="Y519" s="287">
        <v>0.55193525422485512</v>
      </c>
      <c r="Z519" s="287">
        <v>0.55193525422485512</v>
      </c>
      <c r="AA519" s="287">
        <v>0.55193525422485512</v>
      </c>
      <c r="AB519" s="287">
        <v>0.55193525422485512</v>
      </c>
      <c r="AC519" s="287">
        <v>0.55193525422485512</v>
      </c>
      <c r="AD519" s="287">
        <v>0.55193525422485512</v>
      </c>
      <c r="AE519" s="287">
        <v>0.55193525422485512</v>
      </c>
      <c r="AF519" s="287">
        <v>0.55193525422485512</v>
      </c>
      <c r="AG519" s="287">
        <v>0.55193525422485512</v>
      </c>
      <c r="AH519" s="287">
        <v>0.55193525422485512</v>
      </c>
      <c r="AI519" s="287">
        <v>0.55193525422485512</v>
      </c>
      <c r="AJ519" s="287">
        <v>0.55193525422485512</v>
      </c>
      <c r="AK519" s="287">
        <v>0.590396792686393</v>
      </c>
      <c r="AL519" s="287">
        <v>0.590396792686393</v>
      </c>
      <c r="AM519" s="287">
        <v>0.62886097037199606</v>
      </c>
      <c r="AN519" s="287">
        <v>0.590396792686393</v>
      </c>
      <c r="AO519" s="287">
        <v>0.590396792686393</v>
      </c>
      <c r="AP519" s="287">
        <v>0.590396792686393</v>
      </c>
      <c r="AQ519" s="287">
        <v>0.590396792686393</v>
      </c>
      <c r="AR519" s="287">
        <v>0.590396792686393</v>
      </c>
      <c r="AS519" s="287">
        <v>0.590396792686393</v>
      </c>
      <c r="AT519" s="287">
        <v>0.590396792686393</v>
      </c>
      <c r="AU519" s="287">
        <v>0.55193525422485512</v>
      </c>
      <c r="AV519" s="287">
        <v>0.55193525422485512</v>
      </c>
      <c r="AW519" s="287">
        <v>0.55193525422485512</v>
      </c>
      <c r="AX519" s="287">
        <v>0.55193525422485512</v>
      </c>
      <c r="AY519" s="287">
        <v>0.55193525422485512</v>
      </c>
      <c r="AZ519" s="287">
        <v>0.55193525422485512</v>
      </c>
      <c r="BA519" s="287">
        <v>0.55193525422485512</v>
      </c>
      <c r="BB519" s="287">
        <v>0.55193525422485512</v>
      </c>
      <c r="BC519" s="287">
        <v>0.55193525422485512</v>
      </c>
      <c r="BD519" s="288">
        <v>0.55193525422485512</v>
      </c>
    </row>
    <row r="520" spans="1:56" s="3" customFormat="1" ht="18" customHeight="1" x14ac:dyDescent="0.2">
      <c r="A520" s="39">
        <v>-736</v>
      </c>
      <c r="B520" s="276">
        <v>1.3291587901701301E-3</v>
      </c>
      <c r="C520" s="303">
        <v>735.99933542060501</v>
      </c>
      <c r="E520" s="140">
        <v>56</v>
      </c>
      <c r="F520" s="39">
        <v>0</v>
      </c>
      <c r="G520" s="302"/>
      <c r="H520" s="39">
        <v>32</v>
      </c>
      <c r="I520" s="286">
        <v>0.55193525422485512</v>
      </c>
      <c r="J520" s="287">
        <v>0.55193525422485512</v>
      </c>
      <c r="K520" s="287">
        <v>0.55193789344891897</v>
      </c>
      <c r="L520" s="287">
        <v>0.55193525422485512</v>
      </c>
      <c r="M520" s="287">
        <v>0.55193525422485512</v>
      </c>
      <c r="N520" s="287">
        <v>0.55193525422485512</v>
      </c>
      <c r="O520" s="287">
        <v>0.55193789344891897</v>
      </c>
      <c r="P520" s="287">
        <v>0.55193525422485512</v>
      </c>
      <c r="Q520" s="287">
        <v>0.55193525422485512</v>
      </c>
      <c r="R520" s="287">
        <v>0.55193525422485512</v>
      </c>
      <c r="S520" s="287">
        <v>0.55193525422485512</v>
      </c>
      <c r="T520" s="287">
        <v>0.55193789344891897</v>
      </c>
      <c r="U520" s="287">
        <v>0.55193525422485512</v>
      </c>
      <c r="V520" s="287">
        <v>0.55193525422485512</v>
      </c>
      <c r="W520" s="287">
        <v>0.55193525422485512</v>
      </c>
      <c r="X520" s="287">
        <v>0.55193525422485512</v>
      </c>
      <c r="Y520" s="287">
        <v>0.55193525422485512</v>
      </c>
      <c r="Z520" s="287">
        <v>0.55193789344891897</v>
      </c>
      <c r="AA520" s="287">
        <v>0.55193525422485512</v>
      </c>
      <c r="AB520" s="287">
        <v>0.55193525422485512</v>
      </c>
      <c r="AC520" s="287">
        <v>0.55193525422485512</v>
      </c>
      <c r="AD520" s="287">
        <v>0.55193525422485512</v>
      </c>
      <c r="AE520" s="287">
        <v>0.55193525422485512</v>
      </c>
      <c r="AF520" s="287">
        <v>0.55193525422485512</v>
      </c>
      <c r="AG520" s="287">
        <v>0.55193789344891897</v>
      </c>
      <c r="AH520" s="287">
        <v>0.55193525422485512</v>
      </c>
      <c r="AI520" s="287">
        <v>0.55193525422485512</v>
      </c>
      <c r="AJ520" s="287">
        <v>0.55193525422485512</v>
      </c>
      <c r="AK520" s="287">
        <v>0.590396792686393</v>
      </c>
      <c r="AL520" s="287">
        <v>0.590396792686393</v>
      </c>
      <c r="AM520" s="287">
        <v>0.590396792686393</v>
      </c>
      <c r="AN520" s="287">
        <v>0.62886097037199606</v>
      </c>
      <c r="AO520" s="287">
        <v>0.590396792686393</v>
      </c>
      <c r="AP520" s="287">
        <v>0.590396792686393</v>
      </c>
      <c r="AQ520" s="287">
        <v>0.590396792686393</v>
      </c>
      <c r="AR520" s="287">
        <v>0.590396792686393</v>
      </c>
      <c r="AS520" s="287">
        <v>0.590396792686393</v>
      </c>
      <c r="AT520" s="287">
        <v>0.590396792686393</v>
      </c>
      <c r="AU520" s="287">
        <v>0.55193525422485512</v>
      </c>
      <c r="AV520" s="287">
        <v>0.55193525422485512</v>
      </c>
      <c r="AW520" s="287">
        <v>0.55193789344891897</v>
      </c>
      <c r="AX520" s="287">
        <v>0.55193525422485512</v>
      </c>
      <c r="AY520" s="287">
        <v>0.55193525422485512</v>
      </c>
      <c r="AZ520" s="287">
        <v>0.55193789344891897</v>
      </c>
      <c r="BA520" s="287">
        <v>0.55193789344891897</v>
      </c>
      <c r="BB520" s="287">
        <v>0.55193525422485512</v>
      </c>
      <c r="BC520" s="287">
        <v>0.55193525422485512</v>
      </c>
      <c r="BD520" s="288">
        <v>0.55193789344891897</v>
      </c>
    </row>
    <row r="521" spans="1:56" s="3" customFormat="1" ht="18" customHeight="1" x14ac:dyDescent="0.2">
      <c r="A521" s="39">
        <v>-736</v>
      </c>
      <c r="B521" s="276">
        <v>2.2152646502835501E-4</v>
      </c>
      <c r="C521" s="303">
        <v>735.99988923676699</v>
      </c>
      <c r="E521" s="140">
        <v>57</v>
      </c>
      <c r="F521" s="39">
        <v>0</v>
      </c>
      <c r="G521" s="302"/>
      <c r="H521" s="39">
        <v>33</v>
      </c>
      <c r="I521" s="286">
        <v>0.55193525422485512</v>
      </c>
      <c r="J521" s="287">
        <v>0.55193525422485512</v>
      </c>
      <c r="K521" s="287">
        <v>0.55193525422485512</v>
      </c>
      <c r="L521" s="287">
        <v>0.55193525422485512</v>
      </c>
      <c r="M521" s="287">
        <v>0.55193525422485512</v>
      </c>
      <c r="N521" s="287">
        <v>0.55193525422485512</v>
      </c>
      <c r="O521" s="287">
        <v>0.55193525422485512</v>
      </c>
      <c r="P521" s="287">
        <v>0.55193525422485512</v>
      </c>
      <c r="Q521" s="287">
        <v>0.55193525422485512</v>
      </c>
      <c r="R521" s="287">
        <v>0.55193525422485512</v>
      </c>
      <c r="S521" s="287">
        <v>0.55193525422485512</v>
      </c>
      <c r="T521" s="287">
        <v>0.55193525422485512</v>
      </c>
      <c r="U521" s="287">
        <v>0.55193525422485512</v>
      </c>
      <c r="V521" s="287">
        <v>0.55193525422485512</v>
      </c>
      <c r="W521" s="287">
        <v>0.55193525422485512</v>
      </c>
      <c r="X521" s="287">
        <v>0.55193525422485512</v>
      </c>
      <c r="Y521" s="287">
        <v>0.55193525422485512</v>
      </c>
      <c r="Z521" s="287">
        <v>0.55193525422485512</v>
      </c>
      <c r="AA521" s="287">
        <v>0.55193789344891897</v>
      </c>
      <c r="AB521" s="287">
        <v>0.55193525422485512</v>
      </c>
      <c r="AC521" s="287">
        <v>0.55193525422485512</v>
      </c>
      <c r="AD521" s="287">
        <v>0.55193525422485512</v>
      </c>
      <c r="AE521" s="287">
        <v>0.55193525422485512</v>
      </c>
      <c r="AF521" s="287">
        <v>0.55193525422485512</v>
      </c>
      <c r="AG521" s="287">
        <v>0.55193525422485512</v>
      </c>
      <c r="AH521" s="287">
        <v>0.55193525422485512</v>
      </c>
      <c r="AI521" s="287">
        <v>0.55193525422485512</v>
      </c>
      <c r="AJ521" s="287">
        <v>0.55193525422485512</v>
      </c>
      <c r="AK521" s="287">
        <v>0.590396792686393</v>
      </c>
      <c r="AL521" s="287">
        <v>0.590396792686393</v>
      </c>
      <c r="AM521" s="287">
        <v>0.590396792686393</v>
      </c>
      <c r="AN521" s="287">
        <v>0.590396792686393</v>
      </c>
      <c r="AO521" s="287">
        <v>0.62886097037199606</v>
      </c>
      <c r="AP521" s="287">
        <v>0.590396792686393</v>
      </c>
      <c r="AQ521" s="287">
        <v>0.590396792686393</v>
      </c>
      <c r="AR521" s="287">
        <v>0.590396792686393</v>
      </c>
      <c r="AS521" s="287">
        <v>0.590396792686393</v>
      </c>
      <c r="AT521" s="287">
        <v>0.590396792686393</v>
      </c>
      <c r="AU521" s="287">
        <v>0.55193525422485512</v>
      </c>
      <c r="AV521" s="287">
        <v>0.55193525422485512</v>
      </c>
      <c r="AW521" s="287">
        <v>0.55193525422485512</v>
      </c>
      <c r="AX521" s="287">
        <v>0.55193525422485512</v>
      </c>
      <c r="AY521" s="287">
        <v>0.55193525422485512</v>
      </c>
      <c r="AZ521" s="287">
        <v>0.55193525422485512</v>
      </c>
      <c r="BA521" s="287">
        <v>0.55193525422485512</v>
      </c>
      <c r="BB521" s="287">
        <v>0.55193525422485512</v>
      </c>
      <c r="BC521" s="287">
        <v>0.55193525422485512</v>
      </c>
      <c r="BD521" s="288">
        <v>0.55193525422485512</v>
      </c>
    </row>
    <row r="522" spans="1:56" s="3" customFormat="1" ht="18" customHeight="1" x14ac:dyDescent="0.2">
      <c r="A522" s="39">
        <v>-736</v>
      </c>
      <c r="B522" s="276">
        <v>6.64579395085066E-4</v>
      </c>
      <c r="C522" s="303">
        <v>735.99966771030199</v>
      </c>
      <c r="E522" s="140">
        <v>58</v>
      </c>
      <c r="F522" s="39">
        <v>0</v>
      </c>
      <c r="G522" s="302"/>
      <c r="H522" s="39">
        <v>34</v>
      </c>
      <c r="I522" s="286">
        <v>0.55193525422485512</v>
      </c>
      <c r="J522" s="287">
        <v>0.55193525422485512</v>
      </c>
      <c r="K522" s="287">
        <v>0.55193525422485512</v>
      </c>
      <c r="L522" s="287">
        <v>0.55193789344891897</v>
      </c>
      <c r="M522" s="287">
        <v>0.55193525422485512</v>
      </c>
      <c r="N522" s="287">
        <v>0.55193525422485512</v>
      </c>
      <c r="O522" s="287">
        <v>0.55193525422485512</v>
      </c>
      <c r="P522" s="287">
        <v>0.55193525422485512</v>
      </c>
      <c r="Q522" s="287">
        <v>0.55193525422485512</v>
      </c>
      <c r="R522" s="287">
        <v>0.55193525422485512</v>
      </c>
      <c r="S522" s="287">
        <v>0.55193525422485512</v>
      </c>
      <c r="T522" s="287">
        <v>0.55193525422485512</v>
      </c>
      <c r="U522" s="287">
        <v>0.55193789344891897</v>
      </c>
      <c r="V522" s="287">
        <v>0.55193525422485512</v>
      </c>
      <c r="W522" s="287">
        <v>0.55193525422485512</v>
      </c>
      <c r="X522" s="287">
        <v>0.55193525422485512</v>
      </c>
      <c r="Y522" s="287">
        <v>0.55193525422485512</v>
      </c>
      <c r="Z522" s="287">
        <v>0.55193525422485512</v>
      </c>
      <c r="AA522" s="287">
        <v>0.55193525422485512</v>
      </c>
      <c r="AB522" s="287">
        <v>0.55193789344891897</v>
      </c>
      <c r="AC522" s="287">
        <v>0.55193525422485512</v>
      </c>
      <c r="AD522" s="287">
        <v>0.55193525422485512</v>
      </c>
      <c r="AE522" s="287">
        <v>0.55193525422485512</v>
      </c>
      <c r="AF522" s="287">
        <v>0.55193525422485512</v>
      </c>
      <c r="AG522" s="287">
        <v>0.55193525422485512</v>
      </c>
      <c r="AH522" s="287">
        <v>0.55193789344891897</v>
      </c>
      <c r="AI522" s="287">
        <v>0.55193525422485512</v>
      </c>
      <c r="AJ522" s="287">
        <v>0.55193525422485512</v>
      </c>
      <c r="AK522" s="287">
        <v>0.590396792686393</v>
      </c>
      <c r="AL522" s="287">
        <v>0.590396792686393</v>
      </c>
      <c r="AM522" s="287">
        <v>0.590396792686393</v>
      </c>
      <c r="AN522" s="287">
        <v>0.590396792686393</v>
      </c>
      <c r="AO522" s="287">
        <v>0.590396792686393</v>
      </c>
      <c r="AP522" s="287">
        <v>0.62886097037199606</v>
      </c>
      <c r="AQ522" s="287">
        <v>0.590396792686393</v>
      </c>
      <c r="AR522" s="287">
        <v>0.590396792686393</v>
      </c>
      <c r="AS522" s="287">
        <v>0.590396792686393</v>
      </c>
      <c r="AT522" s="287">
        <v>0.590396792686393</v>
      </c>
      <c r="AU522" s="287">
        <v>0.55193525422485512</v>
      </c>
      <c r="AV522" s="287">
        <v>0.55193525422485512</v>
      </c>
      <c r="AW522" s="287">
        <v>0.55193525422485512</v>
      </c>
      <c r="AX522" s="287">
        <v>0.55193525422485512</v>
      </c>
      <c r="AY522" s="287">
        <v>0.55193525422485512</v>
      </c>
      <c r="AZ522" s="287">
        <v>0.55193525422485512</v>
      </c>
      <c r="BA522" s="287">
        <v>0.55193525422485512</v>
      </c>
      <c r="BB522" s="287">
        <v>0.55193525422485512</v>
      </c>
      <c r="BC522" s="287">
        <v>0.55193525422485512</v>
      </c>
      <c r="BD522" s="288">
        <v>0.55193525422485512</v>
      </c>
    </row>
    <row r="523" spans="1:56" s="3" customFormat="1" ht="18" customHeight="1" x14ac:dyDescent="0.2">
      <c r="A523" s="39">
        <v>-736</v>
      </c>
      <c r="B523" s="276">
        <v>4.4305293005671099E-4</v>
      </c>
      <c r="C523" s="303">
        <v>735.999778473535</v>
      </c>
      <c r="E523" s="140">
        <v>59</v>
      </c>
      <c r="F523" s="39">
        <v>0</v>
      </c>
      <c r="G523" s="302"/>
      <c r="H523" s="39">
        <v>35</v>
      </c>
      <c r="I523" s="286">
        <v>0.55193525422485512</v>
      </c>
      <c r="J523" s="287">
        <v>0.55193525422485512</v>
      </c>
      <c r="K523" s="287">
        <v>0.55193525422485512</v>
      </c>
      <c r="L523" s="287">
        <v>0.55193525422485512</v>
      </c>
      <c r="M523" s="287">
        <v>0.55193789344891897</v>
      </c>
      <c r="N523" s="287">
        <v>0.55193525422485512</v>
      </c>
      <c r="O523" s="287">
        <v>0.55193525422485512</v>
      </c>
      <c r="P523" s="287">
        <v>0.55193789344891897</v>
      </c>
      <c r="Q523" s="287">
        <v>0.55193525422485512</v>
      </c>
      <c r="R523" s="287">
        <v>0.55193525422485512</v>
      </c>
      <c r="S523" s="287">
        <v>0.55193525422485512</v>
      </c>
      <c r="T523" s="287">
        <v>0.55193525422485512</v>
      </c>
      <c r="U523" s="287">
        <v>0.55193525422485512</v>
      </c>
      <c r="V523" s="287">
        <v>0.55193789344891897</v>
      </c>
      <c r="W523" s="287">
        <v>0.55193525422485512</v>
      </c>
      <c r="X523" s="287">
        <v>0.55193525422485512</v>
      </c>
      <c r="Y523" s="287">
        <v>0.55193525422485512</v>
      </c>
      <c r="Z523" s="287">
        <v>0.55193525422485512</v>
      </c>
      <c r="AA523" s="287">
        <v>0.55193525422485512</v>
      </c>
      <c r="AB523" s="287">
        <v>0.55193525422485512</v>
      </c>
      <c r="AC523" s="287">
        <v>0.55193789344891897</v>
      </c>
      <c r="AD523" s="287">
        <v>0.55193525422485512</v>
      </c>
      <c r="AE523" s="287">
        <v>0.55193525422485512</v>
      </c>
      <c r="AF523" s="287">
        <v>0.55193525422485512</v>
      </c>
      <c r="AG523" s="287">
        <v>0.55193525422485512</v>
      </c>
      <c r="AH523" s="287">
        <v>0.55193525422485512</v>
      </c>
      <c r="AI523" s="287">
        <v>0.55193789344891897</v>
      </c>
      <c r="AJ523" s="287">
        <v>0.55193525422485512</v>
      </c>
      <c r="AK523" s="287">
        <v>0.590396792686393</v>
      </c>
      <c r="AL523" s="287">
        <v>0.590396792686393</v>
      </c>
      <c r="AM523" s="287">
        <v>0.590396792686393</v>
      </c>
      <c r="AN523" s="287">
        <v>0.590396792686393</v>
      </c>
      <c r="AO523" s="287">
        <v>0.590396792686393</v>
      </c>
      <c r="AP523" s="287">
        <v>0.590396792686393</v>
      </c>
      <c r="AQ523" s="287">
        <v>0.62886097037199606</v>
      </c>
      <c r="AR523" s="287">
        <v>0.590396792686393</v>
      </c>
      <c r="AS523" s="287">
        <v>0.590396792686393</v>
      </c>
      <c r="AT523" s="287">
        <v>0.590396792686393</v>
      </c>
      <c r="AU523" s="287">
        <v>0.55193525422485512</v>
      </c>
      <c r="AV523" s="287">
        <v>0.55193525422485512</v>
      </c>
      <c r="AW523" s="287">
        <v>0.55193525422485512</v>
      </c>
      <c r="AX523" s="287">
        <v>0.55193789344891897</v>
      </c>
      <c r="AY523" s="287">
        <v>0.55193525422485512</v>
      </c>
      <c r="AZ523" s="287">
        <v>0.55193525422485512</v>
      </c>
      <c r="BA523" s="287">
        <v>0.55193525422485512</v>
      </c>
      <c r="BB523" s="287">
        <v>0.55193789344891897</v>
      </c>
      <c r="BC523" s="287">
        <v>0.55193525422485512</v>
      </c>
      <c r="BD523" s="288">
        <v>0.55193525422485512</v>
      </c>
    </row>
    <row r="524" spans="1:56" s="3" customFormat="1" ht="18" customHeight="1" x14ac:dyDescent="0.2">
      <c r="A524" s="39">
        <v>-736</v>
      </c>
      <c r="B524" s="276">
        <v>6.94116257088847E-4</v>
      </c>
      <c r="C524" s="303">
        <v>735.99965294187098</v>
      </c>
      <c r="E524" s="140">
        <v>60</v>
      </c>
      <c r="F524" s="39">
        <v>0</v>
      </c>
      <c r="G524" s="302"/>
      <c r="H524" s="39">
        <v>36</v>
      </c>
      <c r="I524" s="286">
        <v>0.55193525422485512</v>
      </c>
      <c r="J524" s="287">
        <v>0.55193525422485512</v>
      </c>
      <c r="K524" s="287">
        <v>0.55193525422485512</v>
      </c>
      <c r="L524" s="287">
        <v>0.55193525422485512</v>
      </c>
      <c r="M524" s="287">
        <v>0.55193525422485512</v>
      </c>
      <c r="N524" s="287">
        <v>0.55193525422485512</v>
      </c>
      <c r="O524" s="287">
        <v>0.55193525422485512</v>
      </c>
      <c r="P524" s="287">
        <v>0.55193525422485512</v>
      </c>
      <c r="Q524" s="287">
        <v>0.55193525422485512</v>
      </c>
      <c r="R524" s="287">
        <v>0.55193525422485512</v>
      </c>
      <c r="S524" s="287">
        <v>0.55193525422485512</v>
      </c>
      <c r="T524" s="287">
        <v>0.55193525422485512</v>
      </c>
      <c r="U524" s="287">
        <v>0.55193525422485512</v>
      </c>
      <c r="V524" s="287">
        <v>0.55193525422485512</v>
      </c>
      <c r="W524" s="287">
        <v>0.55193525422485512</v>
      </c>
      <c r="X524" s="287">
        <v>0.55193525422485512</v>
      </c>
      <c r="Y524" s="287">
        <v>0.55193525422485512</v>
      </c>
      <c r="Z524" s="287">
        <v>0.55193525422485512</v>
      </c>
      <c r="AA524" s="287">
        <v>0.55193525422485512</v>
      </c>
      <c r="AB524" s="287">
        <v>0.55193525422485512</v>
      </c>
      <c r="AC524" s="287">
        <v>0.55193525422485512</v>
      </c>
      <c r="AD524" s="287">
        <v>0.55193525422485512</v>
      </c>
      <c r="AE524" s="287">
        <v>0.55193525422485512</v>
      </c>
      <c r="AF524" s="287">
        <v>0.55193525422485512</v>
      </c>
      <c r="AG524" s="287">
        <v>0.55193525422485512</v>
      </c>
      <c r="AH524" s="287">
        <v>0.55193525422485512</v>
      </c>
      <c r="AI524" s="287">
        <v>0.55193525422485512</v>
      </c>
      <c r="AJ524" s="287">
        <v>0.55193525422485512</v>
      </c>
      <c r="AK524" s="287">
        <v>0.590396792686393</v>
      </c>
      <c r="AL524" s="287">
        <v>0.590396792686393</v>
      </c>
      <c r="AM524" s="287">
        <v>0.590396792686393</v>
      </c>
      <c r="AN524" s="287">
        <v>0.590396792686393</v>
      </c>
      <c r="AO524" s="287">
        <v>0.590396792686393</v>
      </c>
      <c r="AP524" s="287">
        <v>0.590396792686393</v>
      </c>
      <c r="AQ524" s="287">
        <v>0.590396792686393</v>
      </c>
      <c r="AR524" s="287">
        <v>0.62886097037199606</v>
      </c>
      <c r="AS524" s="287">
        <v>0.590396792686393</v>
      </c>
      <c r="AT524" s="287">
        <v>0.590396792686393</v>
      </c>
      <c r="AU524" s="287">
        <v>0.55193525422485512</v>
      </c>
      <c r="AV524" s="287">
        <v>0.55193525422485512</v>
      </c>
      <c r="AW524" s="287">
        <v>0.55193525422485512</v>
      </c>
      <c r="AX524" s="287">
        <v>0.55193525422485512</v>
      </c>
      <c r="AY524" s="287">
        <v>0.55193525422485512</v>
      </c>
      <c r="AZ524" s="287">
        <v>0.55193525422485512</v>
      </c>
      <c r="BA524" s="287">
        <v>0.55193525422485512</v>
      </c>
      <c r="BB524" s="287">
        <v>0.55193525422485512</v>
      </c>
      <c r="BC524" s="287">
        <v>0.55193525422485512</v>
      </c>
      <c r="BD524" s="288">
        <v>0.55193525422485512</v>
      </c>
    </row>
    <row r="525" spans="1:56" s="3" customFormat="1" ht="18" customHeight="1" x14ac:dyDescent="0.2">
      <c r="A525" s="39">
        <v>-736</v>
      </c>
      <c r="B525" s="276">
        <v>2.9536862003780702E-4</v>
      </c>
      <c r="C525" s="303">
        <v>735.99985231568996</v>
      </c>
      <c r="E525" s="140">
        <v>61</v>
      </c>
      <c r="F525" s="39">
        <v>0</v>
      </c>
      <c r="G525" s="302"/>
      <c r="H525" s="39">
        <v>37</v>
      </c>
      <c r="I525" s="286">
        <v>0.55193525422485512</v>
      </c>
      <c r="J525" s="287">
        <v>0.55193525422485512</v>
      </c>
      <c r="K525" s="287">
        <v>0.55193525422485512</v>
      </c>
      <c r="L525" s="287">
        <v>0.55193525422485512</v>
      </c>
      <c r="M525" s="287">
        <v>0.55193525422485512</v>
      </c>
      <c r="N525" s="287">
        <v>0.55193789344891897</v>
      </c>
      <c r="O525" s="287">
        <v>0.55193525422485512</v>
      </c>
      <c r="P525" s="287">
        <v>0.55193525422485512</v>
      </c>
      <c r="Q525" s="287">
        <v>0.55193789344891897</v>
      </c>
      <c r="R525" s="287">
        <v>0.55193525422485512</v>
      </c>
      <c r="S525" s="287">
        <v>0.55193525422485512</v>
      </c>
      <c r="T525" s="287">
        <v>0.55193525422485512</v>
      </c>
      <c r="U525" s="287">
        <v>0.55193525422485512</v>
      </c>
      <c r="V525" s="287">
        <v>0.55193525422485512</v>
      </c>
      <c r="W525" s="287">
        <v>0.55193789344891897</v>
      </c>
      <c r="X525" s="287">
        <v>0.55193525422485512</v>
      </c>
      <c r="Y525" s="287">
        <v>0.55193525422485512</v>
      </c>
      <c r="Z525" s="287">
        <v>0.55193525422485512</v>
      </c>
      <c r="AA525" s="287">
        <v>0.55193525422485512</v>
      </c>
      <c r="AB525" s="287">
        <v>0.55193525422485512</v>
      </c>
      <c r="AC525" s="287">
        <v>0.55193525422485512</v>
      </c>
      <c r="AD525" s="287">
        <v>0.55193789344891897</v>
      </c>
      <c r="AE525" s="287">
        <v>0.55193525422485512</v>
      </c>
      <c r="AF525" s="287">
        <v>0.55193525422485512</v>
      </c>
      <c r="AG525" s="287">
        <v>0.55193525422485512</v>
      </c>
      <c r="AH525" s="287">
        <v>0.55193525422485512</v>
      </c>
      <c r="AI525" s="287">
        <v>0.55193525422485512</v>
      </c>
      <c r="AJ525" s="287">
        <v>0.55193789344891897</v>
      </c>
      <c r="AK525" s="287">
        <v>0.590396792686393</v>
      </c>
      <c r="AL525" s="287">
        <v>0.590396792686393</v>
      </c>
      <c r="AM525" s="287">
        <v>0.590396792686393</v>
      </c>
      <c r="AN525" s="287">
        <v>0.590396792686393</v>
      </c>
      <c r="AO525" s="287">
        <v>0.590396792686393</v>
      </c>
      <c r="AP525" s="287">
        <v>0.590396792686393</v>
      </c>
      <c r="AQ525" s="287">
        <v>0.590396792686393</v>
      </c>
      <c r="AR525" s="287">
        <v>0.590396792686393</v>
      </c>
      <c r="AS525" s="287">
        <v>0.62886097037199606</v>
      </c>
      <c r="AT525" s="287">
        <v>0.590396792686393</v>
      </c>
      <c r="AU525" s="287">
        <v>0.55193525422485512</v>
      </c>
      <c r="AV525" s="287">
        <v>0.55193525422485512</v>
      </c>
      <c r="AW525" s="287">
        <v>0.55193525422485512</v>
      </c>
      <c r="AX525" s="287">
        <v>0.55193525422485512</v>
      </c>
      <c r="AY525" s="287">
        <v>0.55193789344891897</v>
      </c>
      <c r="AZ525" s="287">
        <v>0.55193525422485512</v>
      </c>
      <c r="BA525" s="287">
        <v>0.55193525422485512</v>
      </c>
      <c r="BB525" s="287">
        <v>0.55193525422485512</v>
      </c>
      <c r="BC525" s="287">
        <v>0.55193789344891897</v>
      </c>
      <c r="BD525" s="288">
        <v>0.55193525422485512</v>
      </c>
    </row>
    <row r="526" spans="1:56" s="3" customFormat="1" ht="18" customHeight="1" x14ac:dyDescent="0.2">
      <c r="A526" s="39">
        <v>-736</v>
      </c>
      <c r="B526" s="276">
        <v>1.3291587901701301E-3</v>
      </c>
      <c r="C526" s="303">
        <v>735.99933542060501</v>
      </c>
      <c r="E526" s="140">
        <v>62</v>
      </c>
      <c r="F526" s="39">
        <v>0</v>
      </c>
      <c r="G526" s="302"/>
      <c r="H526" s="39">
        <v>38</v>
      </c>
      <c r="I526" s="286">
        <v>0.55193525422485512</v>
      </c>
      <c r="J526" s="287">
        <v>0.55193525422485512</v>
      </c>
      <c r="K526" s="287">
        <v>0.55193525422485512</v>
      </c>
      <c r="L526" s="287">
        <v>0.55193525422485512</v>
      </c>
      <c r="M526" s="287">
        <v>0.55193525422485512</v>
      </c>
      <c r="N526" s="287">
        <v>0.55193525422485512</v>
      </c>
      <c r="O526" s="287">
        <v>0.55193525422485512</v>
      </c>
      <c r="P526" s="287">
        <v>0.55193525422485512</v>
      </c>
      <c r="Q526" s="287">
        <v>0.55193525422485512</v>
      </c>
      <c r="R526" s="287">
        <v>0.55193525422485512</v>
      </c>
      <c r="S526" s="287">
        <v>0.55193525422485512</v>
      </c>
      <c r="T526" s="287">
        <v>0.55193525422485512</v>
      </c>
      <c r="U526" s="287">
        <v>0.55193525422485512</v>
      </c>
      <c r="V526" s="287">
        <v>0.55193525422485512</v>
      </c>
      <c r="W526" s="287">
        <v>0.55193525422485512</v>
      </c>
      <c r="X526" s="287">
        <v>0.55193525422485512</v>
      </c>
      <c r="Y526" s="287">
        <v>0.55193525422485512</v>
      </c>
      <c r="Z526" s="287">
        <v>0.55193525422485512</v>
      </c>
      <c r="AA526" s="287">
        <v>0.55193525422485512</v>
      </c>
      <c r="AB526" s="287">
        <v>0.55193525422485512</v>
      </c>
      <c r="AC526" s="287">
        <v>0.55193525422485512</v>
      </c>
      <c r="AD526" s="287">
        <v>0.55193525422485512</v>
      </c>
      <c r="AE526" s="287">
        <v>0.55193525422485512</v>
      </c>
      <c r="AF526" s="287">
        <v>0.55193525422485512</v>
      </c>
      <c r="AG526" s="287">
        <v>0.55193525422485512</v>
      </c>
      <c r="AH526" s="287">
        <v>0.55193525422485512</v>
      </c>
      <c r="AI526" s="287">
        <v>0.55193525422485512</v>
      </c>
      <c r="AJ526" s="287">
        <v>0.55193525422485512</v>
      </c>
      <c r="AK526" s="287">
        <v>0.590396792686393</v>
      </c>
      <c r="AL526" s="287">
        <v>0.590396792686393</v>
      </c>
      <c r="AM526" s="287">
        <v>0.590396792686393</v>
      </c>
      <c r="AN526" s="287">
        <v>0.590396792686393</v>
      </c>
      <c r="AO526" s="287">
        <v>0.590396792686393</v>
      </c>
      <c r="AP526" s="287">
        <v>0.590396792686393</v>
      </c>
      <c r="AQ526" s="287">
        <v>0.590396792686393</v>
      </c>
      <c r="AR526" s="287">
        <v>0.590396792686393</v>
      </c>
      <c r="AS526" s="287">
        <v>0.590396792686393</v>
      </c>
      <c r="AT526" s="287">
        <v>0.62886097037199606</v>
      </c>
      <c r="AU526" s="287">
        <v>0.55193525422485512</v>
      </c>
      <c r="AV526" s="287">
        <v>0.55193525422485512</v>
      </c>
      <c r="AW526" s="287">
        <v>0.55193525422485512</v>
      </c>
      <c r="AX526" s="287">
        <v>0.55193525422485512</v>
      </c>
      <c r="AY526" s="287">
        <v>0.55193525422485512</v>
      </c>
      <c r="AZ526" s="287">
        <v>0.55193525422485512</v>
      </c>
      <c r="BA526" s="287">
        <v>0.55193525422485512</v>
      </c>
      <c r="BB526" s="287">
        <v>0.55193525422485512</v>
      </c>
      <c r="BC526" s="287">
        <v>0.55193525422485512</v>
      </c>
      <c r="BD526" s="288">
        <v>0.55193525422485512</v>
      </c>
    </row>
    <row r="527" spans="1:56" s="3" customFormat="1" ht="18" customHeight="1" x14ac:dyDescent="0.2">
      <c r="A527" s="39">
        <v>-736</v>
      </c>
      <c r="B527" s="276">
        <v>2.2152646502835501E-4</v>
      </c>
      <c r="C527" s="303">
        <v>735.99988923676699</v>
      </c>
      <c r="E527" s="140">
        <v>63</v>
      </c>
      <c r="F527" s="39">
        <v>0</v>
      </c>
      <c r="G527" s="302"/>
      <c r="H527" s="39">
        <v>39</v>
      </c>
      <c r="I527" s="286">
        <v>0.55193789344891897</v>
      </c>
      <c r="J527" s="287">
        <v>0.55193525422485512</v>
      </c>
      <c r="K527" s="287">
        <v>0.55193525422485512</v>
      </c>
      <c r="L527" s="287">
        <v>0.55193525422485512</v>
      </c>
      <c r="M527" s="287">
        <v>0.55193525422485512</v>
      </c>
      <c r="N527" s="287">
        <v>0.55193525422485512</v>
      </c>
      <c r="O527" s="287">
        <v>0.55193525422485512</v>
      </c>
      <c r="P527" s="287">
        <v>0.55193525422485512</v>
      </c>
      <c r="Q527" s="287">
        <v>0.55193525422485512</v>
      </c>
      <c r="R527" s="287">
        <v>0.55193789344891897</v>
      </c>
      <c r="S527" s="287">
        <v>0.55193525422485512</v>
      </c>
      <c r="T527" s="287">
        <v>0.55193525422485512</v>
      </c>
      <c r="U527" s="287">
        <v>0.55193525422485512</v>
      </c>
      <c r="V527" s="287">
        <v>0.55193525422485512</v>
      </c>
      <c r="W527" s="287">
        <v>0.55193525422485512</v>
      </c>
      <c r="X527" s="287">
        <v>0.55193789344891897</v>
      </c>
      <c r="Y527" s="287">
        <v>0.55193525422485512</v>
      </c>
      <c r="Z527" s="287">
        <v>0.55193525422485512</v>
      </c>
      <c r="AA527" s="287">
        <v>0.55193525422485512</v>
      </c>
      <c r="AB527" s="287">
        <v>0.55193525422485512</v>
      </c>
      <c r="AC527" s="287">
        <v>0.55193525422485512</v>
      </c>
      <c r="AD527" s="287">
        <v>0.55193525422485512</v>
      </c>
      <c r="AE527" s="287">
        <v>0.55193789344891897</v>
      </c>
      <c r="AF527" s="287">
        <v>0.55193525422485512</v>
      </c>
      <c r="AG527" s="287">
        <v>0.55193525422485512</v>
      </c>
      <c r="AH527" s="287">
        <v>0.55193525422485512</v>
      </c>
      <c r="AI527" s="287">
        <v>0.55193525422485512</v>
      </c>
      <c r="AJ527" s="287">
        <v>0.55193525422485512</v>
      </c>
      <c r="AK527" s="287">
        <v>0.55193789344891897</v>
      </c>
      <c r="AL527" s="287">
        <v>0.55193525422485512</v>
      </c>
      <c r="AM527" s="287">
        <v>0.55193525422485512</v>
      </c>
      <c r="AN527" s="287">
        <v>0.55193525422485512</v>
      </c>
      <c r="AO527" s="287">
        <v>0.55193525422485512</v>
      </c>
      <c r="AP527" s="287">
        <v>0.55193525422485512</v>
      </c>
      <c r="AQ527" s="287">
        <v>0.55193525422485512</v>
      </c>
      <c r="AR527" s="287">
        <v>0.55193525422485512</v>
      </c>
      <c r="AS527" s="287">
        <v>0.55193525422485512</v>
      </c>
      <c r="AT527" s="287">
        <v>0.55193525422485512</v>
      </c>
      <c r="AU527" s="287">
        <v>1.5519378934489201</v>
      </c>
      <c r="AV527" s="287">
        <v>1.0519352542248499</v>
      </c>
      <c r="AW527" s="287">
        <v>1.0519352542248499</v>
      </c>
      <c r="AX527" s="287">
        <v>1.0519352542248499</v>
      </c>
      <c r="AY527" s="287">
        <v>1.0519352542248499</v>
      </c>
      <c r="AZ527" s="287">
        <v>0.55193525422485512</v>
      </c>
      <c r="BA527" s="287">
        <v>0.55193525422485512</v>
      </c>
      <c r="BB527" s="287">
        <v>0.55193525422485512</v>
      </c>
      <c r="BC527" s="287">
        <v>0.55193525422485512</v>
      </c>
      <c r="BD527" s="288">
        <v>0.55193525422485512</v>
      </c>
    </row>
    <row r="528" spans="1:56" s="3" customFormat="1" ht="18" customHeight="1" x14ac:dyDescent="0.2">
      <c r="A528" s="39">
        <v>-736</v>
      </c>
      <c r="B528" s="276">
        <v>6.64579395085066E-4</v>
      </c>
      <c r="C528" s="303">
        <v>735.99966771030199</v>
      </c>
      <c r="E528" s="140">
        <v>64</v>
      </c>
      <c r="F528" s="39">
        <v>0</v>
      </c>
      <c r="G528" s="302"/>
      <c r="H528" s="39">
        <v>40</v>
      </c>
      <c r="I528" s="286">
        <v>0.55193525422485512</v>
      </c>
      <c r="J528" s="287">
        <v>0.55193789344891897</v>
      </c>
      <c r="K528" s="287">
        <v>0.55193525422485512</v>
      </c>
      <c r="L528" s="287">
        <v>0.55193525422485512</v>
      </c>
      <c r="M528" s="287">
        <v>0.55193525422485512</v>
      </c>
      <c r="N528" s="287">
        <v>0.55193525422485512</v>
      </c>
      <c r="O528" s="287">
        <v>0.55193525422485512</v>
      </c>
      <c r="P528" s="287">
        <v>0.55193525422485512</v>
      </c>
      <c r="Q528" s="287">
        <v>0.55193525422485512</v>
      </c>
      <c r="R528" s="287">
        <v>0.55193525422485512</v>
      </c>
      <c r="S528" s="287">
        <v>0.55193789344891897</v>
      </c>
      <c r="T528" s="287">
        <v>0.55193525422485512</v>
      </c>
      <c r="U528" s="287">
        <v>0.55193525422485512</v>
      </c>
      <c r="V528" s="287">
        <v>0.55193525422485512</v>
      </c>
      <c r="W528" s="287">
        <v>0.55193525422485512</v>
      </c>
      <c r="X528" s="287">
        <v>0.55193525422485512</v>
      </c>
      <c r="Y528" s="287">
        <v>0.55193789344891897</v>
      </c>
      <c r="Z528" s="287">
        <v>0.55193525422485512</v>
      </c>
      <c r="AA528" s="287">
        <v>0.55193525422485512</v>
      </c>
      <c r="AB528" s="287">
        <v>0.55193525422485512</v>
      </c>
      <c r="AC528" s="287">
        <v>0.55193525422485512</v>
      </c>
      <c r="AD528" s="287">
        <v>0.55193525422485512</v>
      </c>
      <c r="AE528" s="287">
        <v>0.55193525422485512</v>
      </c>
      <c r="AF528" s="287">
        <v>0.55193789344891897</v>
      </c>
      <c r="AG528" s="287">
        <v>0.55193525422485512</v>
      </c>
      <c r="AH528" s="287">
        <v>0.55193525422485512</v>
      </c>
      <c r="AI528" s="287">
        <v>0.55193525422485512</v>
      </c>
      <c r="AJ528" s="287">
        <v>0.55193525422485512</v>
      </c>
      <c r="AK528" s="287">
        <v>0.55193525422485512</v>
      </c>
      <c r="AL528" s="287">
        <v>0.55193789344891897</v>
      </c>
      <c r="AM528" s="287">
        <v>0.55193525422485512</v>
      </c>
      <c r="AN528" s="287">
        <v>0.55193525422485512</v>
      </c>
      <c r="AO528" s="287">
        <v>0.55193525422485512</v>
      </c>
      <c r="AP528" s="287">
        <v>0.55193525422485512</v>
      </c>
      <c r="AQ528" s="287">
        <v>0.55193525422485512</v>
      </c>
      <c r="AR528" s="287">
        <v>0.55193525422485512</v>
      </c>
      <c r="AS528" s="287">
        <v>0.55193525422485512</v>
      </c>
      <c r="AT528" s="287">
        <v>0.55193525422485512</v>
      </c>
      <c r="AU528" s="287">
        <v>1.0519352542248499</v>
      </c>
      <c r="AV528" s="287">
        <v>1.5519378934489201</v>
      </c>
      <c r="AW528" s="287">
        <v>1.0519352542248499</v>
      </c>
      <c r="AX528" s="287">
        <v>1.0519352542248499</v>
      </c>
      <c r="AY528" s="287">
        <v>1.0519352542248499</v>
      </c>
      <c r="AZ528" s="287">
        <v>0.55193525422485512</v>
      </c>
      <c r="BA528" s="287">
        <v>0.55193525422485512</v>
      </c>
      <c r="BB528" s="287">
        <v>0.55193525422485512</v>
      </c>
      <c r="BC528" s="287">
        <v>0.55193525422485512</v>
      </c>
      <c r="BD528" s="288">
        <v>0.55193525422485512</v>
      </c>
    </row>
    <row r="529" spans="1:56" s="3" customFormat="1" ht="18" customHeight="1" x14ac:dyDescent="0.2">
      <c r="A529" s="39">
        <v>-736</v>
      </c>
      <c r="B529" s="276">
        <v>5.6120037807183402E-4</v>
      </c>
      <c r="C529" s="303">
        <v>735.99971939981106</v>
      </c>
      <c r="E529" s="140">
        <v>65</v>
      </c>
      <c r="F529" s="39">
        <v>0</v>
      </c>
      <c r="G529" s="302"/>
      <c r="H529" s="39">
        <v>41</v>
      </c>
      <c r="I529" s="286">
        <v>0.55193525422485512</v>
      </c>
      <c r="J529" s="287">
        <v>0.55193525422485512</v>
      </c>
      <c r="K529" s="287">
        <v>0.55193789344891897</v>
      </c>
      <c r="L529" s="287">
        <v>0.55193525422485512</v>
      </c>
      <c r="M529" s="287">
        <v>0.55193525422485512</v>
      </c>
      <c r="N529" s="287">
        <v>0.55193525422485512</v>
      </c>
      <c r="O529" s="287">
        <v>0.55193789344891897</v>
      </c>
      <c r="P529" s="287">
        <v>0.55193525422485512</v>
      </c>
      <c r="Q529" s="287">
        <v>0.55193525422485512</v>
      </c>
      <c r="R529" s="287">
        <v>0.55193525422485512</v>
      </c>
      <c r="S529" s="287">
        <v>0.55193525422485512</v>
      </c>
      <c r="T529" s="287">
        <v>0.55193789344891897</v>
      </c>
      <c r="U529" s="287">
        <v>0.55193525422485512</v>
      </c>
      <c r="V529" s="287">
        <v>0.55193525422485512</v>
      </c>
      <c r="W529" s="287">
        <v>0.55193525422485512</v>
      </c>
      <c r="X529" s="287">
        <v>0.55193525422485512</v>
      </c>
      <c r="Y529" s="287">
        <v>0.55193525422485512</v>
      </c>
      <c r="Z529" s="287">
        <v>0.55193789344891897</v>
      </c>
      <c r="AA529" s="287">
        <v>0.55193525422485512</v>
      </c>
      <c r="AB529" s="287">
        <v>0.55193525422485512</v>
      </c>
      <c r="AC529" s="287">
        <v>0.55193525422485512</v>
      </c>
      <c r="AD529" s="287">
        <v>0.55193525422485512</v>
      </c>
      <c r="AE529" s="287">
        <v>0.55193525422485512</v>
      </c>
      <c r="AF529" s="287">
        <v>0.55193525422485512</v>
      </c>
      <c r="AG529" s="287">
        <v>0.55193789344891897</v>
      </c>
      <c r="AH529" s="287">
        <v>0.55193525422485512</v>
      </c>
      <c r="AI529" s="287">
        <v>0.55193525422485512</v>
      </c>
      <c r="AJ529" s="287">
        <v>0.55193525422485512</v>
      </c>
      <c r="AK529" s="287">
        <v>0.55193525422485512</v>
      </c>
      <c r="AL529" s="287">
        <v>0.55193525422485512</v>
      </c>
      <c r="AM529" s="287">
        <v>0.55193525422485512</v>
      </c>
      <c r="AN529" s="287">
        <v>0.55193789344891897</v>
      </c>
      <c r="AO529" s="287">
        <v>0.55193525422485512</v>
      </c>
      <c r="AP529" s="287">
        <v>0.55193525422485512</v>
      </c>
      <c r="AQ529" s="287">
        <v>0.55193525422485512</v>
      </c>
      <c r="AR529" s="287">
        <v>0.55193525422485512</v>
      </c>
      <c r="AS529" s="287">
        <v>0.55193525422485512</v>
      </c>
      <c r="AT529" s="287">
        <v>0.55193525422485512</v>
      </c>
      <c r="AU529" s="287">
        <v>1.0519352542248499</v>
      </c>
      <c r="AV529" s="287">
        <v>1.0519352542248499</v>
      </c>
      <c r="AW529" s="287">
        <v>1.5519378934489201</v>
      </c>
      <c r="AX529" s="287">
        <v>1.0519352542248499</v>
      </c>
      <c r="AY529" s="287">
        <v>1.0519352542248499</v>
      </c>
      <c r="AZ529" s="287">
        <v>0.55193789344891897</v>
      </c>
      <c r="BA529" s="287">
        <v>0.55193789344891897</v>
      </c>
      <c r="BB529" s="287">
        <v>0.55193525422485512</v>
      </c>
      <c r="BC529" s="287">
        <v>0.55193525422485512</v>
      </c>
      <c r="BD529" s="288">
        <v>0.55193789344891897</v>
      </c>
    </row>
    <row r="530" spans="1:56" s="3" customFormat="1" ht="18" customHeight="1" x14ac:dyDescent="0.2">
      <c r="A530" s="39">
        <v>-736</v>
      </c>
      <c r="B530" s="276">
        <v>4.4305293005671099E-4</v>
      </c>
      <c r="C530" s="303">
        <v>735.999778473535</v>
      </c>
      <c r="E530" s="140">
        <v>66</v>
      </c>
      <c r="F530" s="39">
        <v>0</v>
      </c>
      <c r="G530" s="302"/>
      <c r="H530" s="39">
        <v>42</v>
      </c>
      <c r="I530" s="286">
        <v>0.55193525422485512</v>
      </c>
      <c r="J530" s="287">
        <v>0.55193525422485512</v>
      </c>
      <c r="K530" s="287">
        <v>0.55193525422485512</v>
      </c>
      <c r="L530" s="287">
        <v>0.55193525422485512</v>
      </c>
      <c r="M530" s="287">
        <v>0.55193789344891897</v>
      </c>
      <c r="N530" s="287">
        <v>0.55193525422485512</v>
      </c>
      <c r="O530" s="287">
        <v>0.55193525422485512</v>
      </c>
      <c r="P530" s="287">
        <v>0.55193789344891897</v>
      </c>
      <c r="Q530" s="287">
        <v>0.55193525422485512</v>
      </c>
      <c r="R530" s="287">
        <v>0.55193525422485512</v>
      </c>
      <c r="S530" s="287">
        <v>0.55193525422485512</v>
      </c>
      <c r="T530" s="287">
        <v>0.55193525422485512</v>
      </c>
      <c r="U530" s="287">
        <v>0.55193525422485512</v>
      </c>
      <c r="V530" s="287">
        <v>0.55193789344891897</v>
      </c>
      <c r="W530" s="287">
        <v>0.55193525422485512</v>
      </c>
      <c r="X530" s="287">
        <v>0.55193525422485512</v>
      </c>
      <c r="Y530" s="287">
        <v>0.55193525422485512</v>
      </c>
      <c r="Z530" s="287">
        <v>0.55193525422485512</v>
      </c>
      <c r="AA530" s="287">
        <v>0.55193525422485512</v>
      </c>
      <c r="AB530" s="287">
        <v>0.55193525422485512</v>
      </c>
      <c r="AC530" s="287">
        <v>0.55193789344891897</v>
      </c>
      <c r="AD530" s="287">
        <v>0.55193525422485512</v>
      </c>
      <c r="AE530" s="287">
        <v>0.55193525422485512</v>
      </c>
      <c r="AF530" s="287">
        <v>0.55193525422485512</v>
      </c>
      <c r="AG530" s="287">
        <v>0.55193525422485512</v>
      </c>
      <c r="AH530" s="287">
        <v>0.55193525422485512</v>
      </c>
      <c r="AI530" s="287">
        <v>0.55193789344891897</v>
      </c>
      <c r="AJ530" s="287">
        <v>0.55193525422485512</v>
      </c>
      <c r="AK530" s="287">
        <v>0.55193525422485512</v>
      </c>
      <c r="AL530" s="287">
        <v>0.55193525422485512</v>
      </c>
      <c r="AM530" s="287">
        <v>0.55193525422485512</v>
      </c>
      <c r="AN530" s="287">
        <v>0.55193525422485512</v>
      </c>
      <c r="AO530" s="287">
        <v>0.55193525422485512</v>
      </c>
      <c r="AP530" s="287">
        <v>0.55193525422485512</v>
      </c>
      <c r="AQ530" s="287">
        <v>0.55193789344891897</v>
      </c>
      <c r="AR530" s="287">
        <v>0.55193525422485512</v>
      </c>
      <c r="AS530" s="287">
        <v>0.55193525422485512</v>
      </c>
      <c r="AT530" s="287">
        <v>0.55193525422485512</v>
      </c>
      <c r="AU530" s="287">
        <v>1.0519352542248499</v>
      </c>
      <c r="AV530" s="287">
        <v>1.0519352542248499</v>
      </c>
      <c r="AW530" s="287">
        <v>1.0519352542248499</v>
      </c>
      <c r="AX530" s="287">
        <v>1.5519378934489201</v>
      </c>
      <c r="AY530" s="287">
        <v>1.0519352542248499</v>
      </c>
      <c r="AZ530" s="287">
        <v>0.55193525422485512</v>
      </c>
      <c r="BA530" s="287">
        <v>0.55193525422485512</v>
      </c>
      <c r="BB530" s="287">
        <v>0.55193789344891897</v>
      </c>
      <c r="BC530" s="287">
        <v>0.55193525422485512</v>
      </c>
      <c r="BD530" s="288">
        <v>0.55193525422485512</v>
      </c>
    </row>
    <row r="531" spans="1:56" s="3" customFormat="1" ht="18" customHeight="1" x14ac:dyDescent="0.2">
      <c r="A531" s="39">
        <v>-736</v>
      </c>
      <c r="B531" s="276">
        <v>3.3967391304347798E-4</v>
      </c>
      <c r="C531" s="303">
        <v>735.99983016304304</v>
      </c>
      <c r="E531" s="140">
        <v>67</v>
      </c>
      <c r="F531" s="39">
        <v>0</v>
      </c>
      <c r="G531" s="302"/>
      <c r="H531" s="39">
        <v>43</v>
      </c>
      <c r="I531" s="286">
        <v>0.55193525422485512</v>
      </c>
      <c r="J531" s="287">
        <v>0.55193525422485512</v>
      </c>
      <c r="K531" s="287">
        <v>0.55193525422485512</v>
      </c>
      <c r="L531" s="287">
        <v>0.55193525422485512</v>
      </c>
      <c r="M531" s="287">
        <v>0.55193525422485512</v>
      </c>
      <c r="N531" s="287">
        <v>0.55193789344891897</v>
      </c>
      <c r="O531" s="287">
        <v>0.55193525422485512</v>
      </c>
      <c r="P531" s="287">
        <v>0.55193525422485512</v>
      </c>
      <c r="Q531" s="287">
        <v>0.55193789344891897</v>
      </c>
      <c r="R531" s="287">
        <v>0.55193525422485512</v>
      </c>
      <c r="S531" s="287">
        <v>0.55193525422485512</v>
      </c>
      <c r="T531" s="287">
        <v>0.55193525422485512</v>
      </c>
      <c r="U531" s="287">
        <v>0.55193525422485512</v>
      </c>
      <c r="V531" s="287">
        <v>0.55193525422485512</v>
      </c>
      <c r="W531" s="287">
        <v>0.55193789344891897</v>
      </c>
      <c r="X531" s="287">
        <v>0.55193525422485512</v>
      </c>
      <c r="Y531" s="287">
        <v>0.55193525422485512</v>
      </c>
      <c r="Z531" s="287">
        <v>0.55193525422485512</v>
      </c>
      <c r="AA531" s="287">
        <v>0.55193525422485512</v>
      </c>
      <c r="AB531" s="287">
        <v>0.55193525422485512</v>
      </c>
      <c r="AC531" s="287">
        <v>0.55193525422485512</v>
      </c>
      <c r="AD531" s="287">
        <v>0.55193789344891897</v>
      </c>
      <c r="AE531" s="287">
        <v>0.55193525422485512</v>
      </c>
      <c r="AF531" s="287">
        <v>0.55193525422485512</v>
      </c>
      <c r="AG531" s="287">
        <v>0.55193525422485512</v>
      </c>
      <c r="AH531" s="287">
        <v>0.55193525422485512</v>
      </c>
      <c r="AI531" s="287">
        <v>0.55193525422485512</v>
      </c>
      <c r="AJ531" s="287">
        <v>0.55193789344891897</v>
      </c>
      <c r="AK531" s="287">
        <v>0.55193525422485512</v>
      </c>
      <c r="AL531" s="287">
        <v>0.55193525422485512</v>
      </c>
      <c r="AM531" s="287">
        <v>0.55193525422485512</v>
      </c>
      <c r="AN531" s="287">
        <v>0.55193525422485512</v>
      </c>
      <c r="AO531" s="287">
        <v>0.55193525422485512</v>
      </c>
      <c r="AP531" s="287">
        <v>0.55193525422485512</v>
      </c>
      <c r="AQ531" s="287">
        <v>0.55193525422485512</v>
      </c>
      <c r="AR531" s="287">
        <v>0.55193525422485512</v>
      </c>
      <c r="AS531" s="287">
        <v>0.55193789344891897</v>
      </c>
      <c r="AT531" s="287">
        <v>0.55193525422485512</v>
      </c>
      <c r="AU531" s="287">
        <v>1.0519352542248499</v>
      </c>
      <c r="AV531" s="287">
        <v>1.0519352542248499</v>
      </c>
      <c r="AW531" s="287">
        <v>1.0519352542248499</v>
      </c>
      <c r="AX531" s="287">
        <v>1.0519352542248499</v>
      </c>
      <c r="AY531" s="287">
        <v>1.5519378934489201</v>
      </c>
      <c r="AZ531" s="287">
        <v>0.55193525422485512</v>
      </c>
      <c r="BA531" s="287">
        <v>0.55193525422485512</v>
      </c>
      <c r="BB531" s="287">
        <v>0.55193525422485512</v>
      </c>
      <c r="BC531" s="287">
        <v>0.55193789344891897</v>
      </c>
      <c r="BD531" s="288">
        <v>0.55193525422485512</v>
      </c>
    </row>
    <row r="532" spans="1:56" s="3" customFormat="1" ht="18" customHeight="1" x14ac:dyDescent="0.2">
      <c r="A532" s="39">
        <v>-736</v>
      </c>
      <c r="B532" s="276">
        <v>6.94116257088847E-4</v>
      </c>
      <c r="C532" s="303">
        <v>735.99965294187098</v>
      </c>
      <c r="E532" s="140">
        <v>68</v>
      </c>
      <c r="F532" s="39">
        <v>0</v>
      </c>
      <c r="G532" s="302"/>
      <c r="H532" s="39">
        <v>44</v>
      </c>
      <c r="I532" s="286">
        <v>0.55193525422485512</v>
      </c>
      <c r="J532" s="287">
        <v>0.55193525422485512</v>
      </c>
      <c r="K532" s="287">
        <v>0.55193789344891897</v>
      </c>
      <c r="L532" s="287">
        <v>0.55193525422485512</v>
      </c>
      <c r="M532" s="287">
        <v>0.55193525422485512</v>
      </c>
      <c r="N532" s="287">
        <v>0.55193525422485512</v>
      </c>
      <c r="O532" s="287">
        <v>0.55193789344891897</v>
      </c>
      <c r="P532" s="287">
        <v>0.55193525422485512</v>
      </c>
      <c r="Q532" s="287">
        <v>0.55193525422485512</v>
      </c>
      <c r="R532" s="287">
        <v>0.55193525422485512</v>
      </c>
      <c r="S532" s="287">
        <v>0.55193525422485512</v>
      </c>
      <c r="T532" s="287">
        <v>0.55193789344891897</v>
      </c>
      <c r="U532" s="287">
        <v>0.55193525422485512</v>
      </c>
      <c r="V532" s="287">
        <v>0.55193525422485512</v>
      </c>
      <c r="W532" s="287">
        <v>0.55193525422485512</v>
      </c>
      <c r="X532" s="287">
        <v>0.55193525422485512</v>
      </c>
      <c r="Y532" s="287">
        <v>0.55193525422485512</v>
      </c>
      <c r="Z532" s="287">
        <v>0.55193789344891897</v>
      </c>
      <c r="AA532" s="287">
        <v>0.55193525422485512</v>
      </c>
      <c r="AB532" s="287">
        <v>0.55193525422485512</v>
      </c>
      <c r="AC532" s="287">
        <v>0.55193525422485512</v>
      </c>
      <c r="AD532" s="287">
        <v>0.55193525422485512</v>
      </c>
      <c r="AE532" s="287">
        <v>0.55193525422485512</v>
      </c>
      <c r="AF532" s="287">
        <v>0.55193525422485512</v>
      </c>
      <c r="AG532" s="287">
        <v>0.55193789344891897</v>
      </c>
      <c r="AH532" s="287">
        <v>0.55193525422485512</v>
      </c>
      <c r="AI532" s="287">
        <v>0.55193525422485512</v>
      </c>
      <c r="AJ532" s="287">
        <v>0.55193525422485512</v>
      </c>
      <c r="AK532" s="287">
        <v>0.55193525422485512</v>
      </c>
      <c r="AL532" s="287">
        <v>0.55193525422485512</v>
      </c>
      <c r="AM532" s="287">
        <v>0.55193525422485512</v>
      </c>
      <c r="AN532" s="287">
        <v>0.55193789344891897</v>
      </c>
      <c r="AO532" s="287">
        <v>0.55193525422485512</v>
      </c>
      <c r="AP532" s="287">
        <v>0.55193525422485512</v>
      </c>
      <c r="AQ532" s="287">
        <v>0.55193525422485512</v>
      </c>
      <c r="AR532" s="287">
        <v>0.55193525422485512</v>
      </c>
      <c r="AS532" s="287">
        <v>0.55193525422485512</v>
      </c>
      <c r="AT532" s="287">
        <v>0.55193525422485512</v>
      </c>
      <c r="AU532" s="287">
        <v>0.55193525422485512</v>
      </c>
      <c r="AV532" s="287">
        <v>0.55193525422485512</v>
      </c>
      <c r="AW532" s="287">
        <v>0.55193789344891897</v>
      </c>
      <c r="AX532" s="287">
        <v>0.55193525422485512</v>
      </c>
      <c r="AY532" s="287">
        <v>0.55193525422485512</v>
      </c>
      <c r="AZ532" s="287">
        <v>1.5519378934489201</v>
      </c>
      <c r="BA532" s="287">
        <v>0.55193789344891897</v>
      </c>
      <c r="BB532" s="287">
        <v>0.55193525422485512</v>
      </c>
      <c r="BC532" s="287">
        <v>0.55193525422485512</v>
      </c>
      <c r="BD532" s="288">
        <v>0.55193789344891897</v>
      </c>
    </row>
    <row r="533" spans="1:56" s="3" customFormat="1" ht="18" customHeight="1" x14ac:dyDescent="0.2">
      <c r="A533" s="39">
        <v>-736</v>
      </c>
      <c r="B533" s="276">
        <v>2.9536862003780702E-4</v>
      </c>
      <c r="C533" s="303">
        <v>735.99985231568996</v>
      </c>
      <c r="E533" s="140">
        <v>69</v>
      </c>
      <c r="F533" s="39">
        <v>0</v>
      </c>
      <c r="G533" s="302"/>
      <c r="H533" s="39">
        <v>45</v>
      </c>
      <c r="I533" s="286">
        <v>0.55193525422485512</v>
      </c>
      <c r="J533" s="287">
        <v>0.55193525422485512</v>
      </c>
      <c r="K533" s="287">
        <v>0.55193789344891897</v>
      </c>
      <c r="L533" s="287">
        <v>0.55193525422485512</v>
      </c>
      <c r="M533" s="287">
        <v>0.55193525422485512</v>
      </c>
      <c r="N533" s="287">
        <v>0.55193525422485512</v>
      </c>
      <c r="O533" s="287">
        <v>0.55193789344891897</v>
      </c>
      <c r="P533" s="287">
        <v>0.55193525422485512</v>
      </c>
      <c r="Q533" s="287">
        <v>0.55193525422485512</v>
      </c>
      <c r="R533" s="287">
        <v>0.55193525422485512</v>
      </c>
      <c r="S533" s="287">
        <v>0.55193525422485512</v>
      </c>
      <c r="T533" s="287">
        <v>0.55193789344891897</v>
      </c>
      <c r="U533" s="287">
        <v>0.55193525422485512</v>
      </c>
      <c r="V533" s="287">
        <v>0.55193525422485512</v>
      </c>
      <c r="W533" s="287">
        <v>0.55193525422485512</v>
      </c>
      <c r="X533" s="287">
        <v>0.55193525422485512</v>
      </c>
      <c r="Y533" s="287">
        <v>0.55193525422485512</v>
      </c>
      <c r="Z533" s="287">
        <v>0.55193789344891897</v>
      </c>
      <c r="AA533" s="287">
        <v>0.55193525422485512</v>
      </c>
      <c r="AB533" s="287">
        <v>0.55193525422485512</v>
      </c>
      <c r="AC533" s="287">
        <v>0.55193525422485512</v>
      </c>
      <c r="AD533" s="287">
        <v>0.55193525422485512</v>
      </c>
      <c r="AE533" s="287">
        <v>0.55193525422485512</v>
      </c>
      <c r="AF533" s="287">
        <v>0.55193525422485512</v>
      </c>
      <c r="AG533" s="287">
        <v>0.55193789344891897</v>
      </c>
      <c r="AH533" s="287">
        <v>0.55193525422485512</v>
      </c>
      <c r="AI533" s="287">
        <v>0.55193525422485512</v>
      </c>
      <c r="AJ533" s="287">
        <v>0.55193525422485512</v>
      </c>
      <c r="AK533" s="287">
        <v>0.55193525422485512</v>
      </c>
      <c r="AL533" s="287">
        <v>0.55193525422485512</v>
      </c>
      <c r="AM533" s="287">
        <v>0.55193525422485512</v>
      </c>
      <c r="AN533" s="287">
        <v>0.55193789344891897</v>
      </c>
      <c r="AO533" s="287">
        <v>0.55193525422485512</v>
      </c>
      <c r="AP533" s="287">
        <v>0.55193525422485512</v>
      </c>
      <c r="AQ533" s="287">
        <v>0.55193525422485512</v>
      </c>
      <c r="AR533" s="287">
        <v>0.55193525422485512</v>
      </c>
      <c r="AS533" s="287">
        <v>0.55193525422485512</v>
      </c>
      <c r="AT533" s="287">
        <v>0.55193525422485512</v>
      </c>
      <c r="AU533" s="287">
        <v>0.55193525422485512</v>
      </c>
      <c r="AV533" s="287">
        <v>0.55193525422485512</v>
      </c>
      <c r="AW533" s="287">
        <v>0.55193789344891897</v>
      </c>
      <c r="AX533" s="287">
        <v>0.55193525422485512</v>
      </c>
      <c r="AY533" s="287">
        <v>0.55193525422485512</v>
      </c>
      <c r="AZ533" s="287">
        <v>0.55193789344891897</v>
      </c>
      <c r="BA533" s="287">
        <v>1.0519378934489201</v>
      </c>
      <c r="BB533" s="287">
        <v>0.80193525422485512</v>
      </c>
      <c r="BC533" s="287">
        <v>0.80193525422485512</v>
      </c>
      <c r="BD533" s="288">
        <v>0.55193789344891897</v>
      </c>
    </row>
    <row r="534" spans="1:56" s="3" customFormat="1" ht="18" customHeight="1" x14ac:dyDescent="0.2">
      <c r="A534" s="39">
        <v>-736</v>
      </c>
      <c r="B534" s="276">
        <v>2.2152646502835501E-4</v>
      </c>
      <c r="C534" s="303">
        <v>735.99988923676699</v>
      </c>
      <c r="E534" s="140">
        <v>70</v>
      </c>
      <c r="F534" s="39">
        <v>0</v>
      </c>
      <c r="G534" s="302"/>
      <c r="H534" s="39">
        <v>46</v>
      </c>
      <c r="I534" s="286">
        <v>0.55193525422485512</v>
      </c>
      <c r="J534" s="287">
        <v>0.55193525422485512</v>
      </c>
      <c r="K534" s="287">
        <v>0.55193525422485512</v>
      </c>
      <c r="L534" s="287">
        <v>0.55193525422485512</v>
      </c>
      <c r="M534" s="287">
        <v>0.55193789344891897</v>
      </c>
      <c r="N534" s="287">
        <v>0.55193525422485512</v>
      </c>
      <c r="O534" s="287">
        <v>0.55193525422485512</v>
      </c>
      <c r="P534" s="287">
        <v>0.55193789344891897</v>
      </c>
      <c r="Q534" s="287">
        <v>0.55193525422485512</v>
      </c>
      <c r="R534" s="287">
        <v>0.55193525422485512</v>
      </c>
      <c r="S534" s="287">
        <v>0.55193525422485512</v>
      </c>
      <c r="T534" s="287">
        <v>0.55193525422485512</v>
      </c>
      <c r="U534" s="287">
        <v>0.55193525422485512</v>
      </c>
      <c r="V534" s="287">
        <v>0.55193789344891897</v>
      </c>
      <c r="W534" s="287">
        <v>0.55193525422485512</v>
      </c>
      <c r="X534" s="287">
        <v>0.55193525422485512</v>
      </c>
      <c r="Y534" s="287">
        <v>0.55193525422485512</v>
      </c>
      <c r="Z534" s="287">
        <v>0.55193525422485512</v>
      </c>
      <c r="AA534" s="287">
        <v>0.55193525422485512</v>
      </c>
      <c r="AB534" s="287">
        <v>0.55193525422485512</v>
      </c>
      <c r="AC534" s="287">
        <v>0.55193789344891897</v>
      </c>
      <c r="AD534" s="287">
        <v>0.55193525422485512</v>
      </c>
      <c r="AE534" s="287">
        <v>0.55193525422485512</v>
      </c>
      <c r="AF534" s="287">
        <v>0.55193525422485512</v>
      </c>
      <c r="AG534" s="287">
        <v>0.55193525422485512</v>
      </c>
      <c r="AH534" s="287">
        <v>0.55193525422485512</v>
      </c>
      <c r="AI534" s="287">
        <v>0.55193789344891897</v>
      </c>
      <c r="AJ534" s="287">
        <v>0.55193525422485512</v>
      </c>
      <c r="AK534" s="287">
        <v>0.55193525422485512</v>
      </c>
      <c r="AL534" s="287">
        <v>0.55193525422485512</v>
      </c>
      <c r="AM534" s="287">
        <v>0.55193525422485512</v>
      </c>
      <c r="AN534" s="287">
        <v>0.55193525422485512</v>
      </c>
      <c r="AO534" s="287">
        <v>0.55193525422485512</v>
      </c>
      <c r="AP534" s="287">
        <v>0.55193525422485512</v>
      </c>
      <c r="AQ534" s="287">
        <v>0.55193789344891897</v>
      </c>
      <c r="AR534" s="287">
        <v>0.55193525422485512</v>
      </c>
      <c r="AS534" s="287">
        <v>0.55193525422485512</v>
      </c>
      <c r="AT534" s="287">
        <v>0.55193525422485512</v>
      </c>
      <c r="AU534" s="287">
        <v>0.55193525422485512</v>
      </c>
      <c r="AV534" s="287">
        <v>0.55193525422485512</v>
      </c>
      <c r="AW534" s="287">
        <v>0.55193525422485512</v>
      </c>
      <c r="AX534" s="287">
        <v>0.55193789344891897</v>
      </c>
      <c r="AY534" s="287">
        <v>0.55193525422485512</v>
      </c>
      <c r="AZ534" s="287">
        <v>0.55193525422485512</v>
      </c>
      <c r="BA534" s="287">
        <v>0.80193525422485512</v>
      </c>
      <c r="BB534" s="287">
        <v>1.0519378934489201</v>
      </c>
      <c r="BC534" s="287">
        <v>0.80193525422485512</v>
      </c>
      <c r="BD534" s="288">
        <v>0.55193525422485512</v>
      </c>
    </row>
    <row r="535" spans="1:56" s="3" customFormat="1" ht="18" customHeight="1" x14ac:dyDescent="0.2">
      <c r="A535" s="39">
        <v>-736</v>
      </c>
      <c r="B535" s="276">
        <v>1.3291587901701301E-3</v>
      </c>
      <c r="C535" s="303">
        <v>735.99933542060501</v>
      </c>
      <c r="E535" s="140">
        <v>71</v>
      </c>
      <c r="F535" s="39">
        <v>0</v>
      </c>
      <c r="G535" s="302"/>
      <c r="H535" s="39">
        <v>47</v>
      </c>
      <c r="I535" s="286">
        <v>0.55193525422485512</v>
      </c>
      <c r="J535" s="287">
        <v>0.55193525422485512</v>
      </c>
      <c r="K535" s="287">
        <v>0.55193525422485512</v>
      </c>
      <c r="L535" s="287">
        <v>0.55193525422485512</v>
      </c>
      <c r="M535" s="287">
        <v>0.55193525422485512</v>
      </c>
      <c r="N535" s="287">
        <v>0.55193789344891897</v>
      </c>
      <c r="O535" s="287">
        <v>0.55193525422485512</v>
      </c>
      <c r="P535" s="287">
        <v>0.55193525422485512</v>
      </c>
      <c r="Q535" s="287">
        <v>0.55193789344891897</v>
      </c>
      <c r="R535" s="287">
        <v>0.55193525422485512</v>
      </c>
      <c r="S535" s="287">
        <v>0.55193525422485512</v>
      </c>
      <c r="T535" s="287">
        <v>0.55193525422485512</v>
      </c>
      <c r="U535" s="287">
        <v>0.55193525422485512</v>
      </c>
      <c r="V535" s="287">
        <v>0.55193525422485512</v>
      </c>
      <c r="W535" s="287">
        <v>0.55193789344891897</v>
      </c>
      <c r="X535" s="287">
        <v>0.55193525422485512</v>
      </c>
      <c r="Y535" s="287">
        <v>0.55193525422485512</v>
      </c>
      <c r="Z535" s="287">
        <v>0.55193525422485512</v>
      </c>
      <c r="AA535" s="287">
        <v>0.55193525422485512</v>
      </c>
      <c r="AB535" s="287">
        <v>0.55193525422485512</v>
      </c>
      <c r="AC535" s="287">
        <v>0.55193525422485512</v>
      </c>
      <c r="AD535" s="287">
        <v>0.55193789344891897</v>
      </c>
      <c r="AE535" s="287">
        <v>0.55193525422485512</v>
      </c>
      <c r="AF535" s="287">
        <v>0.55193525422485512</v>
      </c>
      <c r="AG535" s="287">
        <v>0.55193525422485512</v>
      </c>
      <c r="AH535" s="287">
        <v>0.55193525422485512</v>
      </c>
      <c r="AI535" s="287">
        <v>0.55193525422485512</v>
      </c>
      <c r="AJ535" s="287">
        <v>0.55193789344891897</v>
      </c>
      <c r="AK535" s="287">
        <v>0.55193525422485512</v>
      </c>
      <c r="AL535" s="287">
        <v>0.55193525422485512</v>
      </c>
      <c r="AM535" s="287">
        <v>0.55193525422485512</v>
      </c>
      <c r="AN535" s="287">
        <v>0.55193525422485512</v>
      </c>
      <c r="AO535" s="287">
        <v>0.55193525422485512</v>
      </c>
      <c r="AP535" s="287">
        <v>0.55193525422485512</v>
      </c>
      <c r="AQ535" s="287">
        <v>0.55193525422485512</v>
      </c>
      <c r="AR535" s="287">
        <v>0.55193525422485512</v>
      </c>
      <c r="AS535" s="287">
        <v>0.55193789344891897</v>
      </c>
      <c r="AT535" s="287">
        <v>0.55193525422485512</v>
      </c>
      <c r="AU535" s="287">
        <v>0.55193525422485512</v>
      </c>
      <c r="AV535" s="287">
        <v>0.55193525422485512</v>
      </c>
      <c r="AW535" s="287">
        <v>0.55193525422485512</v>
      </c>
      <c r="AX535" s="287">
        <v>0.55193525422485512</v>
      </c>
      <c r="AY535" s="287">
        <v>0.55193789344891897</v>
      </c>
      <c r="AZ535" s="287">
        <v>0.55193525422485512</v>
      </c>
      <c r="BA535" s="287">
        <v>0.80193525422485512</v>
      </c>
      <c r="BB535" s="287">
        <v>0.80193525422485512</v>
      </c>
      <c r="BC535" s="287">
        <v>1.0519378934489201</v>
      </c>
      <c r="BD535" s="288">
        <v>0.55193525422485512</v>
      </c>
    </row>
    <row r="536" spans="1:56" s="3" customFormat="1" ht="18.5" customHeight="1" x14ac:dyDescent="0.2">
      <c r="A536" s="39">
        <v>-736</v>
      </c>
      <c r="B536" s="276">
        <v>6.64579395085066E-4</v>
      </c>
      <c r="C536" s="303">
        <v>735.99966771030199</v>
      </c>
      <c r="E536" s="140">
        <v>72</v>
      </c>
      <c r="F536" s="39">
        <v>0</v>
      </c>
      <c r="G536" s="302"/>
      <c r="H536" s="56">
        <v>48</v>
      </c>
      <c r="I536" s="289">
        <v>0.55193525422485512</v>
      </c>
      <c r="J536" s="290">
        <v>0.55193525422485512</v>
      </c>
      <c r="K536" s="290">
        <v>0.55193789344891897</v>
      </c>
      <c r="L536" s="290">
        <v>0.55193525422485512</v>
      </c>
      <c r="M536" s="290">
        <v>0.55193525422485512</v>
      </c>
      <c r="N536" s="290">
        <v>0.55193525422485512</v>
      </c>
      <c r="O536" s="290">
        <v>0.55193789344891897</v>
      </c>
      <c r="P536" s="290">
        <v>0.55193525422485512</v>
      </c>
      <c r="Q536" s="290">
        <v>0.55193525422485512</v>
      </c>
      <c r="R536" s="290">
        <v>0.55193525422485512</v>
      </c>
      <c r="S536" s="290">
        <v>0.55193525422485512</v>
      </c>
      <c r="T536" s="290">
        <v>0.55193789344891897</v>
      </c>
      <c r="U536" s="290">
        <v>0.55193525422485512</v>
      </c>
      <c r="V536" s="290">
        <v>0.55193525422485512</v>
      </c>
      <c r="W536" s="290">
        <v>0.55193525422485512</v>
      </c>
      <c r="X536" s="290">
        <v>0.55193525422485512</v>
      </c>
      <c r="Y536" s="290">
        <v>0.55193525422485512</v>
      </c>
      <c r="Z536" s="290">
        <v>0.55193789344891897</v>
      </c>
      <c r="AA536" s="290">
        <v>0.55193525422485512</v>
      </c>
      <c r="AB536" s="290">
        <v>0.55193525422485512</v>
      </c>
      <c r="AC536" s="290">
        <v>0.55193525422485512</v>
      </c>
      <c r="AD536" s="290">
        <v>0.55193525422485512</v>
      </c>
      <c r="AE536" s="290">
        <v>0.55193525422485512</v>
      </c>
      <c r="AF536" s="290">
        <v>0.55193525422485512</v>
      </c>
      <c r="AG536" s="290">
        <v>0.55193789344891897</v>
      </c>
      <c r="AH536" s="290">
        <v>0.55193525422485512</v>
      </c>
      <c r="AI536" s="290">
        <v>0.55193525422485512</v>
      </c>
      <c r="AJ536" s="290">
        <v>0.55193525422485512</v>
      </c>
      <c r="AK536" s="290">
        <v>0.55193525422485512</v>
      </c>
      <c r="AL536" s="290">
        <v>0.55193525422485512</v>
      </c>
      <c r="AM536" s="290">
        <v>0.55193525422485512</v>
      </c>
      <c r="AN536" s="290">
        <v>0.55193789344891897</v>
      </c>
      <c r="AO536" s="290">
        <v>0.55193525422485512</v>
      </c>
      <c r="AP536" s="290">
        <v>0.55193525422485512</v>
      </c>
      <c r="AQ536" s="290">
        <v>0.55193525422485512</v>
      </c>
      <c r="AR536" s="290">
        <v>0.55193525422485512</v>
      </c>
      <c r="AS536" s="290">
        <v>0.55193525422485512</v>
      </c>
      <c r="AT536" s="290">
        <v>0.55193525422485512</v>
      </c>
      <c r="AU536" s="290">
        <v>0.55193525422485512</v>
      </c>
      <c r="AV536" s="290">
        <v>0.55193525422485512</v>
      </c>
      <c r="AW536" s="290">
        <v>0.55193789344891897</v>
      </c>
      <c r="AX536" s="290">
        <v>0.55193525422485512</v>
      </c>
      <c r="AY536" s="290">
        <v>0.55193525422485512</v>
      </c>
      <c r="AZ536" s="290">
        <v>0.55193789344891897</v>
      </c>
      <c r="BA536" s="290">
        <v>0.55193789344891897</v>
      </c>
      <c r="BB536" s="290">
        <v>0.55193525422485512</v>
      </c>
      <c r="BC536" s="290">
        <v>0.55193525422485512</v>
      </c>
      <c r="BD536" s="291">
        <v>0.88527122678225212</v>
      </c>
    </row>
    <row r="537" spans="1:56" s="3" customFormat="1" ht="18.5" customHeight="1" x14ac:dyDescent="0.2">
      <c r="A537" s="39">
        <v>-736</v>
      </c>
      <c r="B537" s="276">
        <v>2.2152646502835501E-4</v>
      </c>
      <c r="C537" s="303">
        <v>735.99988923676699</v>
      </c>
      <c r="E537" s="140">
        <v>73</v>
      </c>
      <c r="F537" s="39">
        <v>0</v>
      </c>
      <c r="G537" s="112"/>
    </row>
    <row r="538" spans="1:56" s="3" customFormat="1" ht="18" customHeight="1" x14ac:dyDescent="0.2">
      <c r="A538" s="39">
        <v>-736</v>
      </c>
      <c r="B538" s="276">
        <v>6.64579395085066E-4</v>
      </c>
      <c r="C538" s="303">
        <v>735.99966771030199</v>
      </c>
      <c r="E538" s="140">
        <v>74</v>
      </c>
      <c r="F538" s="39">
        <v>0</v>
      </c>
      <c r="G538" s="112"/>
    </row>
    <row r="539" spans="1:56" s="3" customFormat="1" ht="18" customHeight="1" x14ac:dyDescent="0.2">
      <c r="A539" s="39">
        <v>-736</v>
      </c>
      <c r="B539" s="276">
        <v>4.4305293005671099E-4</v>
      </c>
      <c r="C539" s="303">
        <v>735.999778473535</v>
      </c>
      <c r="E539" s="140">
        <v>75</v>
      </c>
      <c r="F539" s="39">
        <v>0</v>
      </c>
      <c r="G539" s="112"/>
    </row>
    <row r="540" spans="1:56" s="3" customFormat="1" ht="18" customHeight="1" x14ac:dyDescent="0.2">
      <c r="A540" s="39">
        <v>-736</v>
      </c>
      <c r="B540" s="276">
        <v>2.9536862003780702E-4</v>
      </c>
      <c r="C540" s="303">
        <v>735.99985231568996</v>
      </c>
      <c r="E540" s="140">
        <v>76</v>
      </c>
      <c r="F540" s="39">
        <v>0</v>
      </c>
      <c r="G540" s="112"/>
    </row>
    <row r="541" spans="1:56" s="3" customFormat="1" ht="18.5" customHeight="1" x14ac:dyDescent="0.2">
      <c r="A541" s="39">
        <v>-736</v>
      </c>
      <c r="B541" s="276">
        <v>1.3291587901701301E-3</v>
      </c>
      <c r="C541" s="303">
        <v>735.99933542060501</v>
      </c>
      <c r="E541" s="153">
        <v>77</v>
      </c>
      <c r="F541" s="56">
        <v>0</v>
      </c>
      <c r="G541" s="112"/>
    </row>
    <row r="542" spans="1:56" s="3" customFormat="1" ht="18.5" customHeight="1" x14ac:dyDescent="0.2">
      <c r="A542" s="39">
        <v>-736</v>
      </c>
      <c r="B542" s="276">
        <v>4.4305293005671099E-4</v>
      </c>
      <c r="C542" s="303">
        <v>735.999778473535</v>
      </c>
      <c r="G542" s="21"/>
    </row>
    <row r="543" spans="1:56" s="3" customFormat="1" ht="18" customHeight="1" x14ac:dyDescent="0.2">
      <c r="A543" s="39">
        <v>-736</v>
      </c>
      <c r="B543" s="276">
        <v>4.4305293005671099E-4</v>
      </c>
      <c r="C543" s="303">
        <v>735.999778473535</v>
      </c>
      <c r="G543" s="21"/>
    </row>
    <row r="544" spans="1:56" s="3" customFormat="1" ht="18" customHeight="1" x14ac:dyDescent="0.2">
      <c r="A544" s="39">
        <v>-736</v>
      </c>
      <c r="B544" s="276">
        <v>2.9536862003780702E-4</v>
      </c>
      <c r="C544" s="303">
        <v>735.99985231568996</v>
      </c>
      <c r="G544" s="21"/>
    </row>
    <row r="545" spans="1:49" s="3" customFormat="1" ht="18" customHeight="1" x14ac:dyDescent="0.2">
      <c r="A545" s="39">
        <v>-736</v>
      </c>
      <c r="B545" s="276">
        <v>1.3291587901701301E-3</v>
      </c>
      <c r="C545" s="303">
        <v>735.99933542060501</v>
      </c>
      <c r="G545" s="21"/>
    </row>
    <row r="546" spans="1:49" s="3" customFormat="1" ht="18.5" customHeight="1" x14ac:dyDescent="0.2">
      <c r="A546" s="56">
        <v>-736</v>
      </c>
      <c r="B546" s="278">
        <v>4.4305293005671099E-4</v>
      </c>
      <c r="C546" s="304">
        <v>735.999778473535</v>
      </c>
      <c r="G546" s="21"/>
    </row>
    <row r="549" spans="1:49" s="3" customFormat="1" ht="16" customHeight="1" x14ac:dyDescent="0.15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  <c r="AA549" s="120"/>
      <c r="AB549" s="120"/>
      <c r="AC549" s="120"/>
      <c r="AD549" s="120"/>
      <c r="AE549" s="120"/>
      <c r="AF549" s="120"/>
      <c r="AG549" s="120"/>
      <c r="AH549" s="120"/>
      <c r="AI549" s="120"/>
      <c r="AJ549" s="120"/>
      <c r="AK549" s="120"/>
      <c r="AL549" s="120"/>
      <c r="AM549" s="120"/>
      <c r="AN549" s="120"/>
      <c r="AO549" s="120"/>
      <c r="AP549" s="120"/>
      <c r="AQ549" s="120"/>
      <c r="AR549" s="120"/>
      <c r="AS549" s="120"/>
      <c r="AT549" s="120"/>
      <c r="AU549" s="120"/>
      <c r="AV549" s="120"/>
    </row>
    <row r="553" spans="1:49" s="3" customFormat="1" ht="19" customHeight="1" x14ac:dyDescent="0.2">
      <c r="A553" s="6" t="s">
        <v>255</v>
      </c>
    </row>
    <row r="554" spans="1:49" s="3" customFormat="1" ht="19" customHeight="1" x14ac:dyDescent="0.2">
      <c r="A554" s="8" t="s">
        <v>256</v>
      </c>
      <c r="B554" s="9">
        <v>1</v>
      </c>
      <c r="C554" s="10">
        <v>2</v>
      </c>
      <c r="D554" s="10">
        <v>3</v>
      </c>
      <c r="E554" s="10">
        <v>4</v>
      </c>
      <c r="F554" s="10">
        <v>5</v>
      </c>
      <c r="G554" s="10">
        <v>6</v>
      </c>
      <c r="H554" s="10">
        <v>7</v>
      </c>
      <c r="I554" s="10">
        <v>8</v>
      </c>
      <c r="J554" s="10">
        <v>9</v>
      </c>
      <c r="K554" s="10">
        <v>10</v>
      </c>
      <c r="L554" s="10">
        <v>11</v>
      </c>
      <c r="M554" s="10">
        <v>12</v>
      </c>
      <c r="N554" s="10">
        <v>13</v>
      </c>
      <c r="O554" s="10">
        <v>14</v>
      </c>
      <c r="P554" s="10">
        <v>15</v>
      </c>
      <c r="Q554" s="10">
        <v>16</v>
      </c>
      <c r="R554" s="10">
        <v>17</v>
      </c>
      <c r="S554" s="10">
        <v>18</v>
      </c>
      <c r="T554" s="10">
        <v>19</v>
      </c>
      <c r="U554" s="10">
        <v>20</v>
      </c>
      <c r="V554" s="10">
        <v>21</v>
      </c>
      <c r="W554" s="10">
        <v>22</v>
      </c>
      <c r="X554" s="10">
        <v>23</v>
      </c>
      <c r="Y554" s="10">
        <v>24</v>
      </c>
      <c r="Z554" s="10">
        <v>25</v>
      </c>
      <c r="AA554" s="10">
        <v>26</v>
      </c>
      <c r="AB554" s="10">
        <v>27</v>
      </c>
      <c r="AC554" s="10">
        <v>28</v>
      </c>
      <c r="AD554" s="10">
        <v>29</v>
      </c>
      <c r="AE554" s="10">
        <v>30</v>
      </c>
      <c r="AF554" s="10">
        <v>31</v>
      </c>
      <c r="AG554" s="10">
        <v>32</v>
      </c>
      <c r="AH554" s="10">
        <v>33</v>
      </c>
      <c r="AI554" s="10">
        <v>34</v>
      </c>
      <c r="AJ554" s="10">
        <v>35</v>
      </c>
      <c r="AK554" s="10">
        <v>36</v>
      </c>
      <c r="AL554" s="10">
        <v>37</v>
      </c>
      <c r="AM554" s="10">
        <v>38</v>
      </c>
      <c r="AN554" s="10">
        <v>39</v>
      </c>
      <c r="AO554" s="10">
        <v>40</v>
      </c>
      <c r="AP554" s="10">
        <v>41</v>
      </c>
      <c r="AQ554" s="10">
        <v>42</v>
      </c>
      <c r="AR554" s="10">
        <v>43</v>
      </c>
      <c r="AS554" s="10">
        <v>44</v>
      </c>
      <c r="AT554" s="10">
        <v>45</v>
      </c>
      <c r="AU554" s="10">
        <v>46</v>
      </c>
      <c r="AV554" s="10">
        <v>47</v>
      </c>
      <c r="AW554" s="11">
        <v>48</v>
      </c>
    </row>
    <row r="555" spans="1:49" s="3" customFormat="1" ht="18.5" customHeight="1" x14ac:dyDescent="0.2">
      <c r="A555" s="28">
        <v>1</v>
      </c>
      <c r="B555" s="23">
        <v>-1</v>
      </c>
      <c r="C555" s="24">
        <v>0</v>
      </c>
      <c r="D555" s="24">
        <v>0</v>
      </c>
      <c r="E555" s="24">
        <v>0</v>
      </c>
      <c r="F555" s="24">
        <v>0</v>
      </c>
      <c r="G555" s="24">
        <v>0</v>
      </c>
      <c r="H555" s="24">
        <v>0</v>
      </c>
      <c r="I555" s="24">
        <v>0</v>
      </c>
      <c r="J555" s="24">
        <v>0</v>
      </c>
      <c r="K555" s="24">
        <v>0</v>
      </c>
      <c r="L555" s="24">
        <v>0</v>
      </c>
      <c r="M555" s="24">
        <v>0</v>
      </c>
      <c r="N555" s="24">
        <v>0</v>
      </c>
      <c r="O555" s="24">
        <v>0</v>
      </c>
      <c r="P555" s="24">
        <v>0</v>
      </c>
      <c r="Q555" s="24">
        <v>0</v>
      </c>
      <c r="R555" s="24">
        <v>0</v>
      </c>
      <c r="S555" s="24">
        <v>0</v>
      </c>
      <c r="T555" s="24">
        <v>0</v>
      </c>
      <c r="U555" s="24">
        <v>0</v>
      </c>
      <c r="V555" s="24">
        <v>0</v>
      </c>
      <c r="W555" s="24">
        <v>0</v>
      </c>
      <c r="X555" s="24">
        <v>0</v>
      </c>
      <c r="Y555" s="24">
        <v>0</v>
      </c>
      <c r="Z555" s="24">
        <v>0</v>
      </c>
      <c r="AA555" s="24">
        <v>0</v>
      </c>
      <c r="AB555" s="24">
        <v>0</v>
      </c>
      <c r="AC555" s="24">
        <v>0</v>
      </c>
      <c r="AD555" s="24">
        <v>0</v>
      </c>
      <c r="AE555" s="24">
        <v>0</v>
      </c>
      <c r="AF555" s="24">
        <v>0</v>
      </c>
      <c r="AG555" s="24">
        <v>0</v>
      </c>
      <c r="AH555" s="24">
        <v>0</v>
      </c>
      <c r="AI555" s="24">
        <v>0</v>
      </c>
      <c r="AJ555" s="24">
        <v>0</v>
      </c>
      <c r="AK555" s="24">
        <v>0</v>
      </c>
      <c r="AL555" s="24">
        <v>0</v>
      </c>
      <c r="AM555" s="24">
        <v>0</v>
      </c>
      <c r="AN555" s="24">
        <v>0</v>
      </c>
      <c r="AO555" s="24">
        <v>0</v>
      </c>
      <c r="AP555" s="24">
        <v>0</v>
      </c>
      <c r="AQ555" s="24">
        <v>0</v>
      </c>
      <c r="AR555" s="24">
        <v>0</v>
      </c>
      <c r="AS555" s="24">
        <v>0</v>
      </c>
      <c r="AT555" s="24">
        <v>0</v>
      </c>
      <c r="AU555" s="24">
        <v>0</v>
      </c>
      <c r="AV555" s="24">
        <v>0</v>
      </c>
      <c r="AW555" s="25">
        <v>0</v>
      </c>
    </row>
    <row r="556" spans="1:49" s="3" customFormat="1" ht="18" customHeight="1" x14ac:dyDescent="0.2">
      <c r="A556" s="39">
        <v>2</v>
      </c>
      <c r="B556" s="35">
        <v>0</v>
      </c>
      <c r="C556" s="36">
        <v>-1</v>
      </c>
      <c r="D556" s="36">
        <v>0</v>
      </c>
      <c r="E556" s="36">
        <v>0</v>
      </c>
      <c r="F556" s="36">
        <v>0</v>
      </c>
      <c r="G556" s="36">
        <v>0</v>
      </c>
      <c r="H556" s="36">
        <v>0</v>
      </c>
      <c r="I556" s="36">
        <v>0</v>
      </c>
      <c r="J556" s="36">
        <v>0</v>
      </c>
      <c r="K556" s="36">
        <v>0</v>
      </c>
      <c r="L556" s="36">
        <v>0</v>
      </c>
      <c r="M556" s="36">
        <v>0</v>
      </c>
      <c r="N556" s="36">
        <v>0</v>
      </c>
      <c r="O556" s="36">
        <v>0</v>
      </c>
      <c r="P556" s="36">
        <v>0</v>
      </c>
      <c r="Q556" s="36">
        <v>0</v>
      </c>
      <c r="R556" s="36">
        <v>0</v>
      </c>
      <c r="S556" s="36">
        <v>0</v>
      </c>
      <c r="T556" s="36">
        <v>0</v>
      </c>
      <c r="U556" s="36">
        <v>0</v>
      </c>
      <c r="V556" s="36">
        <v>0</v>
      </c>
      <c r="W556" s="36">
        <v>0</v>
      </c>
      <c r="X556" s="36">
        <v>0</v>
      </c>
      <c r="Y556" s="36">
        <v>0</v>
      </c>
      <c r="Z556" s="36">
        <v>0</v>
      </c>
      <c r="AA556" s="36">
        <v>0</v>
      </c>
      <c r="AB556" s="36">
        <v>0</v>
      </c>
      <c r="AC556" s="36">
        <v>0</v>
      </c>
      <c r="AD556" s="36">
        <v>0</v>
      </c>
      <c r="AE556" s="36">
        <v>0</v>
      </c>
      <c r="AF556" s="36">
        <v>0</v>
      </c>
      <c r="AG556" s="36">
        <v>0</v>
      </c>
      <c r="AH556" s="36">
        <v>0</v>
      </c>
      <c r="AI556" s="36">
        <v>0</v>
      </c>
      <c r="AJ556" s="36">
        <v>0</v>
      </c>
      <c r="AK556" s="36">
        <v>0</v>
      </c>
      <c r="AL556" s="36">
        <v>0</v>
      </c>
      <c r="AM556" s="36">
        <v>0</v>
      </c>
      <c r="AN556" s="36">
        <v>0</v>
      </c>
      <c r="AO556" s="36">
        <v>0</v>
      </c>
      <c r="AP556" s="36">
        <v>0</v>
      </c>
      <c r="AQ556" s="36">
        <v>0</v>
      </c>
      <c r="AR556" s="36">
        <v>0</v>
      </c>
      <c r="AS556" s="36">
        <v>0</v>
      </c>
      <c r="AT556" s="36">
        <v>0</v>
      </c>
      <c r="AU556" s="36">
        <v>0</v>
      </c>
      <c r="AV556" s="36">
        <v>0</v>
      </c>
      <c r="AW556" s="37">
        <v>0</v>
      </c>
    </row>
    <row r="557" spans="1:49" s="3" customFormat="1" ht="18" customHeight="1" x14ac:dyDescent="0.2">
      <c r="A557" s="39">
        <v>3</v>
      </c>
      <c r="B557" s="35">
        <v>0</v>
      </c>
      <c r="C557" s="36">
        <v>0</v>
      </c>
      <c r="D557" s="36">
        <v>-1</v>
      </c>
      <c r="E557" s="36">
        <v>0</v>
      </c>
      <c r="F557" s="36">
        <v>0</v>
      </c>
      <c r="G557" s="36">
        <v>0</v>
      </c>
      <c r="H557" s="36">
        <v>0</v>
      </c>
      <c r="I557" s="36">
        <v>0</v>
      </c>
      <c r="J557" s="36">
        <v>0</v>
      </c>
      <c r="K557" s="36">
        <v>0</v>
      </c>
      <c r="L557" s="36">
        <v>0</v>
      </c>
      <c r="M557" s="36">
        <v>0</v>
      </c>
      <c r="N557" s="36">
        <v>0</v>
      </c>
      <c r="O557" s="36">
        <v>0</v>
      </c>
      <c r="P557" s="36">
        <v>0</v>
      </c>
      <c r="Q557" s="36">
        <v>0</v>
      </c>
      <c r="R557" s="36">
        <v>0</v>
      </c>
      <c r="S557" s="36">
        <v>0</v>
      </c>
      <c r="T557" s="36">
        <v>0</v>
      </c>
      <c r="U557" s="36">
        <v>0</v>
      </c>
      <c r="V557" s="36">
        <v>0</v>
      </c>
      <c r="W557" s="36">
        <v>0</v>
      </c>
      <c r="X557" s="36">
        <v>0</v>
      </c>
      <c r="Y557" s="36">
        <v>0</v>
      </c>
      <c r="Z557" s="36">
        <v>0</v>
      </c>
      <c r="AA557" s="36">
        <v>0</v>
      </c>
      <c r="AB557" s="36">
        <v>0</v>
      </c>
      <c r="AC557" s="36">
        <v>0</v>
      </c>
      <c r="AD557" s="36">
        <v>0</v>
      </c>
      <c r="AE557" s="36">
        <v>0</v>
      </c>
      <c r="AF557" s="36">
        <v>0</v>
      </c>
      <c r="AG557" s="36">
        <v>0</v>
      </c>
      <c r="AH557" s="36">
        <v>0</v>
      </c>
      <c r="AI557" s="36">
        <v>0</v>
      </c>
      <c r="AJ557" s="36">
        <v>0</v>
      </c>
      <c r="AK557" s="36">
        <v>0</v>
      </c>
      <c r="AL557" s="36">
        <v>0</v>
      </c>
      <c r="AM557" s="36">
        <v>0</v>
      </c>
      <c r="AN557" s="36">
        <v>0</v>
      </c>
      <c r="AO557" s="36">
        <v>0</v>
      </c>
      <c r="AP557" s="36">
        <v>0</v>
      </c>
      <c r="AQ557" s="36">
        <v>0</v>
      </c>
      <c r="AR557" s="36">
        <v>0</v>
      </c>
      <c r="AS557" s="36">
        <v>0</v>
      </c>
      <c r="AT557" s="36">
        <v>0</v>
      </c>
      <c r="AU557" s="36">
        <v>0</v>
      </c>
      <c r="AV557" s="36">
        <v>0</v>
      </c>
      <c r="AW557" s="37">
        <v>0</v>
      </c>
    </row>
    <row r="558" spans="1:49" s="3" customFormat="1" ht="18" customHeight="1" x14ac:dyDescent="0.2">
      <c r="A558" s="39">
        <v>4</v>
      </c>
      <c r="B558" s="35">
        <v>0</v>
      </c>
      <c r="C558" s="36">
        <v>0</v>
      </c>
      <c r="D558" s="36">
        <v>0</v>
      </c>
      <c r="E558" s="36">
        <v>-1</v>
      </c>
      <c r="F558" s="36">
        <v>0</v>
      </c>
      <c r="G558" s="36">
        <v>0</v>
      </c>
      <c r="H558" s="36">
        <v>0</v>
      </c>
      <c r="I558" s="36">
        <v>0</v>
      </c>
      <c r="J558" s="36">
        <v>0</v>
      </c>
      <c r="K558" s="36">
        <v>0</v>
      </c>
      <c r="L558" s="36">
        <v>0</v>
      </c>
      <c r="M558" s="36">
        <v>0</v>
      </c>
      <c r="N558" s="36">
        <v>0</v>
      </c>
      <c r="O558" s="36">
        <v>0</v>
      </c>
      <c r="P558" s="36">
        <v>0</v>
      </c>
      <c r="Q558" s="36">
        <v>0</v>
      </c>
      <c r="R558" s="36">
        <v>0</v>
      </c>
      <c r="S558" s="36">
        <v>0</v>
      </c>
      <c r="T558" s="36">
        <v>0</v>
      </c>
      <c r="U558" s="36">
        <v>0</v>
      </c>
      <c r="V558" s="36">
        <v>0</v>
      </c>
      <c r="W558" s="36">
        <v>0</v>
      </c>
      <c r="X558" s="36">
        <v>0</v>
      </c>
      <c r="Y558" s="36">
        <v>0</v>
      </c>
      <c r="Z558" s="36">
        <v>0</v>
      </c>
      <c r="AA558" s="36">
        <v>0</v>
      </c>
      <c r="AB558" s="36">
        <v>0</v>
      </c>
      <c r="AC558" s="36">
        <v>0</v>
      </c>
      <c r="AD558" s="36">
        <v>0</v>
      </c>
      <c r="AE558" s="36">
        <v>0</v>
      </c>
      <c r="AF558" s="36">
        <v>0</v>
      </c>
      <c r="AG558" s="36">
        <v>0</v>
      </c>
      <c r="AH558" s="36">
        <v>0</v>
      </c>
      <c r="AI558" s="36">
        <v>0</v>
      </c>
      <c r="AJ558" s="36">
        <v>0</v>
      </c>
      <c r="AK558" s="36">
        <v>0</v>
      </c>
      <c r="AL558" s="36">
        <v>0</v>
      </c>
      <c r="AM558" s="36">
        <v>0</v>
      </c>
      <c r="AN558" s="36">
        <v>0</v>
      </c>
      <c r="AO558" s="36">
        <v>0</v>
      </c>
      <c r="AP558" s="36">
        <v>0</v>
      </c>
      <c r="AQ558" s="36">
        <v>0</v>
      </c>
      <c r="AR558" s="36">
        <v>0</v>
      </c>
      <c r="AS558" s="36">
        <v>0</v>
      </c>
      <c r="AT558" s="36">
        <v>0</v>
      </c>
      <c r="AU558" s="36">
        <v>0</v>
      </c>
      <c r="AV558" s="36">
        <v>0</v>
      </c>
      <c r="AW558" s="37">
        <v>0</v>
      </c>
    </row>
    <row r="559" spans="1:49" s="3" customFormat="1" ht="18" customHeight="1" x14ac:dyDescent="0.2">
      <c r="A559" s="39">
        <v>5</v>
      </c>
      <c r="B559" s="35">
        <v>0</v>
      </c>
      <c r="C559" s="36">
        <v>0</v>
      </c>
      <c r="D559" s="36">
        <v>0</v>
      </c>
      <c r="E559" s="36">
        <v>0</v>
      </c>
      <c r="F559" s="36">
        <v>-1</v>
      </c>
      <c r="G559" s="36">
        <v>0</v>
      </c>
      <c r="H559" s="36">
        <v>0</v>
      </c>
      <c r="I559" s="36">
        <v>0</v>
      </c>
      <c r="J559" s="36">
        <v>0</v>
      </c>
      <c r="K559" s="36">
        <v>0</v>
      </c>
      <c r="L559" s="36">
        <v>0</v>
      </c>
      <c r="M559" s="36">
        <v>0</v>
      </c>
      <c r="N559" s="36">
        <v>0</v>
      </c>
      <c r="O559" s="36">
        <v>0</v>
      </c>
      <c r="P559" s="36">
        <v>0</v>
      </c>
      <c r="Q559" s="36">
        <v>0</v>
      </c>
      <c r="R559" s="36">
        <v>0</v>
      </c>
      <c r="S559" s="36">
        <v>0</v>
      </c>
      <c r="T559" s="36">
        <v>0</v>
      </c>
      <c r="U559" s="36">
        <v>0</v>
      </c>
      <c r="V559" s="36">
        <v>0</v>
      </c>
      <c r="W559" s="36">
        <v>0</v>
      </c>
      <c r="X559" s="36">
        <v>0</v>
      </c>
      <c r="Y559" s="36">
        <v>0</v>
      </c>
      <c r="Z559" s="36">
        <v>0</v>
      </c>
      <c r="AA559" s="36">
        <v>0</v>
      </c>
      <c r="AB559" s="36">
        <v>0</v>
      </c>
      <c r="AC559" s="36">
        <v>0</v>
      </c>
      <c r="AD559" s="36">
        <v>0</v>
      </c>
      <c r="AE559" s="36">
        <v>0</v>
      </c>
      <c r="AF559" s="36">
        <v>0</v>
      </c>
      <c r="AG559" s="36">
        <v>0</v>
      </c>
      <c r="AH559" s="36">
        <v>0</v>
      </c>
      <c r="AI559" s="36">
        <v>0</v>
      </c>
      <c r="AJ559" s="36">
        <v>0</v>
      </c>
      <c r="AK559" s="36">
        <v>0</v>
      </c>
      <c r="AL559" s="36">
        <v>0</v>
      </c>
      <c r="AM559" s="36">
        <v>0</v>
      </c>
      <c r="AN559" s="36">
        <v>0</v>
      </c>
      <c r="AO559" s="36">
        <v>0</v>
      </c>
      <c r="AP559" s="36">
        <v>0</v>
      </c>
      <c r="AQ559" s="36">
        <v>0</v>
      </c>
      <c r="AR559" s="36">
        <v>0</v>
      </c>
      <c r="AS559" s="36">
        <v>0</v>
      </c>
      <c r="AT559" s="36">
        <v>0</v>
      </c>
      <c r="AU559" s="36">
        <v>0</v>
      </c>
      <c r="AV559" s="36">
        <v>0</v>
      </c>
      <c r="AW559" s="37">
        <v>0</v>
      </c>
    </row>
    <row r="560" spans="1:49" s="3" customFormat="1" ht="18" customHeight="1" x14ac:dyDescent="0.2">
      <c r="A560" s="39">
        <v>6</v>
      </c>
      <c r="B560" s="35">
        <v>0</v>
      </c>
      <c r="C560" s="36">
        <v>0</v>
      </c>
      <c r="D560" s="36">
        <v>0</v>
      </c>
      <c r="E560" s="36">
        <v>0</v>
      </c>
      <c r="F560" s="36">
        <v>0</v>
      </c>
      <c r="G560" s="36">
        <v>-1</v>
      </c>
      <c r="H560" s="36">
        <v>0</v>
      </c>
      <c r="I560" s="36">
        <v>0</v>
      </c>
      <c r="J560" s="36">
        <v>0</v>
      </c>
      <c r="K560" s="36">
        <v>0</v>
      </c>
      <c r="L560" s="36">
        <v>0</v>
      </c>
      <c r="M560" s="36">
        <v>0</v>
      </c>
      <c r="N560" s="36">
        <v>0</v>
      </c>
      <c r="O560" s="36">
        <v>0</v>
      </c>
      <c r="P560" s="36">
        <v>0</v>
      </c>
      <c r="Q560" s="36">
        <v>0</v>
      </c>
      <c r="R560" s="36">
        <v>0</v>
      </c>
      <c r="S560" s="36">
        <v>0</v>
      </c>
      <c r="T560" s="36">
        <v>0</v>
      </c>
      <c r="U560" s="36">
        <v>0</v>
      </c>
      <c r="V560" s="36">
        <v>0</v>
      </c>
      <c r="W560" s="36">
        <v>0</v>
      </c>
      <c r="X560" s="36">
        <v>0</v>
      </c>
      <c r="Y560" s="36">
        <v>0</v>
      </c>
      <c r="Z560" s="36">
        <v>0</v>
      </c>
      <c r="AA560" s="36">
        <v>0</v>
      </c>
      <c r="AB560" s="36">
        <v>0</v>
      </c>
      <c r="AC560" s="36">
        <v>0</v>
      </c>
      <c r="AD560" s="36">
        <v>0</v>
      </c>
      <c r="AE560" s="36">
        <v>0</v>
      </c>
      <c r="AF560" s="36">
        <v>0</v>
      </c>
      <c r="AG560" s="36">
        <v>0</v>
      </c>
      <c r="AH560" s="36">
        <v>0</v>
      </c>
      <c r="AI560" s="36">
        <v>0</v>
      </c>
      <c r="AJ560" s="36">
        <v>0</v>
      </c>
      <c r="AK560" s="36">
        <v>0</v>
      </c>
      <c r="AL560" s="36">
        <v>0</v>
      </c>
      <c r="AM560" s="36">
        <v>0</v>
      </c>
      <c r="AN560" s="36">
        <v>0</v>
      </c>
      <c r="AO560" s="36">
        <v>0</v>
      </c>
      <c r="AP560" s="36">
        <v>0</v>
      </c>
      <c r="AQ560" s="36">
        <v>0</v>
      </c>
      <c r="AR560" s="36">
        <v>0</v>
      </c>
      <c r="AS560" s="36">
        <v>0</v>
      </c>
      <c r="AT560" s="36">
        <v>0</v>
      </c>
      <c r="AU560" s="36">
        <v>0</v>
      </c>
      <c r="AV560" s="36">
        <v>0</v>
      </c>
      <c r="AW560" s="37">
        <v>0</v>
      </c>
    </row>
    <row r="561" spans="1:49" s="3" customFormat="1" ht="18" customHeight="1" x14ac:dyDescent="0.2">
      <c r="A561" s="39">
        <v>7</v>
      </c>
      <c r="B561" s="35">
        <v>0</v>
      </c>
      <c r="C561" s="36">
        <v>0</v>
      </c>
      <c r="D561" s="36">
        <v>0</v>
      </c>
      <c r="E561" s="36">
        <v>0</v>
      </c>
      <c r="F561" s="36">
        <v>0</v>
      </c>
      <c r="G561" s="36">
        <v>0</v>
      </c>
      <c r="H561" s="36">
        <v>-1</v>
      </c>
      <c r="I561" s="36">
        <v>0</v>
      </c>
      <c r="J561" s="36">
        <v>0</v>
      </c>
      <c r="K561" s="36">
        <v>0</v>
      </c>
      <c r="L561" s="36">
        <v>0</v>
      </c>
      <c r="M561" s="36">
        <v>0</v>
      </c>
      <c r="N561" s="36">
        <v>0</v>
      </c>
      <c r="O561" s="36">
        <v>0</v>
      </c>
      <c r="P561" s="36">
        <v>0</v>
      </c>
      <c r="Q561" s="36">
        <v>0</v>
      </c>
      <c r="R561" s="36">
        <v>0</v>
      </c>
      <c r="S561" s="36">
        <v>0</v>
      </c>
      <c r="T561" s="36">
        <v>0</v>
      </c>
      <c r="U561" s="36">
        <v>0</v>
      </c>
      <c r="V561" s="36">
        <v>0</v>
      </c>
      <c r="W561" s="36">
        <v>0</v>
      </c>
      <c r="X561" s="36">
        <v>0</v>
      </c>
      <c r="Y561" s="36">
        <v>0</v>
      </c>
      <c r="Z561" s="36">
        <v>0</v>
      </c>
      <c r="AA561" s="36">
        <v>0</v>
      </c>
      <c r="AB561" s="36">
        <v>0</v>
      </c>
      <c r="AC561" s="36">
        <v>0</v>
      </c>
      <c r="AD561" s="36">
        <v>0</v>
      </c>
      <c r="AE561" s="36">
        <v>0</v>
      </c>
      <c r="AF561" s="36">
        <v>0</v>
      </c>
      <c r="AG561" s="36">
        <v>0</v>
      </c>
      <c r="AH561" s="36">
        <v>0</v>
      </c>
      <c r="AI561" s="36">
        <v>0</v>
      </c>
      <c r="AJ561" s="36">
        <v>0</v>
      </c>
      <c r="AK561" s="36">
        <v>0</v>
      </c>
      <c r="AL561" s="36">
        <v>0</v>
      </c>
      <c r="AM561" s="36">
        <v>0</v>
      </c>
      <c r="AN561" s="36">
        <v>0</v>
      </c>
      <c r="AO561" s="36">
        <v>0</v>
      </c>
      <c r="AP561" s="36">
        <v>0</v>
      </c>
      <c r="AQ561" s="36">
        <v>0</v>
      </c>
      <c r="AR561" s="36">
        <v>0</v>
      </c>
      <c r="AS561" s="36">
        <v>0</v>
      </c>
      <c r="AT561" s="36">
        <v>0</v>
      </c>
      <c r="AU561" s="36">
        <v>0</v>
      </c>
      <c r="AV561" s="36">
        <v>0</v>
      </c>
      <c r="AW561" s="37">
        <v>0</v>
      </c>
    </row>
    <row r="562" spans="1:49" s="3" customFormat="1" ht="18" customHeight="1" x14ac:dyDescent="0.2">
      <c r="A562" s="39">
        <v>8</v>
      </c>
      <c r="B562" s="35">
        <v>0</v>
      </c>
      <c r="C562" s="36">
        <v>0</v>
      </c>
      <c r="D562" s="36">
        <v>0</v>
      </c>
      <c r="E562" s="36">
        <v>0</v>
      </c>
      <c r="F562" s="36">
        <v>0</v>
      </c>
      <c r="G562" s="36">
        <v>0</v>
      </c>
      <c r="H562" s="36">
        <v>0</v>
      </c>
      <c r="I562" s="36">
        <v>-1</v>
      </c>
      <c r="J562" s="36">
        <v>0</v>
      </c>
      <c r="K562" s="36">
        <v>0</v>
      </c>
      <c r="L562" s="36">
        <v>0</v>
      </c>
      <c r="M562" s="36">
        <v>0</v>
      </c>
      <c r="N562" s="36">
        <v>0</v>
      </c>
      <c r="O562" s="36">
        <v>0</v>
      </c>
      <c r="P562" s="36">
        <v>0</v>
      </c>
      <c r="Q562" s="36">
        <v>0</v>
      </c>
      <c r="R562" s="36">
        <v>0</v>
      </c>
      <c r="S562" s="36">
        <v>0</v>
      </c>
      <c r="T562" s="36">
        <v>0</v>
      </c>
      <c r="U562" s="36">
        <v>0</v>
      </c>
      <c r="V562" s="36">
        <v>0</v>
      </c>
      <c r="W562" s="36">
        <v>0</v>
      </c>
      <c r="X562" s="36">
        <v>0</v>
      </c>
      <c r="Y562" s="36">
        <v>0</v>
      </c>
      <c r="Z562" s="36">
        <v>0</v>
      </c>
      <c r="AA562" s="36">
        <v>0</v>
      </c>
      <c r="AB562" s="36">
        <v>0</v>
      </c>
      <c r="AC562" s="36">
        <v>0</v>
      </c>
      <c r="AD562" s="36">
        <v>0</v>
      </c>
      <c r="AE562" s="36">
        <v>0</v>
      </c>
      <c r="AF562" s="36">
        <v>0</v>
      </c>
      <c r="AG562" s="36">
        <v>0</v>
      </c>
      <c r="AH562" s="36">
        <v>0</v>
      </c>
      <c r="AI562" s="36">
        <v>0</v>
      </c>
      <c r="AJ562" s="36">
        <v>0</v>
      </c>
      <c r="AK562" s="36">
        <v>0</v>
      </c>
      <c r="AL562" s="36">
        <v>0</v>
      </c>
      <c r="AM562" s="36">
        <v>0</v>
      </c>
      <c r="AN562" s="36">
        <v>0</v>
      </c>
      <c r="AO562" s="36">
        <v>0</v>
      </c>
      <c r="AP562" s="36">
        <v>0</v>
      </c>
      <c r="AQ562" s="36">
        <v>0</v>
      </c>
      <c r="AR562" s="36">
        <v>0</v>
      </c>
      <c r="AS562" s="36">
        <v>0</v>
      </c>
      <c r="AT562" s="36">
        <v>0</v>
      </c>
      <c r="AU562" s="36">
        <v>0</v>
      </c>
      <c r="AV562" s="36">
        <v>0</v>
      </c>
      <c r="AW562" s="37">
        <v>0</v>
      </c>
    </row>
    <row r="563" spans="1:49" s="3" customFormat="1" ht="18" customHeight="1" x14ac:dyDescent="0.2">
      <c r="A563" s="39">
        <v>9</v>
      </c>
      <c r="B563" s="35">
        <v>0</v>
      </c>
      <c r="C563" s="36">
        <v>0</v>
      </c>
      <c r="D563" s="36">
        <v>0</v>
      </c>
      <c r="E563" s="36">
        <v>0</v>
      </c>
      <c r="F563" s="36">
        <v>0</v>
      </c>
      <c r="G563" s="36">
        <v>0</v>
      </c>
      <c r="H563" s="36">
        <v>0</v>
      </c>
      <c r="I563" s="36">
        <v>0</v>
      </c>
      <c r="J563" s="36">
        <v>-1</v>
      </c>
      <c r="K563" s="36">
        <v>0</v>
      </c>
      <c r="L563" s="36">
        <v>0</v>
      </c>
      <c r="M563" s="36">
        <v>0</v>
      </c>
      <c r="N563" s="36">
        <v>0</v>
      </c>
      <c r="O563" s="36">
        <v>0</v>
      </c>
      <c r="P563" s="36">
        <v>0</v>
      </c>
      <c r="Q563" s="36">
        <v>0</v>
      </c>
      <c r="R563" s="36">
        <v>0</v>
      </c>
      <c r="S563" s="36">
        <v>0</v>
      </c>
      <c r="T563" s="36">
        <v>0</v>
      </c>
      <c r="U563" s="36">
        <v>0</v>
      </c>
      <c r="V563" s="36">
        <v>0</v>
      </c>
      <c r="W563" s="36">
        <v>0</v>
      </c>
      <c r="X563" s="36">
        <v>0</v>
      </c>
      <c r="Y563" s="36">
        <v>0</v>
      </c>
      <c r="Z563" s="36">
        <v>0</v>
      </c>
      <c r="AA563" s="36">
        <v>0</v>
      </c>
      <c r="AB563" s="36">
        <v>0</v>
      </c>
      <c r="AC563" s="36">
        <v>0</v>
      </c>
      <c r="AD563" s="36">
        <v>0</v>
      </c>
      <c r="AE563" s="36">
        <v>0</v>
      </c>
      <c r="AF563" s="36">
        <v>0</v>
      </c>
      <c r="AG563" s="36">
        <v>0</v>
      </c>
      <c r="AH563" s="36">
        <v>0</v>
      </c>
      <c r="AI563" s="36">
        <v>0</v>
      </c>
      <c r="AJ563" s="36">
        <v>0</v>
      </c>
      <c r="AK563" s="36">
        <v>0</v>
      </c>
      <c r="AL563" s="36">
        <v>0</v>
      </c>
      <c r="AM563" s="36">
        <v>0</v>
      </c>
      <c r="AN563" s="36">
        <v>0</v>
      </c>
      <c r="AO563" s="36">
        <v>0</v>
      </c>
      <c r="AP563" s="36">
        <v>0</v>
      </c>
      <c r="AQ563" s="36">
        <v>0</v>
      </c>
      <c r="AR563" s="36">
        <v>0</v>
      </c>
      <c r="AS563" s="36">
        <v>0</v>
      </c>
      <c r="AT563" s="36">
        <v>0</v>
      </c>
      <c r="AU563" s="36">
        <v>0</v>
      </c>
      <c r="AV563" s="36">
        <v>0</v>
      </c>
      <c r="AW563" s="37">
        <v>0</v>
      </c>
    </row>
    <row r="564" spans="1:49" s="3" customFormat="1" ht="18" customHeight="1" x14ac:dyDescent="0.2">
      <c r="A564" s="39">
        <v>10</v>
      </c>
      <c r="B564" s="35">
        <v>0</v>
      </c>
      <c r="C564" s="36">
        <v>0</v>
      </c>
      <c r="D564" s="36">
        <v>0</v>
      </c>
      <c r="E564" s="36">
        <v>0</v>
      </c>
      <c r="F564" s="36">
        <v>0</v>
      </c>
      <c r="G564" s="36">
        <v>0</v>
      </c>
      <c r="H564" s="36">
        <v>0</v>
      </c>
      <c r="I564" s="36">
        <v>0</v>
      </c>
      <c r="J564" s="36">
        <v>0</v>
      </c>
      <c r="K564" s="36">
        <v>-1</v>
      </c>
      <c r="L564" s="36">
        <v>0</v>
      </c>
      <c r="M564" s="36">
        <v>0</v>
      </c>
      <c r="N564" s="36">
        <v>0</v>
      </c>
      <c r="O564" s="36">
        <v>0</v>
      </c>
      <c r="P564" s="36">
        <v>0</v>
      </c>
      <c r="Q564" s="36">
        <v>0</v>
      </c>
      <c r="R564" s="36">
        <v>0</v>
      </c>
      <c r="S564" s="36">
        <v>0</v>
      </c>
      <c r="T564" s="36">
        <v>0</v>
      </c>
      <c r="U564" s="36">
        <v>0</v>
      </c>
      <c r="V564" s="36">
        <v>0</v>
      </c>
      <c r="W564" s="36">
        <v>0</v>
      </c>
      <c r="X564" s="36">
        <v>0</v>
      </c>
      <c r="Y564" s="36">
        <v>0</v>
      </c>
      <c r="Z564" s="36">
        <v>0</v>
      </c>
      <c r="AA564" s="36">
        <v>0</v>
      </c>
      <c r="AB564" s="36">
        <v>0</v>
      </c>
      <c r="AC564" s="36">
        <v>0</v>
      </c>
      <c r="AD564" s="36">
        <v>0</v>
      </c>
      <c r="AE564" s="36">
        <v>0</v>
      </c>
      <c r="AF564" s="36">
        <v>0</v>
      </c>
      <c r="AG564" s="36">
        <v>0</v>
      </c>
      <c r="AH564" s="36">
        <v>0</v>
      </c>
      <c r="AI564" s="36">
        <v>0</v>
      </c>
      <c r="AJ564" s="36">
        <v>0</v>
      </c>
      <c r="AK564" s="36">
        <v>0</v>
      </c>
      <c r="AL564" s="36">
        <v>0</v>
      </c>
      <c r="AM564" s="36">
        <v>0</v>
      </c>
      <c r="AN564" s="36">
        <v>0</v>
      </c>
      <c r="AO564" s="36">
        <v>0</v>
      </c>
      <c r="AP564" s="36">
        <v>0</v>
      </c>
      <c r="AQ564" s="36">
        <v>0</v>
      </c>
      <c r="AR564" s="36">
        <v>0</v>
      </c>
      <c r="AS564" s="36">
        <v>0</v>
      </c>
      <c r="AT564" s="36">
        <v>0</v>
      </c>
      <c r="AU564" s="36">
        <v>0</v>
      </c>
      <c r="AV564" s="36">
        <v>0</v>
      </c>
      <c r="AW564" s="37">
        <v>0</v>
      </c>
    </row>
    <row r="565" spans="1:49" s="3" customFormat="1" ht="18" customHeight="1" x14ac:dyDescent="0.2">
      <c r="A565" s="39">
        <v>11</v>
      </c>
      <c r="B565" s="35">
        <v>0</v>
      </c>
      <c r="C565" s="36">
        <v>0</v>
      </c>
      <c r="D565" s="36">
        <v>0</v>
      </c>
      <c r="E565" s="36">
        <v>0</v>
      </c>
      <c r="F565" s="36">
        <v>0</v>
      </c>
      <c r="G565" s="36">
        <v>0</v>
      </c>
      <c r="H565" s="36">
        <v>0</v>
      </c>
      <c r="I565" s="36">
        <v>0</v>
      </c>
      <c r="J565" s="36">
        <v>0</v>
      </c>
      <c r="K565" s="36">
        <v>0</v>
      </c>
      <c r="L565" s="36">
        <v>-1</v>
      </c>
      <c r="M565" s="36">
        <v>0</v>
      </c>
      <c r="N565" s="36">
        <v>0</v>
      </c>
      <c r="O565" s="36">
        <v>0</v>
      </c>
      <c r="P565" s="36">
        <v>0</v>
      </c>
      <c r="Q565" s="36">
        <v>0</v>
      </c>
      <c r="R565" s="36">
        <v>0</v>
      </c>
      <c r="S565" s="36">
        <v>0</v>
      </c>
      <c r="T565" s="36">
        <v>0</v>
      </c>
      <c r="U565" s="36">
        <v>0</v>
      </c>
      <c r="V565" s="36">
        <v>0</v>
      </c>
      <c r="W565" s="36">
        <v>0</v>
      </c>
      <c r="X565" s="36">
        <v>0</v>
      </c>
      <c r="Y565" s="36">
        <v>0</v>
      </c>
      <c r="Z565" s="36">
        <v>0</v>
      </c>
      <c r="AA565" s="36">
        <v>0</v>
      </c>
      <c r="AB565" s="36">
        <v>0</v>
      </c>
      <c r="AC565" s="36">
        <v>0</v>
      </c>
      <c r="AD565" s="36">
        <v>0</v>
      </c>
      <c r="AE565" s="36">
        <v>0</v>
      </c>
      <c r="AF565" s="36">
        <v>0</v>
      </c>
      <c r="AG565" s="36">
        <v>0</v>
      </c>
      <c r="AH565" s="36">
        <v>0</v>
      </c>
      <c r="AI565" s="36">
        <v>0</v>
      </c>
      <c r="AJ565" s="36">
        <v>0</v>
      </c>
      <c r="AK565" s="36">
        <v>0</v>
      </c>
      <c r="AL565" s="36">
        <v>0</v>
      </c>
      <c r="AM565" s="36">
        <v>0</v>
      </c>
      <c r="AN565" s="36">
        <v>0</v>
      </c>
      <c r="AO565" s="36">
        <v>0</v>
      </c>
      <c r="AP565" s="36">
        <v>0</v>
      </c>
      <c r="AQ565" s="36">
        <v>0</v>
      </c>
      <c r="AR565" s="36">
        <v>0</v>
      </c>
      <c r="AS565" s="36">
        <v>0</v>
      </c>
      <c r="AT565" s="36">
        <v>0</v>
      </c>
      <c r="AU565" s="36">
        <v>0</v>
      </c>
      <c r="AV565" s="36">
        <v>0</v>
      </c>
      <c r="AW565" s="37">
        <v>0</v>
      </c>
    </row>
    <row r="566" spans="1:49" s="3" customFormat="1" ht="18" customHeight="1" x14ac:dyDescent="0.2">
      <c r="A566" s="39">
        <v>12</v>
      </c>
      <c r="B566" s="35">
        <v>0</v>
      </c>
      <c r="C566" s="36">
        <v>0</v>
      </c>
      <c r="D566" s="36">
        <v>0</v>
      </c>
      <c r="E566" s="36">
        <v>0</v>
      </c>
      <c r="F566" s="36">
        <v>0</v>
      </c>
      <c r="G566" s="36">
        <v>0</v>
      </c>
      <c r="H566" s="36">
        <v>0</v>
      </c>
      <c r="I566" s="36">
        <v>0</v>
      </c>
      <c r="J566" s="36">
        <v>0</v>
      </c>
      <c r="K566" s="36">
        <v>0</v>
      </c>
      <c r="L566" s="36">
        <v>0</v>
      </c>
      <c r="M566" s="36">
        <v>-1</v>
      </c>
      <c r="N566" s="36">
        <v>0</v>
      </c>
      <c r="O566" s="36">
        <v>0</v>
      </c>
      <c r="P566" s="36">
        <v>0</v>
      </c>
      <c r="Q566" s="36">
        <v>0</v>
      </c>
      <c r="R566" s="36">
        <v>0</v>
      </c>
      <c r="S566" s="36">
        <v>0</v>
      </c>
      <c r="T566" s="36">
        <v>0</v>
      </c>
      <c r="U566" s="36">
        <v>0</v>
      </c>
      <c r="V566" s="36">
        <v>0</v>
      </c>
      <c r="W566" s="36">
        <v>0</v>
      </c>
      <c r="X566" s="36">
        <v>0</v>
      </c>
      <c r="Y566" s="36">
        <v>0</v>
      </c>
      <c r="Z566" s="36">
        <v>0</v>
      </c>
      <c r="AA566" s="36">
        <v>0</v>
      </c>
      <c r="AB566" s="36">
        <v>0</v>
      </c>
      <c r="AC566" s="36">
        <v>0</v>
      </c>
      <c r="AD566" s="36">
        <v>0</v>
      </c>
      <c r="AE566" s="36">
        <v>0</v>
      </c>
      <c r="AF566" s="36">
        <v>0</v>
      </c>
      <c r="AG566" s="36">
        <v>0</v>
      </c>
      <c r="AH566" s="36">
        <v>0</v>
      </c>
      <c r="AI566" s="36">
        <v>0</v>
      </c>
      <c r="AJ566" s="36">
        <v>0</v>
      </c>
      <c r="AK566" s="36">
        <v>0</v>
      </c>
      <c r="AL566" s="36">
        <v>0</v>
      </c>
      <c r="AM566" s="36">
        <v>0</v>
      </c>
      <c r="AN566" s="36">
        <v>0</v>
      </c>
      <c r="AO566" s="36">
        <v>0</v>
      </c>
      <c r="AP566" s="36">
        <v>0</v>
      </c>
      <c r="AQ566" s="36">
        <v>0</v>
      </c>
      <c r="AR566" s="36">
        <v>0</v>
      </c>
      <c r="AS566" s="36">
        <v>0</v>
      </c>
      <c r="AT566" s="36">
        <v>0</v>
      </c>
      <c r="AU566" s="36">
        <v>0</v>
      </c>
      <c r="AV566" s="36">
        <v>0</v>
      </c>
      <c r="AW566" s="37">
        <v>0</v>
      </c>
    </row>
    <row r="567" spans="1:49" s="3" customFormat="1" ht="18" customHeight="1" x14ac:dyDescent="0.2">
      <c r="A567" s="39">
        <v>13</v>
      </c>
      <c r="B567" s="35">
        <v>0</v>
      </c>
      <c r="C567" s="36">
        <v>0</v>
      </c>
      <c r="D567" s="36">
        <v>0</v>
      </c>
      <c r="E567" s="36">
        <v>0</v>
      </c>
      <c r="F567" s="36">
        <v>0</v>
      </c>
      <c r="G567" s="36">
        <v>0</v>
      </c>
      <c r="H567" s="36">
        <v>0</v>
      </c>
      <c r="I567" s="36">
        <v>0</v>
      </c>
      <c r="J567" s="36">
        <v>0</v>
      </c>
      <c r="K567" s="36">
        <v>0</v>
      </c>
      <c r="L567" s="36">
        <v>0</v>
      </c>
      <c r="M567" s="36">
        <v>0</v>
      </c>
      <c r="N567" s="36">
        <v>-1</v>
      </c>
      <c r="O567" s="36">
        <v>0</v>
      </c>
      <c r="P567" s="36">
        <v>0</v>
      </c>
      <c r="Q567" s="36">
        <v>0</v>
      </c>
      <c r="R567" s="36">
        <v>0</v>
      </c>
      <c r="S567" s="36">
        <v>0</v>
      </c>
      <c r="T567" s="36">
        <v>0</v>
      </c>
      <c r="U567" s="36">
        <v>0</v>
      </c>
      <c r="V567" s="36">
        <v>0</v>
      </c>
      <c r="W567" s="36">
        <v>0</v>
      </c>
      <c r="X567" s="36">
        <v>0</v>
      </c>
      <c r="Y567" s="36">
        <v>0</v>
      </c>
      <c r="Z567" s="36">
        <v>0</v>
      </c>
      <c r="AA567" s="36">
        <v>0</v>
      </c>
      <c r="AB567" s="36">
        <v>0</v>
      </c>
      <c r="AC567" s="36">
        <v>0</v>
      </c>
      <c r="AD567" s="36">
        <v>0</v>
      </c>
      <c r="AE567" s="36">
        <v>0</v>
      </c>
      <c r="AF567" s="36">
        <v>0</v>
      </c>
      <c r="AG567" s="36">
        <v>0</v>
      </c>
      <c r="AH567" s="36">
        <v>0</v>
      </c>
      <c r="AI567" s="36">
        <v>0</v>
      </c>
      <c r="AJ567" s="36">
        <v>0</v>
      </c>
      <c r="AK567" s="36">
        <v>0</v>
      </c>
      <c r="AL567" s="36">
        <v>0</v>
      </c>
      <c r="AM567" s="36">
        <v>0</v>
      </c>
      <c r="AN567" s="36">
        <v>0</v>
      </c>
      <c r="AO567" s="36">
        <v>0</v>
      </c>
      <c r="AP567" s="36">
        <v>0</v>
      </c>
      <c r="AQ567" s="36">
        <v>0</v>
      </c>
      <c r="AR567" s="36">
        <v>0</v>
      </c>
      <c r="AS567" s="36">
        <v>0</v>
      </c>
      <c r="AT567" s="36">
        <v>0</v>
      </c>
      <c r="AU567" s="36">
        <v>0</v>
      </c>
      <c r="AV567" s="36">
        <v>0</v>
      </c>
      <c r="AW567" s="37">
        <v>0</v>
      </c>
    </row>
    <row r="568" spans="1:49" s="3" customFormat="1" ht="18" customHeight="1" x14ac:dyDescent="0.2">
      <c r="A568" s="39">
        <v>14</v>
      </c>
      <c r="B568" s="35">
        <v>0</v>
      </c>
      <c r="C568" s="36">
        <v>0</v>
      </c>
      <c r="D568" s="36">
        <v>0</v>
      </c>
      <c r="E568" s="36">
        <v>0</v>
      </c>
      <c r="F568" s="36">
        <v>0</v>
      </c>
      <c r="G568" s="36">
        <v>0</v>
      </c>
      <c r="H568" s="36">
        <v>0</v>
      </c>
      <c r="I568" s="36">
        <v>0</v>
      </c>
      <c r="J568" s="36">
        <v>0</v>
      </c>
      <c r="K568" s="36">
        <v>0</v>
      </c>
      <c r="L568" s="36">
        <v>0</v>
      </c>
      <c r="M568" s="36">
        <v>0</v>
      </c>
      <c r="N568" s="36">
        <v>0</v>
      </c>
      <c r="O568" s="36">
        <v>-1</v>
      </c>
      <c r="P568" s="36">
        <v>0</v>
      </c>
      <c r="Q568" s="36">
        <v>0</v>
      </c>
      <c r="R568" s="36">
        <v>0</v>
      </c>
      <c r="S568" s="36">
        <v>0</v>
      </c>
      <c r="T568" s="36">
        <v>0</v>
      </c>
      <c r="U568" s="36">
        <v>0</v>
      </c>
      <c r="V568" s="36">
        <v>0</v>
      </c>
      <c r="W568" s="36">
        <v>0</v>
      </c>
      <c r="X568" s="36">
        <v>0</v>
      </c>
      <c r="Y568" s="36">
        <v>0</v>
      </c>
      <c r="Z568" s="36">
        <v>0</v>
      </c>
      <c r="AA568" s="36">
        <v>0</v>
      </c>
      <c r="AB568" s="36">
        <v>0</v>
      </c>
      <c r="AC568" s="36">
        <v>0</v>
      </c>
      <c r="AD568" s="36">
        <v>0</v>
      </c>
      <c r="AE568" s="36">
        <v>0</v>
      </c>
      <c r="AF568" s="36">
        <v>0</v>
      </c>
      <c r="AG568" s="36">
        <v>0</v>
      </c>
      <c r="AH568" s="36">
        <v>0</v>
      </c>
      <c r="AI568" s="36">
        <v>0</v>
      </c>
      <c r="AJ568" s="36">
        <v>0</v>
      </c>
      <c r="AK568" s="36">
        <v>0</v>
      </c>
      <c r="AL568" s="36">
        <v>0</v>
      </c>
      <c r="AM568" s="36">
        <v>0</v>
      </c>
      <c r="AN568" s="36">
        <v>0</v>
      </c>
      <c r="AO568" s="36">
        <v>0</v>
      </c>
      <c r="AP568" s="36">
        <v>0</v>
      </c>
      <c r="AQ568" s="36">
        <v>0</v>
      </c>
      <c r="AR568" s="36">
        <v>0</v>
      </c>
      <c r="AS568" s="36">
        <v>0</v>
      </c>
      <c r="AT568" s="36">
        <v>0</v>
      </c>
      <c r="AU568" s="36">
        <v>0</v>
      </c>
      <c r="AV568" s="36">
        <v>0</v>
      </c>
      <c r="AW568" s="37">
        <v>0</v>
      </c>
    </row>
    <row r="569" spans="1:49" s="3" customFormat="1" ht="18" customHeight="1" x14ac:dyDescent="0.2">
      <c r="A569" s="39">
        <v>15</v>
      </c>
      <c r="B569" s="35">
        <v>0</v>
      </c>
      <c r="C569" s="36">
        <v>0</v>
      </c>
      <c r="D569" s="36">
        <v>0</v>
      </c>
      <c r="E569" s="36">
        <v>0</v>
      </c>
      <c r="F569" s="36">
        <v>0</v>
      </c>
      <c r="G569" s="36">
        <v>0</v>
      </c>
      <c r="H569" s="36">
        <v>0</v>
      </c>
      <c r="I569" s="36">
        <v>0</v>
      </c>
      <c r="J569" s="36">
        <v>0</v>
      </c>
      <c r="K569" s="36">
        <v>0</v>
      </c>
      <c r="L569" s="36">
        <v>0</v>
      </c>
      <c r="M569" s="36">
        <v>0</v>
      </c>
      <c r="N569" s="36">
        <v>0</v>
      </c>
      <c r="O569" s="36">
        <v>0</v>
      </c>
      <c r="P569" s="36">
        <v>-1</v>
      </c>
      <c r="Q569" s="36">
        <v>0</v>
      </c>
      <c r="R569" s="36">
        <v>0</v>
      </c>
      <c r="S569" s="36">
        <v>0</v>
      </c>
      <c r="T569" s="36">
        <v>0</v>
      </c>
      <c r="U569" s="36">
        <v>0</v>
      </c>
      <c r="V569" s="36">
        <v>0</v>
      </c>
      <c r="W569" s="36">
        <v>0</v>
      </c>
      <c r="X569" s="36">
        <v>0</v>
      </c>
      <c r="Y569" s="36">
        <v>0</v>
      </c>
      <c r="Z569" s="36">
        <v>0</v>
      </c>
      <c r="AA569" s="36">
        <v>0</v>
      </c>
      <c r="AB569" s="36">
        <v>0</v>
      </c>
      <c r="AC569" s="36">
        <v>0</v>
      </c>
      <c r="AD569" s="36">
        <v>0</v>
      </c>
      <c r="AE569" s="36">
        <v>0</v>
      </c>
      <c r="AF569" s="36">
        <v>0</v>
      </c>
      <c r="AG569" s="36">
        <v>0</v>
      </c>
      <c r="AH569" s="36">
        <v>0</v>
      </c>
      <c r="AI569" s="36">
        <v>0</v>
      </c>
      <c r="AJ569" s="36">
        <v>0</v>
      </c>
      <c r="AK569" s="36">
        <v>0</v>
      </c>
      <c r="AL569" s="36">
        <v>0</v>
      </c>
      <c r="AM569" s="36">
        <v>0</v>
      </c>
      <c r="AN569" s="36">
        <v>0</v>
      </c>
      <c r="AO569" s="36">
        <v>0</v>
      </c>
      <c r="AP569" s="36">
        <v>0</v>
      </c>
      <c r="AQ569" s="36">
        <v>0</v>
      </c>
      <c r="AR569" s="36">
        <v>0</v>
      </c>
      <c r="AS569" s="36">
        <v>0</v>
      </c>
      <c r="AT569" s="36">
        <v>0</v>
      </c>
      <c r="AU569" s="36">
        <v>0</v>
      </c>
      <c r="AV569" s="36">
        <v>0</v>
      </c>
      <c r="AW569" s="37">
        <v>0</v>
      </c>
    </row>
    <row r="570" spans="1:49" s="3" customFormat="1" ht="18" customHeight="1" x14ac:dyDescent="0.2">
      <c r="A570" s="39">
        <v>16</v>
      </c>
      <c r="B570" s="35">
        <v>0</v>
      </c>
      <c r="C570" s="36">
        <v>0</v>
      </c>
      <c r="D570" s="36">
        <v>0</v>
      </c>
      <c r="E570" s="36">
        <v>0</v>
      </c>
      <c r="F570" s="36">
        <v>0</v>
      </c>
      <c r="G570" s="36">
        <v>0</v>
      </c>
      <c r="H570" s="36">
        <v>0</v>
      </c>
      <c r="I570" s="36">
        <v>0</v>
      </c>
      <c r="J570" s="36">
        <v>0</v>
      </c>
      <c r="K570" s="36">
        <v>0</v>
      </c>
      <c r="L570" s="36">
        <v>0</v>
      </c>
      <c r="M570" s="36">
        <v>0</v>
      </c>
      <c r="N570" s="36">
        <v>0</v>
      </c>
      <c r="O570" s="36">
        <v>0</v>
      </c>
      <c r="P570" s="36">
        <v>0</v>
      </c>
      <c r="Q570" s="36">
        <v>-1</v>
      </c>
      <c r="R570" s="36">
        <v>0</v>
      </c>
      <c r="S570" s="36">
        <v>0</v>
      </c>
      <c r="T570" s="36">
        <v>0</v>
      </c>
      <c r="U570" s="36">
        <v>0</v>
      </c>
      <c r="V570" s="36">
        <v>0</v>
      </c>
      <c r="W570" s="36">
        <v>0</v>
      </c>
      <c r="X570" s="36">
        <v>0</v>
      </c>
      <c r="Y570" s="36">
        <v>0</v>
      </c>
      <c r="Z570" s="36">
        <v>0</v>
      </c>
      <c r="AA570" s="36">
        <v>0</v>
      </c>
      <c r="AB570" s="36">
        <v>0</v>
      </c>
      <c r="AC570" s="36">
        <v>0</v>
      </c>
      <c r="AD570" s="36">
        <v>0</v>
      </c>
      <c r="AE570" s="36">
        <v>0</v>
      </c>
      <c r="AF570" s="36">
        <v>0</v>
      </c>
      <c r="AG570" s="36">
        <v>0</v>
      </c>
      <c r="AH570" s="36">
        <v>0</v>
      </c>
      <c r="AI570" s="36">
        <v>0</v>
      </c>
      <c r="AJ570" s="36">
        <v>0</v>
      </c>
      <c r="AK570" s="36">
        <v>0</v>
      </c>
      <c r="AL570" s="36">
        <v>0</v>
      </c>
      <c r="AM570" s="36">
        <v>0</v>
      </c>
      <c r="AN570" s="36">
        <v>0</v>
      </c>
      <c r="AO570" s="36">
        <v>0</v>
      </c>
      <c r="AP570" s="36">
        <v>0</v>
      </c>
      <c r="AQ570" s="36">
        <v>0</v>
      </c>
      <c r="AR570" s="36">
        <v>0</v>
      </c>
      <c r="AS570" s="36">
        <v>0</v>
      </c>
      <c r="AT570" s="36">
        <v>0</v>
      </c>
      <c r="AU570" s="36">
        <v>0</v>
      </c>
      <c r="AV570" s="36">
        <v>0</v>
      </c>
      <c r="AW570" s="37">
        <v>0</v>
      </c>
    </row>
    <row r="571" spans="1:49" s="3" customFormat="1" ht="18" customHeight="1" x14ac:dyDescent="0.2">
      <c r="A571" s="39">
        <v>17</v>
      </c>
      <c r="B571" s="35">
        <v>0</v>
      </c>
      <c r="C571" s="36">
        <v>0</v>
      </c>
      <c r="D571" s="36">
        <v>0</v>
      </c>
      <c r="E571" s="36">
        <v>0</v>
      </c>
      <c r="F571" s="36">
        <v>0</v>
      </c>
      <c r="G571" s="36">
        <v>0</v>
      </c>
      <c r="H571" s="36">
        <v>0</v>
      </c>
      <c r="I571" s="36">
        <v>0</v>
      </c>
      <c r="J571" s="36">
        <v>0</v>
      </c>
      <c r="K571" s="36">
        <v>0</v>
      </c>
      <c r="L571" s="36">
        <v>0</v>
      </c>
      <c r="M571" s="36">
        <v>0</v>
      </c>
      <c r="N571" s="36">
        <v>0</v>
      </c>
      <c r="O571" s="36">
        <v>0</v>
      </c>
      <c r="P571" s="36">
        <v>0</v>
      </c>
      <c r="Q571" s="36">
        <v>0</v>
      </c>
      <c r="R571" s="36">
        <v>-1</v>
      </c>
      <c r="S571" s="36">
        <v>0</v>
      </c>
      <c r="T571" s="36">
        <v>0</v>
      </c>
      <c r="U571" s="36">
        <v>0</v>
      </c>
      <c r="V571" s="36">
        <v>0</v>
      </c>
      <c r="W571" s="36">
        <v>0</v>
      </c>
      <c r="X571" s="36">
        <v>0</v>
      </c>
      <c r="Y571" s="36">
        <v>0</v>
      </c>
      <c r="Z571" s="36">
        <v>0</v>
      </c>
      <c r="AA571" s="36">
        <v>0</v>
      </c>
      <c r="AB571" s="36">
        <v>0</v>
      </c>
      <c r="AC571" s="36">
        <v>0</v>
      </c>
      <c r="AD571" s="36">
        <v>0</v>
      </c>
      <c r="AE571" s="36">
        <v>0</v>
      </c>
      <c r="AF571" s="36">
        <v>0</v>
      </c>
      <c r="AG571" s="36">
        <v>0</v>
      </c>
      <c r="AH571" s="36">
        <v>0</v>
      </c>
      <c r="AI571" s="36">
        <v>0</v>
      </c>
      <c r="AJ571" s="36">
        <v>0</v>
      </c>
      <c r="AK571" s="36">
        <v>0</v>
      </c>
      <c r="AL571" s="36">
        <v>0</v>
      </c>
      <c r="AM571" s="36">
        <v>0</v>
      </c>
      <c r="AN571" s="36">
        <v>0</v>
      </c>
      <c r="AO571" s="36">
        <v>0</v>
      </c>
      <c r="AP571" s="36">
        <v>0</v>
      </c>
      <c r="AQ571" s="36">
        <v>0</v>
      </c>
      <c r="AR571" s="36">
        <v>0</v>
      </c>
      <c r="AS571" s="36">
        <v>0</v>
      </c>
      <c r="AT571" s="36">
        <v>0</v>
      </c>
      <c r="AU571" s="36">
        <v>0</v>
      </c>
      <c r="AV571" s="36">
        <v>0</v>
      </c>
      <c r="AW571" s="37">
        <v>0</v>
      </c>
    </row>
    <row r="572" spans="1:49" s="3" customFormat="1" ht="18" customHeight="1" x14ac:dyDescent="0.2">
      <c r="A572" s="39">
        <v>18</v>
      </c>
      <c r="B572" s="35">
        <v>0</v>
      </c>
      <c r="C572" s="36">
        <v>0</v>
      </c>
      <c r="D572" s="36">
        <v>0</v>
      </c>
      <c r="E572" s="36">
        <v>0</v>
      </c>
      <c r="F572" s="36">
        <v>0</v>
      </c>
      <c r="G572" s="36">
        <v>0</v>
      </c>
      <c r="H572" s="36">
        <v>0</v>
      </c>
      <c r="I572" s="36">
        <v>0</v>
      </c>
      <c r="J572" s="36">
        <v>0</v>
      </c>
      <c r="K572" s="36">
        <v>0</v>
      </c>
      <c r="L572" s="36">
        <v>0</v>
      </c>
      <c r="M572" s="36">
        <v>0</v>
      </c>
      <c r="N572" s="36">
        <v>0</v>
      </c>
      <c r="O572" s="36">
        <v>0</v>
      </c>
      <c r="P572" s="36">
        <v>0</v>
      </c>
      <c r="Q572" s="36">
        <v>0</v>
      </c>
      <c r="R572" s="36">
        <v>0</v>
      </c>
      <c r="S572" s="36">
        <v>-1</v>
      </c>
      <c r="T572" s="36">
        <v>0</v>
      </c>
      <c r="U572" s="36">
        <v>0</v>
      </c>
      <c r="V572" s="36">
        <v>0</v>
      </c>
      <c r="W572" s="36">
        <v>0</v>
      </c>
      <c r="X572" s="36">
        <v>0</v>
      </c>
      <c r="Y572" s="36">
        <v>0</v>
      </c>
      <c r="Z572" s="36">
        <v>0</v>
      </c>
      <c r="AA572" s="36">
        <v>0</v>
      </c>
      <c r="AB572" s="36">
        <v>0</v>
      </c>
      <c r="AC572" s="36">
        <v>0</v>
      </c>
      <c r="AD572" s="36">
        <v>0</v>
      </c>
      <c r="AE572" s="36">
        <v>0</v>
      </c>
      <c r="AF572" s="36">
        <v>0</v>
      </c>
      <c r="AG572" s="36">
        <v>0</v>
      </c>
      <c r="AH572" s="36">
        <v>0</v>
      </c>
      <c r="AI572" s="36">
        <v>0</v>
      </c>
      <c r="AJ572" s="36">
        <v>0</v>
      </c>
      <c r="AK572" s="36">
        <v>0</v>
      </c>
      <c r="AL572" s="36">
        <v>0</v>
      </c>
      <c r="AM572" s="36">
        <v>0</v>
      </c>
      <c r="AN572" s="36">
        <v>0</v>
      </c>
      <c r="AO572" s="36">
        <v>0</v>
      </c>
      <c r="AP572" s="36">
        <v>0</v>
      </c>
      <c r="AQ572" s="36">
        <v>0</v>
      </c>
      <c r="AR572" s="36">
        <v>0</v>
      </c>
      <c r="AS572" s="36">
        <v>0</v>
      </c>
      <c r="AT572" s="36">
        <v>0</v>
      </c>
      <c r="AU572" s="36">
        <v>0</v>
      </c>
      <c r="AV572" s="36">
        <v>0</v>
      </c>
      <c r="AW572" s="37">
        <v>0</v>
      </c>
    </row>
    <row r="573" spans="1:49" s="3" customFormat="1" ht="18" customHeight="1" x14ac:dyDescent="0.2">
      <c r="A573" s="39">
        <v>19</v>
      </c>
      <c r="B573" s="35">
        <v>0</v>
      </c>
      <c r="C573" s="36">
        <v>0</v>
      </c>
      <c r="D573" s="36">
        <v>0</v>
      </c>
      <c r="E573" s="36">
        <v>0</v>
      </c>
      <c r="F573" s="36">
        <v>0</v>
      </c>
      <c r="G573" s="36">
        <v>0</v>
      </c>
      <c r="H573" s="36">
        <v>0</v>
      </c>
      <c r="I573" s="36">
        <v>0</v>
      </c>
      <c r="J573" s="36">
        <v>0</v>
      </c>
      <c r="K573" s="36">
        <v>0</v>
      </c>
      <c r="L573" s="36">
        <v>0</v>
      </c>
      <c r="M573" s="36">
        <v>0</v>
      </c>
      <c r="N573" s="36">
        <v>0</v>
      </c>
      <c r="O573" s="36">
        <v>0</v>
      </c>
      <c r="P573" s="36">
        <v>0</v>
      </c>
      <c r="Q573" s="36">
        <v>0</v>
      </c>
      <c r="R573" s="36">
        <v>0</v>
      </c>
      <c r="S573" s="36">
        <v>0</v>
      </c>
      <c r="T573" s="36">
        <v>-1</v>
      </c>
      <c r="U573" s="36">
        <v>0</v>
      </c>
      <c r="V573" s="36">
        <v>0</v>
      </c>
      <c r="W573" s="36">
        <v>0</v>
      </c>
      <c r="X573" s="36">
        <v>0</v>
      </c>
      <c r="Y573" s="36">
        <v>0</v>
      </c>
      <c r="Z573" s="36">
        <v>0</v>
      </c>
      <c r="AA573" s="36">
        <v>0</v>
      </c>
      <c r="AB573" s="36">
        <v>0</v>
      </c>
      <c r="AC573" s="36">
        <v>0</v>
      </c>
      <c r="AD573" s="36">
        <v>0</v>
      </c>
      <c r="AE573" s="36">
        <v>0</v>
      </c>
      <c r="AF573" s="36">
        <v>0</v>
      </c>
      <c r="AG573" s="36">
        <v>0</v>
      </c>
      <c r="AH573" s="36">
        <v>0</v>
      </c>
      <c r="AI573" s="36">
        <v>0</v>
      </c>
      <c r="AJ573" s="36">
        <v>0</v>
      </c>
      <c r="AK573" s="36">
        <v>0</v>
      </c>
      <c r="AL573" s="36">
        <v>0</v>
      </c>
      <c r="AM573" s="36">
        <v>0</v>
      </c>
      <c r="AN573" s="36">
        <v>0</v>
      </c>
      <c r="AO573" s="36">
        <v>0</v>
      </c>
      <c r="AP573" s="36">
        <v>0</v>
      </c>
      <c r="AQ573" s="36">
        <v>0</v>
      </c>
      <c r="AR573" s="36">
        <v>0</v>
      </c>
      <c r="AS573" s="36">
        <v>0</v>
      </c>
      <c r="AT573" s="36">
        <v>0</v>
      </c>
      <c r="AU573" s="36">
        <v>0</v>
      </c>
      <c r="AV573" s="36">
        <v>0</v>
      </c>
      <c r="AW573" s="37">
        <v>0</v>
      </c>
    </row>
    <row r="574" spans="1:49" s="3" customFormat="1" ht="18" customHeight="1" x14ac:dyDescent="0.2">
      <c r="A574" s="39">
        <v>20</v>
      </c>
      <c r="B574" s="35">
        <v>0</v>
      </c>
      <c r="C574" s="36">
        <v>0</v>
      </c>
      <c r="D574" s="36">
        <v>0</v>
      </c>
      <c r="E574" s="36">
        <v>0</v>
      </c>
      <c r="F574" s="36">
        <v>0</v>
      </c>
      <c r="G574" s="36">
        <v>0</v>
      </c>
      <c r="H574" s="36">
        <v>0</v>
      </c>
      <c r="I574" s="36">
        <v>0</v>
      </c>
      <c r="J574" s="36">
        <v>0</v>
      </c>
      <c r="K574" s="36">
        <v>0</v>
      </c>
      <c r="L574" s="36">
        <v>0</v>
      </c>
      <c r="M574" s="36">
        <v>0</v>
      </c>
      <c r="N574" s="36">
        <v>0</v>
      </c>
      <c r="O574" s="36">
        <v>0</v>
      </c>
      <c r="P574" s="36">
        <v>0</v>
      </c>
      <c r="Q574" s="36">
        <v>0</v>
      </c>
      <c r="R574" s="36">
        <v>0</v>
      </c>
      <c r="S574" s="36">
        <v>0</v>
      </c>
      <c r="T574" s="36">
        <v>0</v>
      </c>
      <c r="U574" s="36">
        <v>-1</v>
      </c>
      <c r="V574" s="36">
        <v>0</v>
      </c>
      <c r="W574" s="36">
        <v>0</v>
      </c>
      <c r="X574" s="36">
        <v>0</v>
      </c>
      <c r="Y574" s="36">
        <v>0</v>
      </c>
      <c r="Z574" s="36">
        <v>0</v>
      </c>
      <c r="AA574" s="36">
        <v>0</v>
      </c>
      <c r="AB574" s="36">
        <v>0</v>
      </c>
      <c r="AC574" s="36">
        <v>0</v>
      </c>
      <c r="AD574" s="36">
        <v>0</v>
      </c>
      <c r="AE574" s="36">
        <v>0</v>
      </c>
      <c r="AF574" s="36">
        <v>0</v>
      </c>
      <c r="AG574" s="36">
        <v>0</v>
      </c>
      <c r="AH574" s="36">
        <v>0</v>
      </c>
      <c r="AI574" s="36">
        <v>0</v>
      </c>
      <c r="AJ574" s="36">
        <v>0</v>
      </c>
      <c r="AK574" s="36">
        <v>0</v>
      </c>
      <c r="AL574" s="36">
        <v>0</v>
      </c>
      <c r="AM574" s="36">
        <v>0</v>
      </c>
      <c r="AN574" s="36">
        <v>0</v>
      </c>
      <c r="AO574" s="36">
        <v>0</v>
      </c>
      <c r="AP574" s="36">
        <v>0</v>
      </c>
      <c r="AQ574" s="36">
        <v>0</v>
      </c>
      <c r="AR574" s="36">
        <v>0</v>
      </c>
      <c r="AS574" s="36">
        <v>0</v>
      </c>
      <c r="AT574" s="36">
        <v>0</v>
      </c>
      <c r="AU574" s="36">
        <v>0</v>
      </c>
      <c r="AV574" s="36">
        <v>0</v>
      </c>
      <c r="AW574" s="37">
        <v>0</v>
      </c>
    </row>
    <row r="575" spans="1:49" s="3" customFormat="1" ht="18" customHeight="1" x14ac:dyDescent="0.2">
      <c r="A575" s="39">
        <v>21</v>
      </c>
      <c r="B575" s="35">
        <v>0</v>
      </c>
      <c r="C575" s="36">
        <v>0</v>
      </c>
      <c r="D575" s="36">
        <v>0</v>
      </c>
      <c r="E575" s="36">
        <v>0</v>
      </c>
      <c r="F575" s="36">
        <v>0</v>
      </c>
      <c r="G575" s="36">
        <v>0</v>
      </c>
      <c r="H575" s="36">
        <v>0</v>
      </c>
      <c r="I575" s="36">
        <v>0</v>
      </c>
      <c r="J575" s="36">
        <v>0</v>
      </c>
      <c r="K575" s="36">
        <v>0</v>
      </c>
      <c r="L575" s="36">
        <v>0</v>
      </c>
      <c r="M575" s="36">
        <v>0</v>
      </c>
      <c r="N575" s="36">
        <v>0</v>
      </c>
      <c r="O575" s="36">
        <v>0</v>
      </c>
      <c r="P575" s="36">
        <v>0</v>
      </c>
      <c r="Q575" s="36">
        <v>0</v>
      </c>
      <c r="R575" s="36">
        <v>0</v>
      </c>
      <c r="S575" s="36">
        <v>0</v>
      </c>
      <c r="T575" s="36">
        <v>0</v>
      </c>
      <c r="U575" s="36">
        <v>0</v>
      </c>
      <c r="V575" s="36">
        <v>-1</v>
      </c>
      <c r="W575" s="36">
        <v>0</v>
      </c>
      <c r="X575" s="36">
        <v>0</v>
      </c>
      <c r="Y575" s="36">
        <v>0</v>
      </c>
      <c r="Z575" s="36">
        <v>0</v>
      </c>
      <c r="AA575" s="36">
        <v>0</v>
      </c>
      <c r="AB575" s="36">
        <v>0</v>
      </c>
      <c r="AC575" s="36">
        <v>0</v>
      </c>
      <c r="AD575" s="36">
        <v>0</v>
      </c>
      <c r="AE575" s="36">
        <v>0</v>
      </c>
      <c r="AF575" s="36">
        <v>0</v>
      </c>
      <c r="AG575" s="36">
        <v>0</v>
      </c>
      <c r="AH575" s="36">
        <v>0</v>
      </c>
      <c r="AI575" s="36">
        <v>0</v>
      </c>
      <c r="AJ575" s="36">
        <v>0</v>
      </c>
      <c r="AK575" s="36">
        <v>0</v>
      </c>
      <c r="AL575" s="36">
        <v>0</v>
      </c>
      <c r="AM575" s="36">
        <v>0</v>
      </c>
      <c r="AN575" s="36">
        <v>0</v>
      </c>
      <c r="AO575" s="36">
        <v>0</v>
      </c>
      <c r="AP575" s="36">
        <v>0</v>
      </c>
      <c r="AQ575" s="36">
        <v>0</v>
      </c>
      <c r="AR575" s="36">
        <v>0</v>
      </c>
      <c r="AS575" s="36">
        <v>0</v>
      </c>
      <c r="AT575" s="36">
        <v>0</v>
      </c>
      <c r="AU575" s="36">
        <v>0</v>
      </c>
      <c r="AV575" s="36">
        <v>0</v>
      </c>
      <c r="AW575" s="37">
        <v>0</v>
      </c>
    </row>
    <row r="576" spans="1:49" s="3" customFormat="1" ht="18" customHeight="1" x14ac:dyDescent="0.2">
      <c r="A576" s="39">
        <v>22</v>
      </c>
      <c r="B576" s="35">
        <v>0</v>
      </c>
      <c r="C576" s="36">
        <v>0</v>
      </c>
      <c r="D576" s="36">
        <v>0</v>
      </c>
      <c r="E576" s="36">
        <v>0</v>
      </c>
      <c r="F576" s="36">
        <v>0</v>
      </c>
      <c r="G576" s="36">
        <v>0</v>
      </c>
      <c r="H576" s="36">
        <v>0</v>
      </c>
      <c r="I576" s="36">
        <v>0</v>
      </c>
      <c r="J576" s="36">
        <v>0</v>
      </c>
      <c r="K576" s="36">
        <v>0</v>
      </c>
      <c r="L576" s="36">
        <v>0</v>
      </c>
      <c r="M576" s="36">
        <v>0</v>
      </c>
      <c r="N576" s="36">
        <v>0</v>
      </c>
      <c r="O576" s="36">
        <v>0</v>
      </c>
      <c r="P576" s="36">
        <v>0</v>
      </c>
      <c r="Q576" s="36">
        <v>0</v>
      </c>
      <c r="R576" s="36">
        <v>0</v>
      </c>
      <c r="S576" s="36">
        <v>0</v>
      </c>
      <c r="T576" s="36">
        <v>0</v>
      </c>
      <c r="U576" s="36">
        <v>0</v>
      </c>
      <c r="V576" s="36">
        <v>0</v>
      </c>
      <c r="W576" s="36">
        <v>-1</v>
      </c>
      <c r="X576" s="36">
        <v>0</v>
      </c>
      <c r="Y576" s="36">
        <v>0</v>
      </c>
      <c r="Z576" s="36">
        <v>0</v>
      </c>
      <c r="AA576" s="36">
        <v>0</v>
      </c>
      <c r="AB576" s="36">
        <v>0</v>
      </c>
      <c r="AC576" s="36">
        <v>0</v>
      </c>
      <c r="AD576" s="36">
        <v>0</v>
      </c>
      <c r="AE576" s="36">
        <v>0</v>
      </c>
      <c r="AF576" s="36">
        <v>0</v>
      </c>
      <c r="AG576" s="36">
        <v>0</v>
      </c>
      <c r="AH576" s="36">
        <v>0</v>
      </c>
      <c r="AI576" s="36">
        <v>0</v>
      </c>
      <c r="AJ576" s="36">
        <v>0</v>
      </c>
      <c r="AK576" s="36">
        <v>0</v>
      </c>
      <c r="AL576" s="36">
        <v>0</v>
      </c>
      <c r="AM576" s="36">
        <v>0</v>
      </c>
      <c r="AN576" s="36">
        <v>0</v>
      </c>
      <c r="AO576" s="36">
        <v>0</v>
      </c>
      <c r="AP576" s="36">
        <v>0</v>
      </c>
      <c r="AQ576" s="36">
        <v>0</v>
      </c>
      <c r="AR576" s="36">
        <v>0</v>
      </c>
      <c r="AS576" s="36">
        <v>0</v>
      </c>
      <c r="AT576" s="36">
        <v>0</v>
      </c>
      <c r="AU576" s="36">
        <v>0</v>
      </c>
      <c r="AV576" s="36">
        <v>0</v>
      </c>
      <c r="AW576" s="37">
        <v>0</v>
      </c>
    </row>
    <row r="577" spans="1:49" s="3" customFormat="1" ht="18" customHeight="1" x14ac:dyDescent="0.2">
      <c r="A577" s="39">
        <v>23</v>
      </c>
      <c r="B577" s="35">
        <v>0</v>
      </c>
      <c r="C577" s="36">
        <v>0</v>
      </c>
      <c r="D577" s="36">
        <v>0</v>
      </c>
      <c r="E577" s="36">
        <v>0</v>
      </c>
      <c r="F577" s="36">
        <v>0</v>
      </c>
      <c r="G577" s="36">
        <v>0</v>
      </c>
      <c r="H577" s="36">
        <v>0</v>
      </c>
      <c r="I577" s="36">
        <v>0</v>
      </c>
      <c r="J577" s="36">
        <v>0</v>
      </c>
      <c r="K577" s="36">
        <v>0</v>
      </c>
      <c r="L577" s="36">
        <v>0</v>
      </c>
      <c r="M577" s="36">
        <v>0</v>
      </c>
      <c r="N577" s="36">
        <v>0</v>
      </c>
      <c r="O577" s="36">
        <v>0</v>
      </c>
      <c r="P577" s="36">
        <v>0</v>
      </c>
      <c r="Q577" s="36">
        <v>0</v>
      </c>
      <c r="R577" s="36">
        <v>0</v>
      </c>
      <c r="S577" s="36">
        <v>0</v>
      </c>
      <c r="T577" s="36">
        <v>0</v>
      </c>
      <c r="U577" s="36">
        <v>0</v>
      </c>
      <c r="V577" s="36">
        <v>0</v>
      </c>
      <c r="W577" s="36">
        <v>0</v>
      </c>
      <c r="X577" s="36">
        <v>-1</v>
      </c>
      <c r="Y577" s="36">
        <v>0</v>
      </c>
      <c r="Z577" s="36">
        <v>0</v>
      </c>
      <c r="AA577" s="36">
        <v>0</v>
      </c>
      <c r="AB577" s="36">
        <v>0</v>
      </c>
      <c r="AC577" s="36">
        <v>0</v>
      </c>
      <c r="AD577" s="36">
        <v>0</v>
      </c>
      <c r="AE577" s="36">
        <v>0</v>
      </c>
      <c r="AF577" s="36">
        <v>0</v>
      </c>
      <c r="AG577" s="36">
        <v>0</v>
      </c>
      <c r="AH577" s="36">
        <v>0</v>
      </c>
      <c r="AI577" s="36">
        <v>0</v>
      </c>
      <c r="AJ577" s="36">
        <v>0</v>
      </c>
      <c r="AK577" s="36">
        <v>0</v>
      </c>
      <c r="AL577" s="36">
        <v>0</v>
      </c>
      <c r="AM577" s="36">
        <v>0</v>
      </c>
      <c r="AN577" s="36">
        <v>0</v>
      </c>
      <c r="AO577" s="36">
        <v>0</v>
      </c>
      <c r="AP577" s="36">
        <v>0</v>
      </c>
      <c r="AQ577" s="36">
        <v>0</v>
      </c>
      <c r="AR577" s="36">
        <v>0</v>
      </c>
      <c r="AS577" s="36">
        <v>0</v>
      </c>
      <c r="AT577" s="36">
        <v>0</v>
      </c>
      <c r="AU577" s="36">
        <v>0</v>
      </c>
      <c r="AV577" s="36">
        <v>0</v>
      </c>
      <c r="AW577" s="37">
        <v>0</v>
      </c>
    </row>
    <row r="578" spans="1:49" s="3" customFormat="1" ht="18" customHeight="1" x14ac:dyDescent="0.2">
      <c r="A578" s="39">
        <v>24</v>
      </c>
      <c r="B578" s="35">
        <v>0</v>
      </c>
      <c r="C578" s="36">
        <v>0</v>
      </c>
      <c r="D578" s="36">
        <v>0</v>
      </c>
      <c r="E578" s="36">
        <v>0</v>
      </c>
      <c r="F578" s="36">
        <v>0</v>
      </c>
      <c r="G578" s="36">
        <v>0</v>
      </c>
      <c r="H578" s="36">
        <v>0</v>
      </c>
      <c r="I578" s="36">
        <v>0</v>
      </c>
      <c r="J578" s="36">
        <v>0</v>
      </c>
      <c r="K578" s="36">
        <v>0</v>
      </c>
      <c r="L578" s="36">
        <v>0</v>
      </c>
      <c r="M578" s="36">
        <v>0</v>
      </c>
      <c r="N578" s="36">
        <v>0</v>
      </c>
      <c r="O578" s="36">
        <v>0</v>
      </c>
      <c r="P578" s="36">
        <v>0</v>
      </c>
      <c r="Q578" s="36">
        <v>0</v>
      </c>
      <c r="R578" s="36">
        <v>0</v>
      </c>
      <c r="S578" s="36">
        <v>0</v>
      </c>
      <c r="T578" s="36">
        <v>0</v>
      </c>
      <c r="U578" s="36">
        <v>0</v>
      </c>
      <c r="V578" s="36">
        <v>0</v>
      </c>
      <c r="W578" s="36">
        <v>0</v>
      </c>
      <c r="X578" s="36">
        <v>0</v>
      </c>
      <c r="Y578" s="36">
        <v>-1</v>
      </c>
      <c r="Z578" s="36">
        <v>0</v>
      </c>
      <c r="AA578" s="36">
        <v>0</v>
      </c>
      <c r="AB578" s="36">
        <v>0</v>
      </c>
      <c r="AC578" s="36">
        <v>0</v>
      </c>
      <c r="AD578" s="36">
        <v>0</v>
      </c>
      <c r="AE578" s="36">
        <v>0</v>
      </c>
      <c r="AF578" s="36">
        <v>0</v>
      </c>
      <c r="AG578" s="36">
        <v>0</v>
      </c>
      <c r="AH578" s="36">
        <v>0</v>
      </c>
      <c r="AI578" s="36">
        <v>0</v>
      </c>
      <c r="AJ578" s="36">
        <v>0</v>
      </c>
      <c r="AK578" s="36">
        <v>0</v>
      </c>
      <c r="AL578" s="36">
        <v>0</v>
      </c>
      <c r="AM578" s="36">
        <v>0</v>
      </c>
      <c r="AN578" s="36">
        <v>0</v>
      </c>
      <c r="AO578" s="36">
        <v>0</v>
      </c>
      <c r="AP578" s="36">
        <v>0</v>
      </c>
      <c r="AQ578" s="36">
        <v>0</v>
      </c>
      <c r="AR578" s="36">
        <v>0</v>
      </c>
      <c r="AS578" s="36">
        <v>0</v>
      </c>
      <c r="AT578" s="36">
        <v>0</v>
      </c>
      <c r="AU578" s="36">
        <v>0</v>
      </c>
      <c r="AV578" s="36">
        <v>0</v>
      </c>
      <c r="AW578" s="37">
        <v>0</v>
      </c>
    </row>
    <row r="579" spans="1:49" s="3" customFormat="1" ht="18" customHeight="1" x14ac:dyDescent="0.2">
      <c r="A579" s="39">
        <v>25</v>
      </c>
      <c r="B579" s="35">
        <v>0</v>
      </c>
      <c r="C579" s="36">
        <v>0</v>
      </c>
      <c r="D579" s="36">
        <v>0</v>
      </c>
      <c r="E579" s="36">
        <v>0</v>
      </c>
      <c r="F579" s="36">
        <v>0</v>
      </c>
      <c r="G579" s="36">
        <v>0</v>
      </c>
      <c r="H579" s="36">
        <v>0</v>
      </c>
      <c r="I579" s="36">
        <v>0</v>
      </c>
      <c r="J579" s="36">
        <v>0</v>
      </c>
      <c r="K579" s="36">
        <v>0</v>
      </c>
      <c r="L579" s="36">
        <v>0</v>
      </c>
      <c r="M579" s="36">
        <v>0</v>
      </c>
      <c r="N579" s="36">
        <v>0</v>
      </c>
      <c r="O579" s="36">
        <v>0</v>
      </c>
      <c r="P579" s="36">
        <v>0</v>
      </c>
      <c r="Q579" s="36">
        <v>0</v>
      </c>
      <c r="R579" s="36">
        <v>0</v>
      </c>
      <c r="S579" s="36">
        <v>0</v>
      </c>
      <c r="T579" s="36">
        <v>0</v>
      </c>
      <c r="U579" s="36">
        <v>0</v>
      </c>
      <c r="V579" s="36">
        <v>0</v>
      </c>
      <c r="W579" s="36">
        <v>0</v>
      </c>
      <c r="X579" s="36">
        <v>0</v>
      </c>
      <c r="Y579" s="36">
        <v>0</v>
      </c>
      <c r="Z579" s="36">
        <v>-1</v>
      </c>
      <c r="AA579" s="36">
        <v>0</v>
      </c>
      <c r="AB579" s="36">
        <v>0</v>
      </c>
      <c r="AC579" s="36">
        <v>0</v>
      </c>
      <c r="AD579" s="36">
        <v>0</v>
      </c>
      <c r="AE579" s="36">
        <v>0</v>
      </c>
      <c r="AF579" s="36">
        <v>0</v>
      </c>
      <c r="AG579" s="36">
        <v>0</v>
      </c>
      <c r="AH579" s="36">
        <v>0</v>
      </c>
      <c r="AI579" s="36">
        <v>0</v>
      </c>
      <c r="AJ579" s="36">
        <v>0</v>
      </c>
      <c r="AK579" s="36">
        <v>0</v>
      </c>
      <c r="AL579" s="36">
        <v>0</v>
      </c>
      <c r="AM579" s="36">
        <v>0</v>
      </c>
      <c r="AN579" s="36">
        <v>0</v>
      </c>
      <c r="AO579" s="36">
        <v>0</v>
      </c>
      <c r="AP579" s="36">
        <v>0</v>
      </c>
      <c r="AQ579" s="36">
        <v>0</v>
      </c>
      <c r="AR579" s="36">
        <v>0</v>
      </c>
      <c r="AS579" s="36">
        <v>0</v>
      </c>
      <c r="AT579" s="36">
        <v>0</v>
      </c>
      <c r="AU579" s="36">
        <v>0</v>
      </c>
      <c r="AV579" s="36">
        <v>0</v>
      </c>
      <c r="AW579" s="37">
        <v>0</v>
      </c>
    </row>
    <row r="580" spans="1:49" s="3" customFormat="1" ht="18" customHeight="1" x14ac:dyDescent="0.2">
      <c r="A580" s="39">
        <v>26</v>
      </c>
      <c r="B580" s="35">
        <v>0</v>
      </c>
      <c r="C580" s="36">
        <v>0</v>
      </c>
      <c r="D580" s="36">
        <v>0</v>
      </c>
      <c r="E580" s="36">
        <v>0</v>
      </c>
      <c r="F580" s="36">
        <v>0</v>
      </c>
      <c r="G580" s="36">
        <v>0</v>
      </c>
      <c r="H580" s="36">
        <v>0</v>
      </c>
      <c r="I580" s="36">
        <v>0</v>
      </c>
      <c r="J580" s="36">
        <v>0</v>
      </c>
      <c r="K580" s="36">
        <v>0</v>
      </c>
      <c r="L580" s="36">
        <v>0</v>
      </c>
      <c r="M580" s="36">
        <v>0</v>
      </c>
      <c r="N580" s="36">
        <v>0</v>
      </c>
      <c r="O580" s="36">
        <v>0</v>
      </c>
      <c r="P580" s="36">
        <v>0</v>
      </c>
      <c r="Q580" s="36">
        <v>0</v>
      </c>
      <c r="R580" s="36">
        <v>0</v>
      </c>
      <c r="S580" s="36">
        <v>0</v>
      </c>
      <c r="T580" s="36">
        <v>0</v>
      </c>
      <c r="U580" s="36">
        <v>0</v>
      </c>
      <c r="V580" s="36">
        <v>0</v>
      </c>
      <c r="W580" s="36">
        <v>0</v>
      </c>
      <c r="X580" s="36">
        <v>0</v>
      </c>
      <c r="Y580" s="36">
        <v>0</v>
      </c>
      <c r="Z580" s="36">
        <v>0</v>
      </c>
      <c r="AA580" s="36">
        <v>-1</v>
      </c>
      <c r="AB580" s="36">
        <v>0</v>
      </c>
      <c r="AC580" s="36">
        <v>0</v>
      </c>
      <c r="AD580" s="36">
        <v>0</v>
      </c>
      <c r="AE580" s="36">
        <v>0</v>
      </c>
      <c r="AF580" s="36">
        <v>0</v>
      </c>
      <c r="AG580" s="36">
        <v>0</v>
      </c>
      <c r="AH580" s="36">
        <v>0</v>
      </c>
      <c r="AI580" s="36">
        <v>0</v>
      </c>
      <c r="AJ580" s="36">
        <v>0</v>
      </c>
      <c r="AK580" s="36">
        <v>0</v>
      </c>
      <c r="AL580" s="36">
        <v>0</v>
      </c>
      <c r="AM580" s="36">
        <v>0</v>
      </c>
      <c r="AN580" s="36">
        <v>0</v>
      </c>
      <c r="AO580" s="36">
        <v>0</v>
      </c>
      <c r="AP580" s="36">
        <v>0</v>
      </c>
      <c r="AQ580" s="36">
        <v>0</v>
      </c>
      <c r="AR580" s="36">
        <v>0</v>
      </c>
      <c r="AS580" s="36">
        <v>0</v>
      </c>
      <c r="AT580" s="36">
        <v>0</v>
      </c>
      <c r="AU580" s="36">
        <v>0</v>
      </c>
      <c r="AV580" s="36">
        <v>0</v>
      </c>
      <c r="AW580" s="37">
        <v>0</v>
      </c>
    </row>
    <row r="581" spans="1:49" s="3" customFormat="1" ht="18" customHeight="1" x14ac:dyDescent="0.2">
      <c r="A581" s="39">
        <v>27</v>
      </c>
      <c r="B581" s="35">
        <v>0</v>
      </c>
      <c r="C581" s="36">
        <v>0</v>
      </c>
      <c r="D581" s="36">
        <v>0</v>
      </c>
      <c r="E581" s="36">
        <v>0</v>
      </c>
      <c r="F581" s="36">
        <v>0</v>
      </c>
      <c r="G581" s="36">
        <v>0</v>
      </c>
      <c r="H581" s="36">
        <v>0</v>
      </c>
      <c r="I581" s="36">
        <v>0</v>
      </c>
      <c r="J581" s="36">
        <v>0</v>
      </c>
      <c r="K581" s="36">
        <v>0</v>
      </c>
      <c r="L581" s="36">
        <v>0</v>
      </c>
      <c r="M581" s="36">
        <v>0</v>
      </c>
      <c r="N581" s="36">
        <v>0</v>
      </c>
      <c r="O581" s="36">
        <v>0</v>
      </c>
      <c r="P581" s="36">
        <v>0</v>
      </c>
      <c r="Q581" s="36">
        <v>0</v>
      </c>
      <c r="R581" s="36">
        <v>0</v>
      </c>
      <c r="S581" s="36">
        <v>0</v>
      </c>
      <c r="T581" s="36">
        <v>0</v>
      </c>
      <c r="U581" s="36">
        <v>0</v>
      </c>
      <c r="V581" s="36">
        <v>0</v>
      </c>
      <c r="W581" s="36">
        <v>0</v>
      </c>
      <c r="X581" s="36">
        <v>0</v>
      </c>
      <c r="Y581" s="36">
        <v>0</v>
      </c>
      <c r="Z581" s="36">
        <v>0</v>
      </c>
      <c r="AA581" s="36">
        <v>0</v>
      </c>
      <c r="AB581" s="36">
        <v>-1</v>
      </c>
      <c r="AC581" s="36">
        <v>0</v>
      </c>
      <c r="AD581" s="36">
        <v>0</v>
      </c>
      <c r="AE581" s="36">
        <v>0</v>
      </c>
      <c r="AF581" s="36">
        <v>0</v>
      </c>
      <c r="AG581" s="36">
        <v>0</v>
      </c>
      <c r="AH581" s="36">
        <v>0</v>
      </c>
      <c r="AI581" s="36">
        <v>0</v>
      </c>
      <c r="AJ581" s="36">
        <v>0</v>
      </c>
      <c r="AK581" s="36">
        <v>0</v>
      </c>
      <c r="AL581" s="36">
        <v>0</v>
      </c>
      <c r="AM581" s="36">
        <v>0</v>
      </c>
      <c r="AN581" s="36">
        <v>0</v>
      </c>
      <c r="AO581" s="36">
        <v>0</v>
      </c>
      <c r="AP581" s="36">
        <v>0</v>
      </c>
      <c r="AQ581" s="36">
        <v>0</v>
      </c>
      <c r="AR581" s="36">
        <v>0</v>
      </c>
      <c r="AS581" s="36">
        <v>0</v>
      </c>
      <c r="AT581" s="36">
        <v>0</v>
      </c>
      <c r="AU581" s="36">
        <v>0</v>
      </c>
      <c r="AV581" s="36">
        <v>0</v>
      </c>
      <c r="AW581" s="37">
        <v>0</v>
      </c>
    </row>
    <row r="582" spans="1:49" s="3" customFormat="1" ht="18" customHeight="1" x14ac:dyDescent="0.2">
      <c r="A582" s="39">
        <v>28</v>
      </c>
      <c r="B582" s="35">
        <v>0</v>
      </c>
      <c r="C582" s="36">
        <v>0</v>
      </c>
      <c r="D582" s="36">
        <v>0</v>
      </c>
      <c r="E582" s="36">
        <v>0</v>
      </c>
      <c r="F582" s="36">
        <v>0</v>
      </c>
      <c r="G582" s="36">
        <v>0</v>
      </c>
      <c r="H582" s="36">
        <v>0</v>
      </c>
      <c r="I582" s="36">
        <v>0</v>
      </c>
      <c r="J582" s="36">
        <v>0</v>
      </c>
      <c r="K582" s="36">
        <v>0</v>
      </c>
      <c r="L582" s="36">
        <v>0</v>
      </c>
      <c r="M582" s="36">
        <v>0</v>
      </c>
      <c r="N582" s="36">
        <v>0</v>
      </c>
      <c r="O582" s="36">
        <v>0</v>
      </c>
      <c r="P582" s="36">
        <v>0</v>
      </c>
      <c r="Q582" s="36">
        <v>0</v>
      </c>
      <c r="R582" s="36">
        <v>0</v>
      </c>
      <c r="S582" s="36">
        <v>0</v>
      </c>
      <c r="T582" s="36">
        <v>0</v>
      </c>
      <c r="U582" s="36">
        <v>0</v>
      </c>
      <c r="V582" s="36">
        <v>0</v>
      </c>
      <c r="W582" s="36">
        <v>0</v>
      </c>
      <c r="X582" s="36">
        <v>0</v>
      </c>
      <c r="Y582" s="36">
        <v>0</v>
      </c>
      <c r="Z582" s="36">
        <v>0</v>
      </c>
      <c r="AA582" s="36">
        <v>0</v>
      </c>
      <c r="AB582" s="36">
        <v>0</v>
      </c>
      <c r="AC582" s="36">
        <v>-1</v>
      </c>
      <c r="AD582" s="36">
        <v>0</v>
      </c>
      <c r="AE582" s="36">
        <v>0</v>
      </c>
      <c r="AF582" s="36">
        <v>0</v>
      </c>
      <c r="AG582" s="36">
        <v>0</v>
      </c>
      <c r="AH582" s="36">
        <v>0</v>
      </c>
      <c r="AI582" s="36">
        <v>0</v>
      </c>
      <c r="AJ582" s="36">
        <v>0</v>
      </c>
      <c r="AK582" s="36">
        <v>0</v>
      </c>
      <c r="AL582" s="36">
        <v>0</v>
      </c>
      <c r="AM582" s="36">
        <v>0</v>
      </c>
      <c r="AN582" s="36">
        <v>0</v>
      </c>
      <c r="AO582" s="36">
        <v>0</v>
      </c>
      <c r="AP582" s="36">
        <v>0</v>
      </c>
      <c r="AQ582" s="36">
        <v>0</v>
      </c>
      <c r="AR582" s="36">
        <v>0</v>
      </c>
      <c r="AS582" s="36">
        <v>0</v>
      </c>
      <c r="AT582" s="36">
        <v>0</v>
      </c>
      <c r="AU582" s="36">
        <v>0</v>
      </c>
      <c r="AV582" s="36">
        <v>0</v>
      </c>
      <c r="AW582" s="37">
        <v>0</v>
      </c>
    </row>
    <row r="583" spans="1:49" s="3" customFormat="1" ht="18" customHeight="1" x14ac:dyDescent="0.2">
      <c r="A583" s="39">
        <v>29</v>
      </c>
      <c r="B583" s="35">
        <v>0</v>
      </c>
      <c r="C583" s="36">
        <v>0</v>
      </c>
      <c r="D583" s="36">
        <v>0</v>
      </c>
      <c r="E583" s="36">
        <v>0</v>
      </c>
      <c r="F583" s="36">
        <v>0</v>
      </c>
      <c r="G583" s="36">
        <v>0</v>
      </c>
      <c r="H583" s="36">
        <v>0</v>
      </c>
      <c r="I583" s="36">
        <v>0</v>
      </c>
      <c r="J583" s="36">
        <v>0</v>
      </c>
      <c r="K583" s="36">
        <v>0</v>
      </c>
      <c r="L583" s="36">
        <v>0</v>
      </c>
      <c r="M583" s="36">
        <v>0</v>
      </c>
      <c r="N583" s="36">
        <v>0</v>
      </c>
      <c r="O583" s="36">
        <v>0</v>
      </c>
      <c r="P583" s="36">
        <v>0</v>
      </c>
      <c r="Q583" s="36">
        <v>0</v>
      </c>
      <c r="R583" s="36">
        <v>0</v>
      </c>
      <c r="S583" s="36">
        <v>0</v>
      </c>
      <c r="T583" s="36">
        <v>0</v>
      </c>
      <c r="U583" s="36">
        <v>0</v>
      </c>
      <c r="V583" s="36">
        <v>0</v>
      </c>
      <c r="W583" s="36">
        <v>0</v>
      </c>
      <c r="X583" s="36">
        <v>0</v>
      </c>
      <c r="Y583" s="36">
        <v>0</v>
      </c>
      <c r="Z583" s="36">
        <v>0</v>
      </c>
      <c r="AA583" s="36">
        <v>0</v>
      </c>
      <c r="AB583" s="36">
        <v>0</v>
      </c>
      <c r="AC583" s="36">
        <v>0</v>
      </c>
      <c r="AD583" s="36">
        <v>-1</v>
      </c>
      <c r="AE583" s="36">
        <v>0</v>
      </c>
      <c r="AF583" s="36">
        <v>0</v>
      </c>
      <c r="AG583" s="36">
        <v>0</v>
      </c>
      <c r="AH583" s="36">
        <v>0</v>
      </c>
      <c r="AI583" s="36">
        <v>0</v>
      </c>
      <c r="AJ583" s="36">
        <v>0</v>
      </c>
      <c r="AK583" s="36">
        <v>0</v>
      </c>
      <c r="AL583" s="36">
        <v>0</v>
      </c>
      <c r="AM583" s="36">
        <v>0</v>
      </c>
      <c r="AN583" s="36">
        <v>0</v>
      </c>
      <c r="AO583" s="36">
        <v>0</v>
      </c>
      <c r="AP583" s="36">
        <v>0</v>
      </c>
      <c r="AQ583" s="36">
        <v>0</v>
      </c>
      <c r="AR583" s="36">
        <v>0</v>
      </c>
      <c r="AS583" s="36">
        <v>0</v>
      </c>
      <c r="AT583" s="36">
        <v>0</v>
      </c>
      <c r="AU583" s="36">
        <v>0</v>
      </c>
      <c r="AV583" s="36">
        <v>0</v>
      </c>
      <c r="AW583" s="37">
        <v>0</v>
      </c>
    </row>
    <row r="584" spans="1:49" s="3" customFormat="1" ht="18" customHeight="1" x14ac:dyDescent="0.2">
      <c r="A584" s="39">
        <v>30</v>
      </c>
      <c r="B584" s="35">
        <v>0</v>
      </c>
      <c r="C584" s="36">
        <v>0</v>
      </c>
      <c r="D584" s="36">
        <v>0</v>
      </c>
      <c r="E584" s="36">
        <v>0</v>
      </c>
      <c r="F584" s="36">
        <v>0</v>
      </c>
      <c r="G584" s="36">
        <v>0</v>
      </c>
      <c r="H584" s="36">
        <v>0</v>
      </c>
      <c r="I584" s="36">
        <v>0</v>
      </c>
      <c r="J584" s="36">
        <v>0</v>
      </c>
      <c r="K584" s="36">
        <v>0</v>
      </c>
      <c r="L584" s="36">
        <v>0</v>
      </c>
      <c r="M584" s="36">
        <v>0</v>
      </c>
      <c r="N584" s="36">
        <v>0</v>
      </c>
      <c r="O584" s="36">
        <v>0</v>
      </c>
      <c r="P584" s="36">
        <v>0</v>
      </c>
      <c r="Q584" s="36">
        <v>0</v>
      </c>
      <c r="R584" s="36">
        <v>0</v>
      </c>
      <c r="S584" s="36">
        <v>0</v>
      </c>
      <c r="T584" s="36">
        <v>0</v>
      </c>
      <c r="U584" s="36">
        <v>0</v>
      </c>
      <c r="V584" s="36">
        <v>0</v>
      </c>
      <c r="W584" s="36">
        <v>0</v>
      </c>
      <c r="X584" s="36">
        <v>0</v>
      </c>
      <c r="Y584" s="36">
        <v>0</v>
      </c>
      <c r="Z584" s="36">
        <v>0</v>
      </c>
      <c r="AA584" s="36">
        <v>0</v>
      </c>
      <c r="AB584" s="36">
        <v>0</v>
      </c>
      <c r="AC584" s="36">
        <v>0</v>
      </c>
      <c r="AD584" s="36">
        <v>0</v>
      </c>
      <c r="AE584" s="36">
        <v>-1</v>
      </c>
      <c r="AF584" s="36">
        <v>0</v>
      </c>
      <c r="AG584" s="36">
        <v>0</v>
      </c>
      <c r="AH584" s="36">
        <v>0</v>
      </c>
      <c r="AI584" s="36">
        <v>0</v>
      </c>
      <c r="AJ584" s="36">
        <v>0</v>
      </c>
      <c r="AK584" s="36">
        <v>0</v>
      </c>
      <c r="AL584" s="36">
        <v>0</v>
      </c>
      <c r="AM584" s="36">
        <v>0</v>
      </c>
      <c r="AN584" s="36">
        <v>0</v>
      </c>
      <c r="AO584" s="36">
        <v>0</v>
      </c>
      <c r="AP584" s="36">
        <v>0</v>
      </c>
      <c r="AQ584" s="36">
        <v>0</v>
      </c>
      <c r="AR584" s="36">
        <v>0</v>
      </c>
      <c r="AS584" s="36">
        <v>0</v>
      </c>
      <c r="AT584" s="36">
        <v>0</v>
      </c>
      <c r="AU584" s="36">
        <v>0</v>
      </c>
      <c r="AV584" s="36">
        <v>0</v>
      </c>
      <c r="AW584" s="37">
        <v>0</v>
      </c>
    </row>
    <row r="585" spans="1:49" s="3" customFormat="1" ht="18" customHeight="1" x14ac:dyDescent="0.2">
      <c r="A585" s="39">
        <v>31</v>
      </c>
      <c r="B585" s="35">
        <v>0</v>
      </c>
      <c r="C585" s="36">
        <v>0</v>
      </c>
      <c r="D585" s="36">
        <v>0</v>
      </c>
      <c r="E585" s="36">
        <v>0</v>
      </c>
      <c r="F585" s="36">
        <v>0</v>
      </c>
      <c r="G585" s="36">
        <v>0</v>
      </c>
      <c r="H585" s="36">
        <v>0</v>
      </c>
      <c r="I585" s="36">
        <v>0</v>
      </c>
      <c r="J585" s="36">
        <v>0</v>
      </c>
      <c r="K585" s="36">
        <v>0</v>
      </c>
      <c r="L585" s="36">
        <v>0</v>
      </c>
      <c r="M585" s="36">
        <v>0</v>
      </c>
      <c r="N585" s="36">
        <v>0</v>
      </c>
      <c r="O585" s="36">
        <v>0</v>
      </c>
      <c r="P585" s="36">
        <v>0</v>
      </c>
      <c r="Q585" s="36">
        <v>0</v>
      </c>
      <c r="R585" s="36">
        <v>0</v>
      </c>
      <c r="S585" s="36">
        <v>0</v>
      </c>
      <c r="T585" s="36">
        <v>0</v>
      </c>
      <c r="U585" s="36">
        <v>0</v>
      </c>
      <c r="V585" s="36">
        <v>0</v>
      </c>
      <c r="W585" s="36">
        <v>0</v>
      </c>
      <c r="X585" s="36">
        <v>0</v>
      </c>
      <c r="Y585" s="36">
        <v>0</v>
      </c>
      <c r="Z585" s="36">
        <v>0</v>
      </c>
      <c r="AA585" s="36">
        <v>0</v>
      </c>
      <c r="AB585" s="36">
        <v>0</v>
      </c>
      <c r="AC585" s="36">
        <v>0</v>
      </c>
      <c r="AD585" s="36">
        <v>0</v>
      </c>
      <c r="AE585" s="36">
        <v>0</v>
      </c>
      <c r="AF585" s="36">
        <v>-1</v>
      </c>
      <c r="AG585" s="36">
        <v>0</v>
      </c>
      <c r="AH585" s="36">
        <v>0</v>
      </c>
      <c r="AI585" s="36">
        <v>0</v>
      </c>
      <c r="AJ585" s="36">
        <v>0</v>
      </c>
      <c r="AK585" s="36">
        <v>0</v>
      </c>
      <c r="AL585" s="36">
        <v>0</v>
      </c>
      <c r="AM585" s="36">
        <v>0</v>
      </c>
      <c r="AN585" s="36">
        <v>0</v>
      </c>
      <c r="AO585" s="36">
        <v>0</v>
      </c>
      <c r="AP585" s="36">
        <v>0</v>
      </c>
      <c r="AQ585" s="36">
        <v>0</v>
      </c>
      <c r="AR585" s="36">
        <v>0</v>
      </c>
      <c r="AS585" s="36">
        <v>0</v>
      </c>
      <c r="AT585" s="36">
        <v>0</v>
      </c>
      <c r="AU585" s="36">
        <v>0</v>
      </c>
      <c r="AV585" s="36">
        <v>0</v>
      </c>
      <c r="AW585" s="37">
        <v>0</v>
      </c>
    </row>
    <row r="586" spans="1:49" s="3" customFormat="1" ht="18" customHeight="1" x14ac:dyDescent="0.2">
      <c r="A586" s="39">
        <v>32</v>
      </c>
      <c r="B586" s="35">
        <v>0</v>
      </c>
      <c r="C586" s="36">
        <v>0</v>
      </c>
      <c r="D586" s="36">
        <v>0</v>
      </c>
      <c r="E586" s="36">
        <v>0</v>
      </c>
      <c r="F586" s="36">
        <v>0</v>
      </c>
      <c r="G586" s="36">
        <v>0</v>
      </c>
      <c r="H586" s="36">
        <v>0</v>
      </c>
      <c r="I586" s="36">
        <v>0</v>
      </c>
      <c r="J586" s="36">
        <v>0</v>
      </c>
      <c r="K586" s="36">
        <v>0</v>
      </c>
      <c r="L586" s="36">
        <v>0</v>
      </c>
      <c r="M586" s="36">
        <v>0</v>
      </c>
      <c r="N586" s="36">
        <v>0</v>
      </c>
      <c r="O586" s="36">
        <v>0</v>
      </c>
      <c r="P586" s="36">
        <v>0</v>
      </c>
      <c r="Q586" s="36">
        <v>0</v>
      </c>
      <c r="R586" s="36">
        <v>0</v>
      </c>
      <c r="S586" s="36">
        <v>0</v>
      </c>
      <c r="T586" s="36">
        <v>0</v>
      </c>
      <c r="U586" s="36">
        <v>0</v>
      </c>
      <c r="V586" s="36">
        <v>0</v>
      </c>
      <c r="W586" s="36">
        <v>0</v>
      </c>
      <c r="X586" s="36">
        <v>0</v>
      </c>
      <c r="Y586" s="36">
        <v>0</v>
      </c>
      <c r="Z586" s="36">
        <v>0</v>
      </c>
      <c r="AA586" s="36">
        <v>0</v>
      </c>
      <c r="AB586" s="36">
        <v>0</v>
      </c>
      <c r="AC586" s="36">
        <v>0</v>
      </c>
      <c r="AD586" s="36">
        <v>0</v>
      </c>
      <c r="AE586" s="36">
        <v>0</v>
      </c>
      <c r="AF586" s="36">
        <v>0</v>
      </c>
      <c r="AG586" s="36">
        <v>-1</v>
      </c>
      <c r="AH586" s="36">
        <v>0</v>
      </c>
      <c r="AI586" s="36">
        <v>0</v>
      </c>
      <c r="AJ586" s="36">
        <v>0</v>
      </c>
      <c r="AK586" s="36">
        <v>0</v>
      </c>
      <c r="AL586" s="36">
        <v>0</v>
      </c>
      <c r="AM586" s="36">
        <v>0</v>
      </c>
      <c r="AN586" s="36">
        <v>0</v>
      </c>
      <c r="AO586" s="36">
        <v>0</v>
      </c>
      <c r="AP586" s="36">
        <v>0</v>
      </c>
      <c r="AQ586" s="36">
        <v>0</v>
      </c>
      <c r="AR586" s="36">
        <v>0</v>
      </c>
      <c r="AS586" s="36">
        <v>0</v>
      </c>
      <c r="AT586" s="36">
        <v>0</v>
      </c>
      <c r="AU586" s="36">
        <v>0</v>
      </c>
      <c r="AV586" s="36">
        <v>0</v>
      </c>
      <c r="AW586" s="37">
        <v>0</v>
      </c>
    </row>
    <row r="587" spans="1:49" s="3" customFormat="1" ht="18" customHeight="1" x14ac:dyDescent="0.2">
      <c r="A587" s="39">
        <v>33</v>
      </c>
      <c r="B587" s="35">
        <v>0</v>
      </c>
      <c r="C587" s="36">
        <v>0</v>
      </c>
      <c r="D587" s="36">
        <v>0</v>
      </c>
      <c r="E587" s="36">
        <v>0</v>
      </c>
      <c r="F587" s="36">
        <v>0</v>
      </c>
      <c r="G587" s="36">
        <v>0</v>
      </c>
      <c r="H587" s="36">
        <v>0</v>
      </c>
      <c r="I587" s="36">
        <v>0</v>
      </c>
      <c r="J587" s="36">
        <v>0</v>
      </c>
      <c r="K587" s="36">
        <v>0</v>
      </c>
      <c r="L587" s="36">
        <v>0</v>
      </c>
      <c r="M587" s="36">
        <v>0</v>
      </c>
      <c r="N587" s="36">
        <v>0</v>
      </c>
      <c r="O587" s="36">
        <v>0</v>
      </c>
      <c r="P587" s="36">
        <v>0</v>
      </c>
      <c r="Q587" s="36">
        <v>0</v>
      </c>
      <c r="R587" s="36">
        <v>0</v>
      </c>
      <c r="S587" s="36">
        <v>0</v>
      </c>
      <c r="T587" s="36">
        <v>0</v>
      </c>
      <c r="U587" s="36">
        <v>0</v>
      </c>
      <c r="V587" s="36">
        <v>0</v>
      </c>
      <c r="W587" s="36">
        <v>0</v>
      </c>
      <c r="X587" s="36">
        <v>0</v>
      </c>
      <c r="Y587" s="36">
        <v>0</v>
      </c>
      <c r="Z587" s="36">
        <v>0</v>
      </c>
      <c r="AA587" s="36">
        <v>0</v>
      </c>
      <c r="AB587" s="36">
        <v>0</v>
      </c>
      <c r="AC587" s="36">
        <v>0</v>
      </c>
      <c r="AD587" s="36">
        <v>0</v>
      </c>
      <c r="AE587" s="36">
        <v>0</v>
      </c>
      <c r="AF587" s="36">
        <v>0</v>
      </c>
      <c r="AG587" s="36">
        <v>0</v>
      </c>
      <c r="AH587" s="36">
        <v>-1</v>
      </c>
      <c r="AI587" s="36">
        <v>0</v>
      </c>
      <c r="AJ587" s="36">
        <v>0</v>
      </c>
      <c r="AK587" s="36">
        <v>0</v>
      </c>
      <c r="AL587" s="36">
        <v>0</v>
      </c>
      <c r="AM587" s="36">
        <v>0</v>
      </c>
      <c r="AN587" s="36">
        <v>0</v>
      </c>
      <c r="AO587" s="36">
        <v>0</v>
      </c>
      <c r="AP587" s="36">
        <v>0</v>
      </c>
      <c r="AQ587" s="36">
        <v>0</v>
      </c>
      <c r="AR587" s="36">
        <v>0</v>
      </c>
      <c r="AS587" s="36">
        <v>0</v>
      </c>
      <c r="AT587" s="36">
        <v>0</v>
      </c>
      <c r="AU587" s="36">
        <v>0</v>
      </c>
      <c r="AV587" s="36">
        <v>0</v>
      </c>
      <c r="AW587" s="37">
        <v>0</v>
      </c>
    </row>
    <row r="588" spans="1:49" s="3" customFormat="1" ht="18" customHeight="1" x14ac:dyDescent="0.2">
      <c r="A588" s="39">
        <v>34</v>
      </c>
      <c r="B588" s="35">
        <v>0</v>
      </c>
      <c r="C588" s="36">
        <v>0</v>
      </c>
      <c r="D588" s="36">
        <v>0</v>
      </c>
      <c r="E588" s="36">
        <v>0</v>
      </c>
      <c r="F588" s="36">
        <v>0</v>
      </c>
      <c r="G588" s="36">
        <v>0</v>
      </c>
      <c r="H588" s="36">
        <v>0</v>
      </c>
      <c r="I588" s="36">
        <v>0</v>
      </c>
      <c r="J588" s="36">
        <v>0</v>
      </c>
      <c r="K588" s="36">
        <v>0</v>
      </c>
      <c r="L588" s="36">
        <v>0</v>
      </c>
      <c r="M588" s="36">
        <v>0</v>
      </c>
      <c r="N588" s="36">
        <v>0</v>
      </c>
      <c r="O588" s="36">
        <v>0</v>
      </c>
      <c r="P588" s="36">
        <v>0</v>
      </c>
      <c r="Q588" s="36">
        <v>0</v>
      </c>
      <c r="R588" s="36">
        <v>0</v>
      </c>
      <c r="S588" s="36">
        <v>0</v>
      </c>
      <c r="T588" s="36">
        <v>0</v>
      </c>
      <c r="U588" s="36">
        <v>0</v>
      </c>
      <c r="V588" s="36">
        <v>0</v>
      </c>
      <c r="W588" s="36">
        <v>0</v>
      </c>
      <c r="X588" s="36">
        <v>0</v>
      </c>
      <c r="Y588" s="36">
        <v>0</v>
      </c>
      <c r="Z588" s="36">
        <v>0</v>
      </c>
      <c r="AA588" s="36">
        <v>0</v>
      </c>
      <c r="AB588" s="36">
        <v>0</v>
      </c>
      <c r="AC588" s="36">
        <v>0</v>
      </c>
      <c r="AD588" s="36">
        <v>0</v>
      </c>
      <c r="AE588" s="36">
        <v>0</v>
      </c>
      <c r="AF588" s="36">
        <v>0</v>
      </c>
      <c r="AG588" s="36">
        <v>0</v>
      </c>
      <c r="AH588" s="36">
        <v>0</v>
      </c>
      <c r="AI588" s="36">
        <v>-1</v>
      </c>
      <c r="AJ588" s="36">
        <v>0</v>
      </c>
      <c r="AK588" s="36">
        <v>0</v>
      </c>
      <c r="AL588" s="36">
        <v>0</v>
      </c>
      <c r="AM588" s="36">
        <v>0</v>
      </c>
      <c r="AN588" s="36">
        <v>0</v>
      </c>
      <c r="AO588" s="36">
        <v>0</v>
      </c>
      <c r="AP588" s="36">
        <v>0</v>
      </c>
      <c r="AQ588" s="36">
        <v>0</v>
      </c>
      <c r="AR588" s="36">
        <v>0</v>
      </c>
      <c r="AS588" s="36">
        <v>0</v>
      </c>
      <c r="AT588" s="36">
        <v>0</v>
      </c>
      <c r="AU588" s="36">
        <v>0</v>
      </c>
      <c r="AV588" s="36">
        <v>0</v>
      </c>
      <c r="AW588" s="37">
        <v>0</v>
      </c>
    </row>
    <row r="589" spans="1:49" s="3" customFormat="1" ht="18" customHeight="1" x14ac:dyDescent="0.2">
      <c r="A589" s="39">
        <v>35</v>
      </c>
      <c r="B589" s="35">
        <v>0</v>
      </c>
      <c r="C589" s="36">
        <v>0</v>
      </c>
      <c r="D589" s="36">
        <v>0</v>
      </c>
      <c r="E589" s="36">
        <v>0</v>
      </c>
      <c r="F589" s="36">
        <v>0</v>
      </c>
      <c r="G589" s="36">
        <v>0</v>
      </c>
      <c r="H589" s="36">
        <v>0</v>
      </c>
      <c r="I589" s="36">
        <v>0</v>
      </c>
      <c r="J589" s="36">
        <v>0</v>
      </c>
      <c r="K589" s="36">
        <v>0</v>
      </c>
      <c r="L589" s="36">
        <v>0</v>
      </c>
      <c r="M589" s="36">
        <v>0</v>
      </c>
      <c r="N589" s="36">
        <v>0</v>
      </c>
      <c r="O589" s="36">
        <v>0</v>
      </c>
      <c r="P589" s="36">
        <v>0</v>
      </c>
      <c r="Q589" s="36">
        <v>0</v>
      </c>
      <c r="R589" s="36">
        <v>0</v>
      </c>
      <c r="S589" s="36">
        <v>0</v>
      </c>
      <c r="T589" s="36">
        <v>0</v>
      </c>
      <c r="U589" s="36">
        <v>0</v>
      </c>
      <c r="V589" s="36">
        <v>0</v>
      </c>
      <c r="W589" s="36">
        <v>0</v>
      </c>
      <c r="X589" s="36">
        <v>0</v>
      </c>
      <c r="Y589" s="36">
        <v>0</v>
      </c>
      <c r="Z589" s="36">
        <v>0</v>
      </c>
      <c r="AA589" s="36">
        <v>0</v>
      </c>
      <c r="AB589" s="36">
        <v>0</v>
      </c>
      <c r="AC589" s="36">
        <v>0</v>
      </c>
      <c r="AD589" s="36">
        <v>0</v>
      </c>
      <c r="AE589" s="36">
        <v>0</v>
      </c>
      <c r="AF589" s="36">
        <v>0</v>
      </c>
      <c r="AG589" s="36">
        <v>0</v>
      </c>
      <c r="AH589" s="36">
        <v>0</v>
      </c>
      <c r="AI589" s="36">
        <v>0</v>
      </c>
      <c r="AJ589" s="36">
        <v>-1</v>
      </c>
      <c r="AK589" s="36">
        <v>0</v>
      </c>
      <c r="AL589" s="36">
        <v>0</v>
      </c>
      <c r="AM589" s="36">
        <v>0</v>
      </c>
      <c r="AN589" s="36">
        <v>0</v>
      </c>
      <c r="AO589" s="36">
        <v>0</v>
      </c>
      <c r="AP589" s="36">
        <v>0</v>
      </c>
      <c r="AQ589" s="36">
        <v>0</v>
      </c>
      <c r="AR589" s="36">
        <v>0</v>
      </c>
      <c r="AS589" s="36">
        <v>0</v>
      </c>
      <c r="AT589" s="36">
        <v>0</v>
      </c>
      <c r="AU589" s="36">
        <v>0</v>
      </c>
      <c r="AV589" s="36">
        <v>0</v>
      </c>
      <c r="AW589" s="37">
        <v>0</v>
      </c>
    </row>
    <row r="590" spans="1:49" s="3" customFormat="1" ht="18" customHeight="1" x14ac:dyDescent="0.2">
      <c r="A590" s="39">
        <v>36</v>
      </c>
      <c r="B590" s="35">
        <v>0</v>
      </c>
      <c r="C590" s="36">
        <v>0</v>
      </c>
      <c r="D590" s="36">
        <v>0</v>
      </c>
      <c r="E590" s="36">
        <v>0</v>
      </c>
      <c r="F590" s="36">
        <v>0</v>
      </c>
      <c r="G590" s="36">
        <v>0</v>
      </c>
      <c r="H590" s="36">
        <v>0</v>
      </c>
      <c r="I590" s="36">
        <v>0</v>
      </c>
      <c r="J590" s="36">
        <v>0</v>
      </c>
      <c r="K590" s="36">
        <v>0</v>
      </c>
      <c r="L590" s="36">
        <v>0</v>
      </c>
      <c r="M590" s="36">
        <v>0</v>
      </c>
      <c r="N590" s="36">
        <v>0</v>
      </c>
      <c r="O590" s="36">
        <v>0</v>
      </c>
      <c r="P590" s="36">
        <v>0</v>
      </c>
      <c r="Q590" s="36">
        <v>0</v>
      </c>
      <c r="R590" s="36">
        <v>0</v>
      </c>
      <c r="S590" s="36">
        <v>0</v>
      </c>
      <c r="T590" s="36">
        <v>0</v>
      </c>
      <c r="U590" s="36">
        <v>0</v>
      </c>
      <c r="V590" s="36">
        <v>0</v>
      </c>
      <c r="W590" s="36">
        <v>0</v>
      </c>
      <c r="X590" s="36">
        <v>0</v>
      </c>
      <c r="Y590" s="36">
        <v>0</v>
      </c>
      <c r="Z590" s="36">
        <v>0</v>
      </c>
      <c r="AA590" s="36">
        <v>0</v>
      </c>
      <c r="AB590" s="36">
        <v>0</v>
      </c>
      <c r="AC590" s="36">
        <v>0</v>
      </c>
      <c r="AD590" s="36">
        <v>0</v>
      </c>
      <c r="AE590" s="36">
        <v>0</v>
      </c>
      <c r="AF590" s="36">
        <v>0</v>
      </c>
      <c r="AG590" s="36">
        <v>0</v>
      </c>
      <c r="AH590" s="36">
        <v>0</v>
      </c>
      <c r="AI590" s="36">
        <v>0</v>
      </c>
      <c r="AJ590" s="36">
        <v>0</v>
      </c>
      <c r="AK590" s="36">
        <v>-1</v>
      </c>
      <c r="AL590" s="36">
        <v>0</v>
      </c>
      <c r="AM590" s="36">
        <v>0</v>
      </c>
      <c r="AN590" s="36">
        <v>0</v>
      </c>
      <c r="AO590" s="36">
        <v>0</v>
      </c>
      <c r="AP590" s="36">
        <v>0</v>
      </c>
      <c r="AQ590" s="36">
        <v>0</v>
      </c>
      <c r="AR590" s="36">
        <v>0</v>
      </c>
      <c r="AS590" s="36">
        <v>0</v>
      </c>
      <c r="AT590" s="36">
        <v>0</v>
      </c>
      <c r="AU590" s="36">
        <v>0</v>
      </c>
      <c r="AV590" s="36">
        <v>0</v>
      </c>
      <c r="AW590" s="37">
        <v>0</v>
      </c>
    </row>
    <row r="591" spans="1:49" s="3" customFormat="1" ht="18" customHeight="1" x14ac:dyDescent="0.2">
      <c r="A591" s="39">
        <v>37</v>
      </c>
      <c r="B591" s="35">
        <v>0</v>
      </c>
      <c r="C591" s="36">
        <v>0</v>
      </c>
      <c r="D591" s="36">
        <v>0</v>
      </c>
      <c r="E591" s="36">
        <v>0</v>
      </c>
      <c r="F591" s="36">
        <v>0</v>
      </c>
      <c r="G591" s="36">
        <v>0</v>
      </c>
      <c r="H591" s="36">
        <v>0</v>
      </c>
      <c r="I591" s="36">
        <v>0</v>
      </c>
      <c r="J591" s="36">
        <v>0</v>
      </c>
      <c r="K591" s="36">
        <v>0</v>
      </c>
      <c r="L591" s="36">
        <v>0</v>
      </c>
      <c r="M591" s="36">
        <v>0</v>
      </c>
      <c r="N591" s="36">
        <v>0</v>
      </c>
      <c r="O591" s="36">
        <v>0</v>
      </c>
      <c r="P591" s="36">
        <v>0</v>
      </c>
      <c r="Q591" s="36">
        <v>0</v>
      </c>
      <c r="R591" s="36">
        <v>0</v>
      </c>
      <c r="S591" s="36">
        <v>0</v>
      </c>
      <c r="T591" s="36">
        <v>0</v>
      </c>
      <c r="U591" s="36">
        <v>0</v>
      </c>
      <c r="V591" s="36">
        <v>0</v>
      </c>
      <c r="W591" s="36">
        <v>0</v>
      </c>
      <c r="X591" s="36">
        <v>0</v>
      </c>
      <c r="Y591" s="36">
        <v>0</v>
      </c>
      <c r="Z591" s="36">
        <v>0</v>
      </c>
      <c r="AA591" s="36">
        <v>0</v>
      </c>
      <c r="AB591" s="36">
        <v>0</v>
      </c>
      <c r="AC591" s="36">
        <v>0</v>
      </c>
      <c r="AD591" s="36">
        <v>0</v>
      </c>
      <c r="AE591" s="36">
        <v>0</v>
      </c>
      <c r="AF591" s="36">
        <v>0</v>
      </c>
      <c r="AG591" s="36">
        <v>0</v>
      </c>
      <c r="AH591" s="36">
        <v>0</v>
      </c>
      <c r="AI591" s="36">
        <v>0</v>
      </c>
      <c r="AJ591" s="36">
        <v>0</v>
      </c>
      <c r="AK591" s="36">
        <v>0</v>
      </c>
      <c r="AL591" s="36">
        <v>-1</v>
      </c>
      <c r="AM591" s="36">
        <v>0</v>
      </c>
      <c r="AN591" s="36">
        <v>0</v>
      </c>
      <c r="AO591" s="36">
        <v>0</v>
      </c>
      <c r="AP591" s="36">
        <v>0</v>
      </c>
      <c r="AQ591" s="36">
        <v>0</v>
      </c>
      <c r="AR591" s="36">
        <v>0</v>
      </c>
      <c r="AS591" s="36">
        <v>0</v>
      </c>
      <c r="AT591" s="36">
        <v>0</v>
      </c>
      <c r="AU591" s="36">
        <v>0</v>
      </c>
      <c r="AV591" s="36">
        <v>0</v>
      </c>
      <c r="AW591" s="37">
        <v>0</v>
      </c>
    </row>
    <row r="592" spans="1:49" s="3" customFormat="1" ht="18" customHeight="1" x14ac:dyDescent="0.2">
      <c r="A592" s="39">
        <v>38</v>
      </c>
      <c r="B592" s="35">
        <v>0</v>
      </c>
      <c r="C592" s="36">
        <v>0</v>
      </c>
      <c r="D592" s="36">
        <v>0</v>
      </c>
      <c r="E592" s="36">
        <v>0</v>
      </c>
      <c r="F592" s="36">
        <v>0</v>
      </c>
      <c r="G592" s="36">
        <v>0</v>
      </c>
      <c r="H592" s="36">
        <v>0</v>
      </c>
      <c r="I592" s="36">
        <v>0</v>
      </c>
      <c r="J592" s="36">
        <v>0</v>
      </c>
      <c r="K592" s="36">
        <v>0</v>
      </c>
      <c r="L592" s="36">
        <v>0</v>
      </c>
      <c r="M592" s="36">
        <v>0</v>
      </c>
      <c r="N592" s="36">
        <v>0</v>
      </c>
      <c r="O592" s="36">
        <v>0</v>
      </c>
      <c r="P592" s="36">
        <v>0</v>
      </c>
      <c r="Q592" s="36">
        <v>0</v>
      </c>
      <c r="R592" s="36">
        <v>0</v>
      </c>
      <c r="S592" s="36">
        <v>0</v>
      </c>
      <c r="T592" s="36">
        <v>0</v>
      </c>
      <c r="U592" s="36">
        <v>0</v>
      </c>
      <c r="V592" s="36">
        <v>0</v>
      </c>
      <c r="W592" s="36">
        <v>0</v>
      </c>
      <c r="X592" s="36">
        <v>0</v>
      </c>
      <c r="Y592" s="36">
        <v>0</v>
      </c>
      <c r="Z592" s="36">
        <v>0</v>
      </c>
      <c r="AA592" s="36">
        <v>0</v>
      </c>
      <c r="AB592" s="36">
        <v>0</v>
      </c>
      <c r="AC592" s="36">
        <v>0</v>
      </c>
      <c r="AD592" s="36">
        <v>0</v>
      </c>
      <c r="AE592" s="36">
        <v>0</v>
      </c>
      <c r="AF592" s="36">
        <v>0</v>
      </c>
      <c r="AG592" s="36">
        <v>0</v>
      </c>
      <c r="AH592" s="36">
        <v>0</v>
      </c>
      <c r="AI592" s="36">
        <v>0</v>
      </c>
      <c r="AJ592" s="36">
        <v>0</v>
      </c>
      <c r="AK592" s="36">
        <v>0</v>
      </c>
      <c r="AL592" s="36">
        <v>0</v>
      </c>
      <c r="AM592" s="36">
        <v>-1</v>
      </c>
      <c r="AN592" s="36">
        <v>0</v>
      </c>
      <c r="AO592" s="36">
        <v>0</v>
      </c>
      <c r="AP592" s="36">
        <v>0</v>
      </c>
      <c r="AQ592" s="36">
        <v>0</v>
      </c>
      <c r="AR592" s="36">
        <v>0</v>
      </c>
      <c r="AS592" s="36">
        <v>0</v>
      </c>
      <c r="AT592" s="36">
        <v>0</v>
      </c>
      <c r="AU592" s="36">
        <v>0</v>
      </c>
      <c r="AV592" s="36">
        <v>0</v>
      </c>
      <c r="AW592" s="37">
        <v>0</v>
      </c>
    </row>
    <row r="593" spans="1:49" s="3" customFormat="1" ht="18" customHeight="1" x14ac:dyDescent="0.2">
      <c r="A593" s="39">
        <v>39</v>
      </c>
      <c r="B593" s="35">
        <v>0</v>
      </c>
      <c r="C593" s="36">
        <v>0</v>
      </c>
      <c r="D593" s="36">
        <v>0</v>
      </c>
      <c r="E593" s="36">
        <v>0</v>
      </c>
      <c r="F593" s="36">
        <v>0</v>
      </c>
      <c r="G593" s="36">
        <v>0</v>
      </c>
      <c r="H593" s="36">
        <v>0</v>
      </c>
      <c r="I593" s="36">
        <v>0</v>
      </c>
      <c r="J593" s="36">
        <v>0</v>
      </c>
      <c r="K593" s="36">
        <v>0</v>
      </c>
      <c r="L593" s="36">
        <v>0</v>
      </c>
      <c r="M593" s="36">
        <v>0</v>
      </c>
      <c r="N593" s="36">
        <v>0</v>
      </c>
      <c r="O593" s="36">
        <v>0</v>
      </c>
      <c r="P593" s="36">
        <v>0</v>
      </c>
      <c r="Q593" s="36">
        <v>0</v>
      </c>
      <c r="R593" s="36">
        <v>0</v>
      </c>
      <c r="S593" s="36">
        <v>0</v>
      </c>
      <c r="T593" s="36">
        <v>0</v>
      </c>
      <c r="U593" s="36">
        <v>0</v>
      </c>
      <c r="V593" s="36">
        <v>0</v>
      </c>
      <c r="W593" s="36">
        <v>0</v>
      </c>
      <c r="X593" s="36">
        <v>0</v>
      </c>
      <c r="Y593" s="36">
        <v>0</v>
      </c>
      <c r="Z593" s="36">
        <v>0</v>
      </c>
      <c r="AA593" s="36">
        <v>0</v>
      </c>
      <c r="AB593" s="36">
        <v>0</v>
      </c>
      <c r="AC593" s="36">
        <v>0</v>
      </c>
      <c r="AD593" s="36">
        <v>0</v>
      </c>
      <c r="AE593" s="36">
        <v>0</v>
      </c>
      <c r="AF593" s="36">
        <v>0</v>
      </c>
      <c r="AG593" s="36">
        <v>0</v>
      </c>
      <c r="AH593" s="36">
        <v>0</v>
      </c>
      <c r="AI593" s="36">
        <v>0</v>
      </c>
      <c r="AJ593" s="36">
        <v>0</v>
      </c>
      <c r="AK593" s="36">
        <v>0</v>
      </c>
      <c r="AL593" s="36">
        <v>0</v>
      </c>
      <c r="AM593" s="36">
        <v>0</v>
      </c>
      <c r="AN593" s="36">
        <v>-1</v>
      </c>
      <c r="AO593" s="36">
        <v>0</v>
      </c>
      <c r="AP593" s="36">
        <v>0</v>
      </c>
      <c r="AQ593" s="36">
        <v>0</v>
      </c>
      <c r="AR593" s="36">
        <v>0</v>
      </c>
      <c r="AS593" s="36">
        <v>0</v>
      </c>
      <c r="AT593" s="36">
        <v>0</v>
      </c>
      <c r="AU593" s="36">
        <v>0</v>
      </c>
      <c r="AV593" s="36">
        <v>0</v>
      </c>
      <c r="AW593" s="37">
        <v>0</v>
      </c>
    </row>
    <row r="594" spans="1:49" s="3" customFormat="1" ht="18" customHeight="1" x14ac:dyDescent="0.2">
      <c r="A594" s="39">
        <v>40</v>
      </c>
      <c r="B594" s="35">
        <v>0</v>
      </c>
      <c r="C594" s="36">
        <v>0</v>
      </c>
      <c r="D594" s="36">
        <v>0</v>
      </c>
      <c r="E594" s="36">
        <v>0</v>
      </c>
      <c r="F594" s="36">
        <v>0</v>
      </c>
      <c r="G594" s="36">
        <v>0</v>
      </c>
      <c r="H594" s="36">
        <v>0</v>
      </c>
      <c r="I594" s="36">
        <v>0</v>
      </c>
      <c r="J594" s="36">
        <v>0</v>
      </c>
      <c r="K594" s="36">
        <v>0</v>
      </c>
      <c r="L594" s="36">
        <v>0</v>
      </c>
      <c r="M594" s="36">
        <v>0</v>
      </c>
      <c r="N594" s="36">
        <v>0</v>
      </c>
      <c r="O594" s="36">
        <v>0</v>
      </c>
      <c r="P594" s="36">
        <v>0</v>
      </c>
      <c r="Q594" s="36">
        <v>0</v>
      </c>
      <c r="R594" s="36">
        <v>0</v>
      </c>
      <c r="S594" s="36">
        <v>0</v>
      </c>
      <c r="T594" s="36">
        <v>0</v>
      </c>
      <c r="U594" s="36">
        <v>0</v>
      </c>
      <c r="V594" s="36">
        <v>0</v>
      </c>
      <c r="W594" s="36">
        <v>0</v>
      </c>
      <c r="X594" s="36">
        <v>0</v>
      </c>
      <c r="Y594" s="36">
        <v>0</v>
      </c>
      <c r="Z594" s="36">
        <v>0</v>
      </c>
      <c r="AA594" s="36">
        <v>0</v>
      </c>
      <c r="AB594" s="36">
        <v>0</v>
      </c>
      <c r="AC594" s="36">
        <v>0</v>
      </c>
      <c r="AD594" s="36">
        <v>0</v>
      </c>
      <c r="AE594" s="36">
        <v>0</v>
      </c>
      <c r="AF594" s="36">
        <v>0</v>
      </c>
      <c r="AG594" s="36">
        <v>0</v>
      </c>
      <c r="AH594" s="36">
        <v>0</v>
      </c>
      <c r="AI594" s="36">
        <v>0</v>
      </c>
      <c r="AJ594" s="36">
        <v>0</v>
      </c>
      <c r="AK594" s="36">
        <v>0</v>
      </c>
      <c r="AL594" s="36">
        <v>0</v>
      </c>
      <c r="AM594" s="36">
        <v>0</v>
      </c>
      <c r="AN594" s="36">
        <v>0</v>
      </c>
      <c r="AO594" s="36">
        <v>-1</v>
      </c>
      <c r="AP594" s="36">
        <v>0</v>
      </c>
      <c r="AQ594" s="36">
        <v>0</v>
      </c>
      <c r="AR594" s="36">
        <v>0</v>
      </c>
      <c r="AS594" s="36">
        <v>0</v>
      </c>
      <c r="AT594" s="36">
        <v>0</v>
      </c>
      <c r="AU594" s="36">
        <v>0</v>
      </c>
      <c r="AV594" s="36">
        <v>0</v>
      </c>
      <c r="AW594" s="37">
        <v>0</v>
      </c>
    </row>
    <row r="595" spans="1:49" s="3" customFormat="1" ht="18" customHeight="1" x14ac:dyDescent="0.2">
      <c r="A595" s="39">
        <v>41</v>
      </c>
      <c r="B595" s="35">
        <v>0</v>
      </c>
      <c r="C595" s="36">
        <v>0</v>
      </c>
      <c r="D595" s="36">
        <v>0</v>
      </c>
      <c r="E595" s="36">
        <v>0</v>
      </c>
      <c r="F595" s="36">
        <v>0</v>
      </c>
      <c r="G595" s="36">
        <v>0</v>
      </c>
      <c r="H595" s="36">
        <v>0</v>
      </c>
      <c r="I595" s="36">
        <v>0</v>
      </c>
      <c r="J595" s="36">
        <v>0</v>
      </c>
      <c r="K595" s="36">
        <v>0</v>
      </c>
      <c r="L595" s="36">
        <v>0</v>
      </c>
      <c r="M595" s="36">
        <v>0</v>
      </c>
      <c r="N595" s="36">
        <v>0</v>
      </c>
      <c r="O595" s="36">
        <v>0</v>
      </c>
      <c r="P595" s="36">
        <v>0</v>
      </c>
      <c r="Q595" s="36">
        <v>0</v>
      </c>
      <c r="R595" s="36">
        <v>0</v>
      </c>
      <c r="S595" s="36">
        <v>0</v>
      </c>
      <c r="T595" s="36">
        <v>0</v>
      </c>
      <c r="U595" s="36">
        <v>0</v>
      </c>
      <c r="V595" s="36">
        <v>0</v>
      </c>
      <c r="W595" s="36">
        <v>0</v>
      </c>
      <c r="X595" s="36">
        <v>0</v>
      </c>
      <c r="Y595" s="36">
        <v>0</v>
      </c>
      <c r="Z595" s="36">
        <v>0</v>
      </c>
      <c r="AA595" s="36">
        <v>0</v>
      </c>
      <c r="AB595" s="36">
        <v>0</v>
      </c>
      <c r="AC595" s="36">
        <v>0</v>
      </c>
      <c r="AD595" s="36">
        <v>0</v>
      </c>
      <c r="AE595" s="36">
        <v>0</v>
      </c>
      <c r="AF595" s="36">
        <v>0</v>
      </c>
      <c r="AG595" s="36">
        <v>0</v>
      </c>
      <c r="AH595" s="36">
        <v>0</v>
      </c>
      <c r="AI595" s="36">
        <v>0</v>
      </c>
      <c r="AJ595" s="36">
        <v>0</v>
      </c>
      <c r="AK595" s="36">
        <v>0</v>
      </c>
      <c r="AL595" s="36">
        <v>0</v>
      </c>
      <c r="AM595" s="36">
        <v>0</v>
      </c>
      <c r="AN595" s="36">
        <v>0</v>
      </c>
      <c r="AO595" s="36">
        <v>0</v>
      </c>
      <c r="AP595" s="36">
        <v>-1</v>
      </c>
      <c r="AQ595" s="36">
        <v>0</v>
      </c>
      <c r="AR595" s="36">
        <v>0</v>
      </c>
      <c r="AS595" s="36">
        <v>0</v>
      </c>
      <c r="AT595" s="36">
        <v>0</v>
      </c>
      <c r="AU595" s="36">
        <v>0</v>
      </c>
      <c r="AV595" s="36">
        <v>0</v>
      </c>
      <c r="AW595" s="37">
        <v>0</v>
      </c>
    </row>
    <row r="596" spans="1:49" s="3" customFormat="1" ht="18" customHeight="1" x14ac:dyDescent="0.2">
      <c r="A596" s="39">
        <v>42</v>
      </c>
      <c r="B596" s="35">
        <v>0</v>
      </c>
      <c r="C596" s="36">
        <v>0</v>
      </c>
      <c r="D596" s="36">
        <v>0</v>
      </c>
      <c r="E596" s="36">
        <v>0</v>
      </c>
      <c r="F596" s="36">
        <v>0</v>
      </c>
      <c r="G596" s="36">
        <v>0</v>
      </c>
      <c r="H596" s="36">
        <v>0</v>
      </c>
      <c r="I596" s="36">
        <v>0</v>
      </c>
      <c r="J596" s="36">
        <v>0</v>
      </c>
      <c r="K596" s="36">
        <v>0</v>
      </c>
      <c r="L596" s="36">
        <v>0</v>
      </c>
      <c r="M596" s="36">
        <v>0</v>
      </c>
      <c r="N596" s="36">
        <v>0</v>
      </c>
      <c r="O596" s="36">
        <v>0</v>
      </c>
      <c r="P596" s="36">
        <v>0</v>
      </c>
      <c r="Q596" s="36">
        <v>0</v>
      </c>
      <c r="R596" s="36">
        <v>0</v>
      </c>
      <c r="S596" s="36">
        <v>0</v>
      </c>
      <c r="T596" s="36">
        <v>0</v>
      </c>
      <c r="U596" s="36">
        <v>0</v>
      </c>
      <c r="V596" s="36">
        <v>0</v>
      </c>
      <c r="W596" s="36">
        <v>0</v>
      </c>
      <c r="X596" s="36">
        <v>0</v>
      </c>
      <c r="Y596" s="36">
        <v>0</v>
      </c>
      <c r="Z596" s="36">
        <v>0</v>
      </c>
      <c r="AA596" s="36">
        <v>0</v>
      </c>
      <c r="AB596" s="36">
        <v>0</v>
      </c>
      <c r="AC596" s="36">
        <v>0</v>
      </c>
      <c r="AD596" s="36">
        <v>0</v>
      </c>
      <c r="AE596" s="36">
        <v>0</v>
      </c>
      <c r="AF596" s="36">
        <v>0</v>
      </c>
      <c r="AG596" s="36">
        <v>0</v>
      </c>
      <c r="AH596" s="36">
        <v>0</v>
      </c>
      <c r="AI596" s="36">
        <v>0</v>
      </c>
      <c r="AJ596" s="36">
        <v>0</v>
      </c>
      <c r="AK596" s="36">
        <v>0</v>
      </c>
      <c r="AL596" s="36">
        <v>0</v>
      </c>
      <c r="AM596" s="36">
        <v>0</v>
      </c>
      <c r="AN596" s="36">
        <v>0</v>
      </c>
      <c r="AO596" s="36">
        <v>0</v>
      </c>
      <c r="AP596" s="36">
        <v>0</v>
      </c>
      <c r="AQ596" s="36">
        <v>-1</v>
      </c>
      <c r="AR596" s="36">
        <v>0</v>
      </c>
      <c r="AS596" s="36">
        <v>0</v>
      </c>
      <c r="AT596" s="36">
        <v>0</v>
      </c>
      <c r="AU596" s="36">
        <v>0</v>
      </c>
      <c r="AV596" s="36">
        <v>0</v>
      </c>
      <c r="AW596" s="37">
        <v>0</v>
      </c>
    </row>
    <row r="597" spans="1:49" s="3" customFormat="1" ht="18" customHeight="1" x14ac:dyDescent="0.2">
      <c r="A597" s="39">
        <v>43</v>
      </c>
      <c r="B597" s="35">
        <v>0</v>
      </c>
      <c r="C597" s="36">
        <v>0</v>
      </c>
      <c r="D597" s="36">
        <v>0</v>
      </c>
      <c r="E597" s="36">
        <v>0</v>
      </c>
      <c r="F597" s="36">
        <v>0</v>
      </c>
      <c r="G597" s="36">
        <v>0</v>
      </c>
      <c r="H597" s="36">
        <v>0</v>
      </c>
      <c r="I597" s="36">
        <v>0</v>
      </c>
      <c r="J597" s="36">
        <v>0</v>
      </c>
      <c r="K597" s="36">
        <v>0</v>
      </c>
      <c r="L597" s="36">
        <v>0</v>
      </c>
      <c r="M597" s="36">
        <v>0</v>
      </c>
      <c r="N597" s="36">
        <v>0</v>
      </c>
      <c r="O597" s="36">
        <v>0</v>
      </c>
      <c r="P597" s="36">
        <v>0</v>
      </c>
      <c r="Q597" s="36">
        <v>0</v>
      </c>
      <c r="R597" s="36">
        <v>0</v>
      </c>
      <c r="S597" s="36">
        <v>0</v>
      </c>
      <c r="T597" s="36">
        <v>0</v>
      </c>
      <c r="U597" s="36">
        <v>0</v>
      </c>
      <c r="V597" s="36">
        <v>0</v>
      </c>
      <c r="W597" s="36">
        <v>0</v>
      </c>
      <c r="X597" s="36">
        <v>0</v>
      </c>
      <c r="Y597" s="36">
        <v>0</v>
      </c>
      <c r="Z597" s="36">
        <v>0</v>
      </c>
      <c r="AA597" s="36">
        <v>0</v>
      </c>
      <c r="AB597" s="36">
        <v>0</v>
      </c>
      <c r="AC597" s="36">
        <v>0</v>
      </c>
      <c r="AD597" s="36">
        <v>0</v>
      </c>
      <c r="AE597" s="36">
        <v>0</v>
      </c>
      <c r="AF597" s="36">
        <v>0</v>
      </c>
      <c r="AG597" s="36">
        <v>0</v>
      </c>
      <c r="AH597" s="36">
        <v>0</v>
      </c>
      <c r="AI597" s="36">
        <v>0</v>
      </c>
      <c r="AJ597" s="36">
        <v>0</v>
      </c>
      <c r="AK597" s="36">
        <v>0</v>
      </c>
      <c r="AL597" s="36">
        <v>0</v>
      </c>
      <c r="AM597" s="36">
        <v>0</v>
      </c>
      <c r="AN597" s="36">
        <v>0</v>
      </c>
      <c r="AO597" s="36">
        <v>0</v>
      </c>
      <c r="AP597" s="36">
        <v>0</v>
      </c>
      <c r="AQ597" s="36">
        <v>0</v>
      </c>
      <c r="AR597" s="36">
        <v>-1</v>
      </c>
      <c r="AS597" s="36">
        <v>0</v>
      </c>
      <c r="AT597" s="36">
        <v>0</v>
      </c>
      <c r="AU597" s="36">
        <v>0</v>
      </c>
      <c r="AV597" s="36">
        <v>0</v>
      </c>
      <c r="AW597" s="37">
        <v>0</v>
      </c>
    </row>
    <row r="598" spans="1:49" s="3" customFormat="1" ht="18" customHeight="1" x14ac:dyDescent="0.2">
      <c r="A598" s="39">
        <v>44</v>
      </c>
      <c r="B598" s="35">
        <v>0</v>
      </c>
      <c r="C598" s="36">
        <v>0</v>
      </c>
      <c r="D598" s="36">
        <v>0</v>
      </c>
      <c r="E598" s="36">
        <v>0</v>
      </c>
      <c r="F598" s="36">
        <v>0</v>
      </c>
      <c r="G598" s="36">
        <v>0</v>
      </c>
      <c r="H598" s="36">
        <v>0</v>
      </c>
      <c r="I598" s="36">
        <v>0</v>
      </c>
      <c r="J598" s="36">
        <v>0</v>
      </c>
      <c r="K598" s="36">
        <v>0</v>
      </c>
      <c r="L598" s="36">
        <v>0</v>
      </c>
      <c r="M598" s="36">
        <v>0</v>
      </c>
      <c r="N598" s="36">
        <v>0</v>
      </c>
      <c r="O598" s="36">
        <v>0</v>
      </c>
      <c r="P598" s="36">
        <v>0</v>
      </c>
      <c r="Q598" s="36">
        <v>0</v>
      </c>
      <c r="R598" s="36">
        <v>0</v>
      </c>
      <c r="S598" s="36">
        <v>0</v>
      </c>
      <c r="T598" s="36">
        <v>0</v>
      </c>
      <c r="U598" s="36">
        <v>0</v>
      </c>
      <c r="V598" s="36">
        <v>0</v>
      </c>
      <c r="W598" s="36">
        <v>0</v>
      </c>
      <c r="X598" s="36">
        <v>0</v>
      </c>
      <c r="Y598" s="36">
        <v>0</v>
      </c>
      <c r="Z598" s="36">
        <v>0</v>
      </c>
      <c r="AA598" s="36">
        <v>0</v>
      </c>
      <c r="AB598" s="36">
        <v>0</v>
      </c>
      <c r="AC598" s="36">
        <v>0</v>
      </c>
      <c r="AD598" s="36">
        <v>0</v>
      </c>
      <c r="AE598" s="36">
        <v>0</v>
      </c>
      <c r="AF598" s="36">
        <v>0</v>
      </c>
      <c r="AG598" s="36">
        <v>0</v>
      </c>
      <c r="AH598" s="36">
        <v>0</v>
      </c>
      <c r="AI598" s="36">
        <v>0</v>
      </c>
      <c r="AJ598" s="36">
        <v>0</v>
      </c>
      <c r="AK598" s="36">
        <v>0</v>
      </c>
      <c r="AL598" s="36">
        <v>0</v>
      </c>
      <c r="AM598" s="36">
        <v>0</v>
      </c>
      <c r="AN598" s="36">
        <v>0</v>
      </c>
      <c r="AO598" s="36">
        <v>0</v>
      </c>
      <c r="AP598" s="36">
        <v>0</v>
      </c>
      <c r="AQ598" s="36">
        <v>0</v>
      </c>
      <c r="AR598" s="36">
        <v>0</v>
      </c>
      <c r="AS598" s="36">
        <v>-1</v>
      </c>
      <c r="AT598" s="36">
        <v>0</v>
      </c>
      <c r="AU598" s="36">
        <v>0</v>
      </c>
      <c r="AV598" s="36">
        <v>0</v>
      </c>
      <c r="AW598" s="37">
        <v>0</v>
      </c>
    </row>
    <row r="599" spans="1:49" s="3" customFormat="1" ht="18" customHeight="1" x14ac:dyDescent="0.2">
      <c r="A599" s="39">
        <v>45</v>
      </c>
      <c r="B599" s="35">
        <v>0</v>
      </c>
      <c r="C599" s="36">
        <v>0</v>
      </c>
      <c r="D599" s="36">
        <v>0</v>
      </c>
      <c r="E599" s="36">
        <v>0</v>
      </c>
      <c r="F599" s="36">
        <v>0</v>
      </c>
      <c r="G599" s="36">
        <v>0</v>
      </c>
      <c r="H599" s="36">
        <v>0</v>
      </c>
      <c r="I599" s="36">
        <v>0</v>
      </c>
      <c r="J599" s="36">
        <v>0</v>
      </c>
      <c r="K599" s="36">
        <v>0</v>
      </c>
      <c r="L599" s="36">
        <v>0</v>
      </c>
      <c r="M599" s="36">
        <v>0</v>
      </c>
      <c r="N599" s="36">
        <v>0</v>
      </c>
      <c r="O599" s="36">
        <v>0</v>
      </c>
      <c r="P599" s="36">
        <v>0</v>
      </c>
      <c r="Q599" s="36">
        <v>0</v>
      </c>
      <c r="R599" s="36">
        <v>0</v>
      </c>
      <c r="S599" s="36">
        <v>0</v>
      </c>
      <c r="T599" s="36">
        <v>0</v>
      </c>
      <c r="U599" s="36">
        <v>0</v>
      </c>
      <c r="V599" s="36">
        <v>0</v>
      </c>
      <c r="W599" s="36">
        <v>0</v>
      </c>
      <c r="X599" s="36">
        <v>0</v>
      </c>
      <c r="Y599" s="36">
        <v>0</v>
      </c>
      <c r="Z599" s="36">
        <v>0</v>
      </c>
      <c r="AA599" s="36">
        <v>0</v>
      </c>
      <c r="AB599" s="36">
        <v>0</v>
      </c>
      <c r="AC599" s="36">
        <v>0</v>
      </c>
      <c r="AD599" s="36">
        <v>0</v>
      </c>
      <c r="AE599" s="36">
        <v>0</v>
      </c>
      <c r="AF599" s="36">
        <v>0</v>
      </c>
      <c r="AG599" s="36">
        <v>0</v>
      </c>
      <c r="AH599" s="36">
        <v>0</v>
      </c>
      <c r="AI599" s="36">
        <v>0</v>
      </c>
      <c r="AJ599" s="36">
        <v>0</v>
      </c>
      <c r="AK599" s="36">
        <v>0</v>
      </c>
      <c r="AL599" s="36">
        <v>0</v>
      </c>
      <c r="AM599" s="36">
        <v>0</v>
      </c>
      <c r="AN599" s="36">
        <v>0</v>
      </c>
      <c r="AO599" s="36">
        <v>0</v>
      </c>
      <c r="AP599" s="36">
        <v>0</v>
      </c>
      <c r="AQ599" s="36">
        <v>0</v>
      </c>
      <c r="AR599" s="36">
        <v>0</v>
      </c>
      <c r="AS599" s="36">
        <v>0</v>
      </c>
      <c r="AT599" s="36">
        <v>-1</v>
      </c>
      <c r="AU599" s="36">
        <v>0</v>
      </c>
      <c r="AV599" s="36">
        <v>0</v>
      </c>
      <c r="AW599" s="37">
        <v>0</v>
      </c>
    </row>
    <row r="600" spans="1:49" s="3" customFormat="1" ht="18" customHeight="1" x14ac:dyDescent="0.2">
      <c r="A600" s="39">
        <v>46</v>
      </c>
      <c r="B600" s="35">
        <v>0</v>
      </c>
      <c r="C600" s="36">
        <v>0</v>
      </c>
      <c r="D600" s="36">
        <v>0</v>
      </c>
      <c r="E600" s="36">
        <v>0</v>
      </c>
      <c r="F600" s="36">
        <v>0</v>
      </c>
      <c r="G600" s="36">
        <v>0</v>
      </c>
      <c r="H600" s="36">
        <v>0</v>
      </c>
      <c r="I600" s="36">
        <v>0</v>
      </c>
      <c r="J600" s="36">
        <v>0</v>
      </c>
      <c r="K600" s="36">
        <v>0</v>
      </c>
      <c r="L600" s="36">
        <v>0</v>
      </c>
      <c r="M600" s="36">
        <v>0</v>
      </c>
      <c r="N600" s="36">
        <v>0</v>
      </c>
      <c r="O600" s="36">
        <v>0</v>
      </c>
      <c r="P600" s="36">
        <v>0</v>
      </c>
      <c r="Q600" s="36">
        <v>0</v>
      </c>
      <c r="R600" s="36">
        <v>0</v>
      </c>
      <c r="S600" s="36">
        <v>0</v>
      </c>
      <c r="T600" s="36">
        <v>0</v>
      </c>
      <c r="U600" s="36">
        <v>0</v>
      </c>
      <c r="V600" s="36">
        <v>0</v>
      </c>
      <c r="W600" s="36">
        <v>0</v>
      </c>
      <c r="X600" s="36">
        <v>0</v>
      </c>
      <c r="Y600" s="36">
        <v>0</v>
      </c>
      <c r="Z600" s="36">
        <v>0</v>
      </c>
      <c r="AA600" s="36">
        <v>0</v>
      </c>
      <c r="AB600" s="36">
        <v>0</v>
      </c>
      <c r="AC600" s="36">
        <v>0</v>
      </c>
      <c r="AD600" s="36">
        <v>0</v>
      </c>
      <c r="AE600" s="36">
        <v>0</v>
      </c>
      <c r="AF600" s="36">
        <v>0</v>
      </c>
      <c r="AG600" s="36">
        <v>0</v>
      </c>
      <c r="AH600" s="36">
        <v>0</v>
      </c>
      <c r="AI600" s="36">
        <v>0</v>
      </c>
      <c r="AJ600" s="36">
        <v>0</v>
      </c>
      <c r="AK600" s="36">
        <v>0</v>
      </c>
      <c r="AL600" s="36">
        <v>0</v>
      </c>
      <c r="AM600" s="36">
        <v>0</v>
      </c>
      <c r="AN600" s="36">
        <v>0</v>
      </c>
      <c r="AO600" s="36">
        <v>0</v>
      </c>
      <c r="AP600" s="36">
        <v>0</v>
      </c>
      <c r="AQ600" s="36">
        <v>0</v>
      </c>
      <c r="AR600" s="36">
        <v>0</v>
      </c>
      <c r="AS600" s="36">
        <v>0</v>
      </c>
      <c r="AT600" s="36">
        <v>0</v>
      </c>
      <c r="AU600" s="36">
        <v>-1</v>
      </c>
      <c r="AV600" s="36">
        <v>0</v>
      </c>
      <c r="AW600" s="37">
        <v>0</v>
      </c>
    </row>
    <row r="601" spans="1:49" s="3" customFormat="1" ht="18" customHeight="1" x14ac:dyDescent="0.2">
      <c r="A601" s="39">
        <v>47</v>
      </c>
      <c r="B601" s="35">
        <v>0</v>
      </c>
      <c r="C601" s="36">
        <v>0</v>
      </c>
      <c r="D601" s="36">
        <v>0</v>
      </c>
      <c r="E601" s="36">
        <v>0</v>
      </c>
      <c r="F601" s="36">
        <v>0</v>
      </c>
      <c r="G601" s="36">
        <v>0</v>
      </c>
      <c r="H601" s="36">
        <v>0</v>
      </c>
      <c r="I601" s="36">
        <v>0</v>
      </c>
      <c r="J601" s="36">
        <v>0</v>
      </c>
      <c r="K601" s="36">
        <v>0</v>
      </c>
      <c r="L601" s="36">
        <v>0</v>
      </c>
      <c r="M601" s="36">
        <v>0</v>
      </c>
      <c r="N601" s="36">
        <v>0</v>
      </c>
      <c r="O601" s="36">
        <v>0</v>
      </c>
      <c r="P601" s="36">
        <v>0</v>
      </c>
      <c r="Q601" s="36">
        <v>0</v>
      </c>
      <c r="R601" s="36">
        <v>0</v>
      </c>
      <c r="S601" s="36">
        <v>0</v>
      </c>
      <c r="T601" s="36">
        <v>0</v>
      </c>
      <c r="U601" s="36">
        <v>0</v>
      </c>
      <c r="V601" s="36">
        <v>0</v>
      </c>
      <c r="W601" s="36">
        <v>0</v>
      </c>
      <c r="X601" s="36">
        <v>0</v>
      </c>
      <c r="Y601" s="36">
        <v>0</v>
      </c>
      <c r="Z601" s="36">
        <v>0</v>
      </c>
      <c r="AA601" s="36">
        <v>0</v>
      </c>
      <c r="AB601" s="36">
        <v>0</v>
      </c>
      <c r="AC601" s="36">
        <v>0</v>
      </c>
      <c r="AD601" s="36">
        <v>0</v>
      </c>
      <c r="AE601" s="36">
        <v>0</v>
      </c>
      <c r="AF601" s="36">
        <v>0</v>
      </c>
      <c r="AG601" s="36">
        <v>0</v>
      </c>
      <c r="AH601" s="36">
        <v>0</v>
      </c>
      <c r="AI601" s="36">
        <v>0</v>
      </c>
      <c r="AJ601" s="36">
        <v>0</v>
      </c>
      <c r="AK601" s="36">
        <v>0</v>
      </c>
      <c r="AL601" s="36">
        <v>0</v>
      </c>
      <c r="AM601" s="36">
        <v>0</v>
      </c>
      <c r="AN601" s="36">
        <v>0</v>
      </c>
      <c r="AO601" s="36">
        <v>0</v>
      </c>
      <c r="AP601" s="36">
        <v>0</v>
      </c>
      <c r="AQ601" s="36">
        <v>0</v>
      </c>
      <c r="AR601" s="36">
        <v>0</v>
      </c>
      <c r="AS601" s="36">
        <v>0</v>
      </c>
      <c r="AT601" s="36">
        <v>0</v>
      </c>
      <c r="AU601" s="36">
        <v>0</v>
      </c>
      <c r="AV601" s="36">
        <v>-1</v>
      </c>
      <c r="AW601" s="37">
        <v>0</v>
      </c>
    </row>
    <row r="602" spans="1:49" s="3" customFormat="1" ht="18.5" customHeight="1" x14ac:dyDescent="0.2">
      <c r="A602" s="56">
        <v>48</v>
      </c>
      <c r="B602" s="32">
        <v>0</v>
      </c>
      <c r="C602" s="33">
        <v>0</v>
      </c>
      <c r="D602" s="33">
        <v>0</v>
      </c>
      <c r="E602" s="33">
        <v>0</v>
      </c>
      <c r="F602" s="33">
        <v>0</v>
      </c>
      <c r="G602" s="33">
        <v>0</v>
      </c>
      <c r="H602" s="33">
        <v>0</v>
      </c>
      <c r="I602" s="33">
        <v>0</v>
      </c>
      <c r="J602" s="33">
        <v>0</v>
      </c>
      <c r="K602" s="33">
        <v>0</v>
      </c>
      <c r="L602" s="33">
        <v>0</v>
      </c>
      <c r="M602" s="33">
        <v>0</v>
      </c>
      <c r="N602" s="33">
        <v>0</v>
      </c>
      <c r="O602" s="33">
        <v>0</v>
      </c>
      <c r="P602" s="33">
        <v>0</v>
      </c>
      <c r="Q602" s="33">
        <v>0</v>
      </c>
      <c r="R602" s="33">
        <v>0</v>
      </c>
      <c r="S602" s="33">
        <v>0</v>
      </c>
      <c r="T602" s="33">
        <v>0</v>
      </c>
      <c r="U602" s="33">
        <v>0</v>
      </c>
      <c r="V602" s="33">
        <v>0</v>
      </c>
      <c r="W602" s="33">
        <v>0</v>
      </c>
      <c r="X602" s="33">
        <v>0</v>
      </c>
      <c r="Y602" s="33">
        <v>0</v>
      </c>
      <c r="Z602" s="33">
        <v>0</v>
      </c>
      <c r="AA602" s="33">
        <v>0</v>
      </c>
      <c r="AB602" s="33">
        <v>0</v>
      </c>
      <c r="AC602" s="33">
        <v>0</v>
      </c>
      <c r="AD602" s="33">
        <v>0</v>
      </c>
      <c r="AE602" s="33">
        <v>0</v>
      </c>
      <c r="AF602" s="33">
        <v>0</v>
      </c>
      <c r="AG602" s="33">
        <v>0</v>
      </c>
      <c r="AH602" s="33">
        <v>0</v>
      </c>
      <c r="AI602" s="33">
        <v>0</v>
      </c>
      <c r="AJ602" s="33">
        <v>0</v>
      </c>
      <c r="AK602" s="33">
        <v>0</v>
      </c>
      <c r="AL602" s="33">
        <v>0</v>
      </c>
      <c r="AM602" s="33">
        <v>0</v>
      </c>
      <c r="AN602" s="33">
        <v>0</v>
      </c>
      <c r="AO602" s="33">
        <v>0</v>
      </c>
      <c r="AP602" s="33">
        <v>0</v>
      </c>
      <c r="AQ602" s="33">
        <v>0</v>
      </c>
      <c r="AR602" s="33">
        <v>0</v>
      </c>
      <c r="AS602" s="33">
        <v>0</v>
      </c>
      <c r="AT602" s="33">
        <v>0</v>
      </c>
      <c r="AU602" s="33">
        <v>0</v>
      </c>
      <c r="AV602" s="33">
        <v>0</v>
      </c>
      <c r="AW602" s="34">
        <v>-1</v>
      </c>
    </row>
    <row r="611" spans="1:88" s="3" customFormat="1" ht="19" customHeight="1" x14ac:dyDescent="0.2">
      <c r="A611" s="101" t="s">
        <v>257</v>
      </c>
      <c r="B611" s="4" t="s">
        <v>258</v>
      </c>
      <c r="C611" s="5"/>
    </row>
    <row r="612" spans="1:88" s="3" customFormat="1" ht="19" customHeight="1" x14ac:dyDescent="0.2">
      <c r="A612" s="101" t="s">
        <v>259</v>
      </c>
    </row>
    <row r="613" spans="1:88" s="3" customFormat="1" ht="19" customHeight="1" x14ac:dyDescent="0.2">
      <c r="A613" s="8" t="s">
        <v>260</v>
      </c>
      <c r="B613" s="9">
        <v>1</v>
      </c>
      <c r="C613" s="10">
        <v>2</v>
      </c>
      <c r="D613" s="10">
        <v>3</v>
      </c>
      <c r="E613" s="10">
        <v>4</v>
      </c>
      <c r="F613" s="10">
        <v>5</v>
      </c>
      <c r="G613" s="10">
        <v>6</v>
      </c>
      <c r="H613" s="10">
        <v>7</v>
      </c>
      <c r="I613" s="10">
        <v>8</v>
      </c>
      <c r="J613" s="10">
        <v>9</v>
      </c>
      <c r="K613" s="10">
        <v>10</v>
      </c>
      <c r="L613" s="10">
        <v>11</v>
      </c>
      <c r="M613" s="10">
        <v>12</v>
      </c>
      <c r="N613" s="10">
        <v>13</v>
      </c>
      <c r="O613" s="10">
        <v>14</v>
      </c>
      <c r="P613" s="10">
        <v>15</v>
      </c>
      <c r="Q613" s="10">
        <v>16</v>
      </c>
      <c r="R613" s="10">
        <v>17</v>
      </c>
      <c r="S613" s="10">
        <v>18</v>
      </c>
      <c r="T613" s="10">
        <v>19</v>
      </c>
      <c r="U613" s="10">
        <v>20</v>
      </c>
      <c r="V613" s="10">
        <v>21</v>
      </c>
      <c r="W613" s="10">
        <v>22</v>
      </c>
      <c r="X613" s="10">
        <v>23</v>
      </c>
      <c r="Y613" s="10">
        <v>24</v>
      </c>
      <c r="Z613" s="10">
        <v>25</v>
      </c>
      <c r="AA613" s="10">
        <v>26</v>
      </c>
      <c r="AB613" s="10">
        <v>27</v>
      </c>
      <c r="AC613" s="10">
        <v>28</v>
      </c>
      <c r="AD613" s="10">
        <v>29</v>
      </c>
      <c r="AE613" s="10">
        <v>30</v>
      </c>
      <c r="AF613" s="10">
        <v>31</v>
      </c>
      <c r="AG613" s="10">
        <v>32</v>
      </c>
      <c r="AH613" s="10">
        <v>33</v>
      </c>
      <c r="AI613" s="10">
        <v>34</v>
      </c>
      <c r="AJ613" s="10">
        <v>35</v>
      </c>
      <c r="AK613" s="10">
        <v>36</v>
      </c>
      <c r="AL613" s="10">
        <v>37</v>
      </c>
      <c r="AM613" s="10">
        <v>38</v>
      </c>
      <c r="AN613" s="10">
        <v>39</v>
      </c>
      <c r="AO613" s="10">
        <v>40</v>
      </c>
      <c r="AP613" s="10">
        <v>41</v>
      </c>
      <c r="AQ613" s="10">
        <v>42</v>
      </c>
      <c r="AR613" s="10">
        <v>43</v>
      </c>
      <c r="AS613" s="10">
        <v>44</v>
      </c>
      <c r="AT613" s="10">
        <v>45</v>
      </c>
      <c r="AU613" s="10">
        <v>46</v>
      </c>
      <c r="AV613" s="10">
        <v>47</v>
      </c>
      <c r="AW613" s="10">
        <v>48</v>
      </c>
      <c r="AX613" s="10">
        <v>49</v>
      </c>
      <c r="AY613" s="10">
        <v>50</v>
      </c>
      <c r="AZ613" s="10">
        <v>51</v>
      </c>
      <c r="BA613" s="10">
        <v>52</v>
      </c>
      <c r="BB613" s="10">
        <v>53</v>
      </c>
      <c r="BC613" s="10">
        <v>54</v>
      </c>
      <c r="BD613" s="10">
        <v>55</v>
      </c>
      <c r="BE613" s="10">
        <v>56</v>
      </c>
      <c r="BF613" s="10">
        <v>57</v>
      </c>
      <c r="BG613" s="10">
        <v>58</v>
      </c>
      <c r="BH613" s="10">
        <v>59</v>
      </c>
      <c r="BI613" s="10">
        <v>60</v>
      </c>
      <c r="BJ613" s="10">
        <v>61</v>
      </c>
      <c r="BK613" s="10">
        <v>62</v>
      </c>
      <c r="BL613" s="10">
        <v>63</v>
      </c>
      <c r="BM613" s="10">
        <v>64</v>
      </c>
      <c r="BN613" s="10">
        <v>65</v>
      </c>
      <c r="BO613" s="10">
        <v>66</v>
      </c>
      <c r="BP613" s="10">
        <v>67</v>
      </c>
      <c r="BQ613" s="10">
        <v>68</v>
      </c>
      <c r="BR613" s="10">
        <v>69</v>
      </c>
      <c r="BS613" s="10">
        <v>70</v>
      </c>
      <c r="BT613" s="10">
        <v>71</v>
      </c>
      <c r="BU613" s="10">
        <v>72</v>
      </c>
      <c r="BV613" s="10">
        <v>73</v>
      </c>
      <c r="BW613" s="10">
        <v>74</v>
      </c>
      <c r="BX613" s="10">
        <v>75</v>
      </c>
      <c r="BY613" s="10">
        <v>76</v>
      </c>
      <c r="BZ613" s="11">
        <v>77</v>
      </c>
      <c r="CA613" s="305">
        <v>78</v>
      </c>
      <c r="CB613" s="306">
        <v>79</v>
      </c>
      <c r="CC613" s="306">
        <v>80</v>
      </c>
      <c r="CD613" s="306">
        <v>81</v>
      </c>
      <c r="CE613" s="306">
        <v>82</v>
      </c>
      <c r="CF613" s="306">
        <v>83</v>
      </c>
      <c r="CG613" s="306">
        <v>84</v>
      </c>
      <c r="CH613" s="306">
        <v>85</v>
      </c>
      <c r="CI613" s="306">
        <v>86</v>
      </c>
      <c r="CJ613" s="306">
        <v>87</v>
      </c>
    </row>
    <row r="614" spans="1:88" s="3" customFormat="1" ht="18.5" customHeight="1" x14ac:dyDescent="0.2">
      <c r="A614" s="28">
        <v>1</v>
      </c>
      <c r="B614" s="23">
        <v>0</v>
      </c>
      <c r="C614" s="24">
        <v>-1</v>
      </c>
      <c r="D614" s="24">
        <v>-1</v>
      </c>
      <c r="E614" s="24">
        <v>-1</v>
      </c>
      <c r="F614" s="24">
        <v>0</v>
      </c>
      <c r="G614" s="24">
        <v>0</v>
      </c>
      <c r="H614" s="24">
        <v>-1</v>
      </c>
      <c r="I614" s="24">
        <v>-1</v>
      </c>
      <c r="J614" s="24">
        <v>-1</v>
      </c>
      <c r="K614" s="24">
        <v>-1</v>
      </c>
      <c r="L614" s="24">
        <v>0</v>
      </c>
      <c r="M614" s="24">
        <v>0</v>
      </c>
      <c r="N614" s="24">
        <v>0</v>
      </c>
      <c r="O614" s="24">
        <v>0</v>
      </c>
      <c r="P614" s="24">
        <v>0</v>
      </c>
      <c r="Q614" s="24">
        <v>0</v>
      </c>
      <c r="R614" s="24">
        <v>0</v>
      </c>
      <c r="S614" s="24">
        <v>0</v>
      </c>
      <c r="T614" s="24">
        <v>0</v>
      </c>
      <c r="U614" s="24">
        <v>1</v>
      </c>
      <c r="V614" s="24">
        <v>0</v>
      </c>
      <c r="W614" s="24">
        <v>0</v>
      </c>
      <c r="X614" s="24">
        <v>0</v>
      </c>
      <c r="Y614" s="24">
        <v>0</v>
      </c>
      <c r="Z614" s="24">
        <v>0</v>
      </c>
      <c r="AA614" s="24">
        <v>0</v>
      </c>
      <c r="AB614" s="24">
        <v>0</v>
      </c>
      <c r="AC614" s="24">
        <v>0</v>
      </c>
      <c r="AD614" s="24">
        <v>0</v>
      </c>
      <c r="AE614" s="24">
        <v>1</v>
      </c>
      <c r="AF614" s="24">
        <v>0</v>
      </c>
      <c r="AG614" s="24">
        <v>0</v>
      </c>
      <c r="AH614" s="24">
        <v>0</v>
      </c>
      <c r="AI614" s="24">
        <v>0</v>
      </c>
      <c r="AJ614" s="24">
        <v>0</v>
      </c>
      <c r="AK614" s="24">
        <v>0</v>
      </c>
      <c r="AL614" s="24">
        <v>0</v>
      </c>
      <c r="AM614" s="24">
        <v>0</v>
      </c>
      <c r="AN614" s="24">
        <v>0</v>
      </c>
      <c r="AO614" s="24">
        <v>0</v>
      </c>
      <c r="AP614" s="24">
        <v>0</v>
      </c>
      <c r="AQ614" s="24">
        <v>0</v>
      </c>
      <c r="AR614" s="24">
        <v>0</v>
      </c>
      <c r="AS614" s="24">
        <v>0</v>
      </c>
      <c r="AT614" s="24">
        <v>0</v>
      </c>
      <c r="AU614" s="24">
        <v>0</v>
      </c>
      <c r="AV614" s="24">
        <v>0</v>
      </c>
      <c r="AW614" s="24">
        <v>0</v>
      </c>
      <c r="AX614" s="24">
        <v>0</v>
      </c>
      <c r="AY614" s="24">
        <v>0</v>
      </c>
      <c r="AZ614" s="24">
        <v>0</v>
      </c>
      <c r="BA614" s="24">
        <v>0</v>
      </c>
      <c r="BB614" s="24">
        <v>0</v>
      </c>
      <c r="BC614" s="24">
        <v>0</v>
      </c>
      <c r="BD614" s="24">
        <v>0</v>
      </c>
      <c r="BE614" s="24">
        <v>0</v>
      </c>
      <c r="BF614" s="24">
        <v>0</v>
      </c>
      <c r="BG614" s="24">
        <v>0</v>
      </c>
      <c r="BH614" s="24">
        <v>0</v>
      </c>
      <c r="BI614" s="24">
        <v>0</v>
      </c>
      <c r="BJ614" s="24">
        <v>0</v>
      </c>
      <c r="BK614" s="24">
        <v>0</v>
      </c>
      <c r="BL614" s="24">
        <v>0</v>
      </c>
      <c r="BM614" s="24">
        <v>0</v>
      </c>
      <c r="BN614" s="24">
        <v>0</v>
      </c>
      <c r="BO614" s="24">
        <v>0</v>
      </c>
      <c r="BP614" s="24">
        <v>0</v>
      </c>
      <c r="BQ614" s="24">
        <v>0</v>
      </c>
      <c r="BR614" s="24">
        <v>0</v>
      </c>
      <c r="BS614" s="24">
        <v>0</v>
      </c>
      <c r="BT614" s="24">
        <v>0</v>
      </c>
      <c r="BU614" s="24">
        <v>0</v>
      </c>
      <c r="BV614" s="24">
        <v>0</v>
      </c>
      <c r="BW614" s="24">
        <v>0</v>
      </c>
      <c r="BX614" s="24">
        <v>0</v>
      </c>
      <c r="BY614" s="24">
        <v>0</v>
      </c>
      <c r="BZ614" s="25">
        <v>0</v>
      </c>
      <c r="CA614" s="305">
        <v>0</v>
      </c>
      <c r="CB614" s="306">
        <v>0</v>
      </c>
      <c r="CC614" s="306">
        <v>0</v>
      </c>
      <c r="CD614" s="306">
        <v>0</v>
      </c>
      <c r="CE614" s="306">
        <v>0</v>
      </c>
      <c r="CF614" s="306">
        <v>0</v>
      </c>
      <c r="CG614" s="306">
        <v>0</v>
      </c>
      <c r="CH614" s="306">
        <v>0</v>
      </c>
      <c r="CI614" s="306">
        <v>0</v>
      </c>
      <c r="CJ614" s="306">
        <v>0</v>
      </c>
    </row>
    <row r="615" spans="1:88" s="3" customFormat="1" ht="18" customHeight="1" x14ac:dyDescent="0.2">
      <c r="A615" s="39">
        <v>2</v>
      </c>
      <c r="B615" s="35">
        <v>0</v>
      </c>
      <c r="C615" s="36">
        <v>-1</v>
      </c>
      <c r="D615" s="36">
        <v>-1</v>
      </c>
      <c r="E615" s="36">
        <v>-1</v>
      </c>
      <c r="F615" s="36">
        <v>0</v>
      </c>
      <c r="G615" s="36">
        <v>0</v>
      </c>
      <c r="H615" s="36">
        <v>-1</v>
      </c>
      <c r="I615" s="36">
        <v>-1</v>
      </c>
      <c r="J615" s="36">
        <v>-1</v>
      </c>
      <c r="K615" s="36">
        <v>0</v>
      </c>
      <c r="L615" s="36">
        <v>-1</v>
      </c>
      <c r="M615" s="36">
        <v>0</v>
      </c>
      <c r="N615" s="36">
        <v>0</v>
      </c>
      <c r="O615" s="36">
        <v>0</v>
      </c>
      <c r="P615" s="36">
        <v>0</v>
      </c>
      <c r="Q615" s="36">
        <v>0</v>
      </c>
      <c r="R615" s="36">
        <v>0</v>
      </c>
      <c r="S615" s="36">
        <v>0</v>
      </c>
      <c r="T615" s="36">
        <v>0</v>
      </c>
      <c r="U615" s="36">
        <v>0</v>
      </c>
      <c r="V615" s="36">
        <v>1</v>
      </c>
      <c r="W615" s="36">
        <v>0</v>
      </c>
      <c r="X615" s="36">
        <v>0</v>
      </c>
      <c r="Y615" s="36">
        <v>0</v>
      </c>
      <c r="Z615" s="36">
        <v>0</v>
      </c>
      <c r="AA615" s="36">
        <v>0</v>
      </c>
      <c r="AB615" s="36">
        <v>0</v>
      </c>
      <c r="AC615" s="36">
        <v>0</v>
      </c>
      <c r="AD615" s="36">
        <v>0</v>
      </c>
      <c r="AE615" s="36">
        <v>0</v>
      </c>
      <c r="AF615" s="36">
        <v>1</v>
      </c>
      <c r="AG615" s="36">
        <v>0</v>
      </c>
      <c r="AH615" s="36">
        <v>0</v>
      </c>
      <c r="AI615" s="36">
        <v>0</v>
      </c>
      <c r="AJ615" s="36">
        <v>0</v>
      </c>
      <c r="AK615" s="36">
        <v>0</v>
      </c>
      <c r="AL615" s="36">
        <v>0</v>
      </c>
      <c r="AM615" s="36">
        <v>0</v>
      </c>
      <c r="AN615" s="36">
        <v>0</v>
      </c>
      <c r="AO615" s="36">
        <v>0</v>
      </c>
      <c r="AP615" s="36">
        <v>0</v>
      </c>
      <c r="AQ615" s="36">
        <v>0</v>
      </c>
      <c r="AR615" s="36">
        <v>0</v>
      </c>
      <c r="AS615" s="36">
        <v>0</v>
      </c>
      <c r="AT615" s="36">
        <v>0</v>
      </c>
      <c r="AU615" s="36">
        <v>0</v>
      </c>
      <c r="AV615" s="36">
        <v>0</v>
      </c>
      <c r="AW615" s="36">
        <v>0</v>
      </c>
      <c r="AX615" s="36">
        <v>0</v>
      </c>
      <c r="AY615" s="36">
        <v>0</v>
      </c>
      <c r="AZ615" s="36">
        <v>0</v>
      </c>
      <c r="BA615" s="36">
        <v>0</v>
      </c>
      <c r="BB615" s="36">
        <v>0</v>
      </c>
      <c r="BC615" s="36">
        <v>0</v>
      </c>
      <c r="BD615" s="36">
        <v>0</v>
      </c>
      <c r="BE615" s="36">
        <v>0</v>
      </c>
      <c r="BF615" s="36">
        <v>0</v>
      </c>
      <c r="BG615" s="36">
        <v>0</v>
      </c>
      <c r="BH615" s="36">
        <v>0</v>
      </c>
      <c r="BI615" s="36">
        <v>0</v>
      </c>
      <c r="BJ615" s="36">
        <v>0</v>
      </c>
      <c r="BK615" s="36">
        <v>0</v>
      </c>
      <c r="BL615" s="36">
        <v>0</v>
      </c>
      <c r="BM615" s="36">
        <v>0</v>
      </c>
      <c r="BN615" s="36">
        <v>0</v>
      </c>
      <c r="BO615" s="36">
        <v>0</v>
      </c>
      <c r="BP615" s="36">
        <v>0</v>
      </c>
      <c r="BQ615" s="36">
        <v>0</v>
      </c>
      <c r="BR615" s="36">
        <v>0</v>
      </c>
      <c r="BS615" s="36">
        <v>0</v>
      </c>
      <c r="BT615" s="36">
        <v>0</v>
      </c>
      <c r="BU615" s="36">
        <v>0</v>
      </c>
      <c r="BV615" s="36">
        <v>0</v>
      </c>
      <c r="BW615" s="36">
        <v>0</v>
      </c>
      <c r="BX615" s="36">
        <v>0</v>
      </c>
      <c r="BY615" s="36">
        <v>0</v>
      </c>
      <c r="BZ615" s="37">
        <v>0</v>
      </c>
      <c r="CA615" s="305">
        <v>0</v>
      </c>
      <c r="CB615" s="306">
        <v>0</v>
      </c>
      <c r="CC615" s="306">
        <v>0</v>
      </c>
      <c r="CD615" s="306">
        <v>0</v>
      </c>
      <c r="CE615" s="306">
        <v>0</v>
      </c>
      <c r="CF615" s="306">
        <v>0</v>
      </c>
      <c r="CG615" s="306">
        <v>0</v>
      </c>
      <c r="CH615" s="306">
        <v>0</v>
      </c>
      <c r="CI615" s="306">
        <v>0</v>
      </c>
      <c r="CJ615" s="306">
        <v>0</v>
      </c>
    </row>
    <row r="616" spans="1:88" s="3" customFormat="1" ht="18" customHeight="1" x14ac:dyDescent="0.2">
      <c r="A616" s="39">
        <v>3</v>
      </c>
      <c r="B616" s="35">
        <v>0</v>
      </c>
      <c r="C616" s="36">
        <v>-1</v>
      </c>
      <c r="D616" s="36">
        <v>-1</v>
      </c>
      <c r="E616" s="36">
        <v>-1</v>
      </c>
      <c r="F616" s="36">
        <v>0</v>
      </c>
      <c r="G616" s="36">
        <v>0</v>
      </c>
      <c r="H616" s="36">
        <v>-1</v>
      </c>
      <c r="I616" s="36">
        <v>-1</v>
      </c>
      <c r="J616" s="36">
        <v>-1</v>
      </c>
      <c r="K616" s="36">
        <v>0</v>
      </c>
      <c r="L616" s="36">
        <v>0</v>
      </c>
      <c r="M616" s="36">
        <v>0</v>
      </c>
      <c r="N616" s="36">
        <v>-1</v>
      </c>
      <c r="O616" s="36">
        <v>0</v>
      </c>
      <c r="P616" s="36">
        <v>0</v>
      </c>
      <c r="Q616" s="36">
        <v>0</v>
      </c>
      <c r="R616" s="36">
        <v>0</v>
      </c>
      <c r="S616" s="36">
        <v>0</v>
      </c>
      <c r="T616" s="36">
        <v>0</v>
      </c>
      <c r="U616" s="36">
        <v>0</v>
      </c>
      <c r="V616" s="36">
        <v>0</v>
      </c>
      <c r="W616" s="36">
        <v>0</v>
      </c>
      <c r="X616" s="36">
        <v>1</v>
      </c>
      <c r="Y616" s="36">
        <v>0</v>
      </c>
      <c r="Z616" s="36">
        <v>0</v>
      </c>
      <c r="AA616" s="36">
        <v>0</v>
      </c>
      <c r="AB616" s="36">
        <v>0</v>
      </c>
      <c r="AC616" s="36">
        <v>0</v>
      </c>
      <c r="AD616" s="36">
        <v>0</v>
      </c>
      <c r="AE616" s="36">
        <v>0</v>
      </c>
      <c r="AF616" s="36">
        <v>0</v>
      </c>
      <c r="AG616" s="36">
        <v>1</v>
      </c>
      <c r="AH616" s="36">
        <v>0</v>
      </c>
      <c r="AI616" s="36">
        <v>0</v>
      </c>
      <c r="AJ616" s="36">
        <v>0</v>
      </c>
      <c r="AK616" s="36">
        <v>0</v>
      </c>
      <c r="AL616" s="36">
        <v>0</v>
      </c>
      <c r="AM616" s="36">
        <v>0</v>
      </c>
      <c r="AN616" s="36">
        <v>0</v>
      </c>
      <c r="AO616" s="36">
        <v>0</v>
      </c>
      <c r="AP616" s="36">
        <v>0</v>
      </c>
      <c r="AQ616" s="36">
        <v>0</v>
      </c>
      <c r="AR616" s="36">
        <v>0</v>
      </c>
      <c r="AS616" s="36">
        <v>0</v>
      </c>
      <c r="AT616" s="36">
        <v>0</v>
      </c>
      <c r="AU616" s="36">
        <v>0</v>
      </c>
      <c r="AV616" s="36">
        <v>0</v>
      </c>
      <c r="AW616" s="36">
        <v>0</v>
      </c>
      <c r="AX616" s="36">
        <v>0</v>
      </c>
      <c r="AY616" s="36">
        <v>0</v>
      </c>
      <c r="AZ616" s="36">
        <v>0</v>
      </c>
      <c r="BA616" s="36">
        <v>0</v>
      </c>
      <c r="BB616" s="36">
        <v>0</v>
      </c>
      <c r="BC616" s="36">
        <v>0</v>
      </c>
      <c r="BD616" s="36">
        <v>0</v>
      </c>
      <c r="BE616" s="36">
        <v>0</v>
      </c>
      <c r="BF616" s="36">
        <v>0</v>
      </c>
      <c r="BG616" s="36">
        <v>0</v>
      </c>
      <c r="BH616" s="36">
        <v>0</v>
      </c>
      <c r="BI616" s="36">
        <v>0</v>
      </c>
      <c r="BJ616" s="36">
        <v>0</v>
      </c>
      <c r="BK616" s="36">
        <v>0</v>
      </c>
      <c r="BL616" s="36">
        <v>0</v>
      </c>
      <c r="BM616" s="36">
        <v>0</v>
      </c>
      <c r="BN616" s="36">
        <v>0</v>
      </c>
      <c r="BO616" s="36">
        <v>0</v>
      </c>
      <c r="BP616" s="36">
        <v>0</v>
      </c>
      <c r="BQ616" s="36">
        <v>0</v>
      </c>
      <c r="BR616" s="36">
        <v>0</v>
      </c>
      <c r="BS616" s="36">
        <v>0</v>
      </c>
      <c r="BT616" s="36">
        <v>0</v>
      </c>
      <c r="BU616" s="36">
        <v>0</v>
      </c>
      <c r="BV616" s="36">
        <v>0</v>
      </c>
      <c r="BW616" s="36">
        <v>0</v>
      </c>
      <c r="BX616" s="36">
        <v>0</v>
      </c>
      <c r="BY616" s="36">
        <v>0</v>
      </c>
      <c r="BZ616" s="37">
        <v>0</v>
      </c>
      <c r="CA616" s="305">
        <v>0</v>
      </c>
      <c r="CB616" s="306">
        <v>0</v>
      </c>
      <c r="CC616" s="306">
        <v>0</v>
      </c>
      <c r="CD616" s="306">
        <v>0</v>
      </c>
      <c r="CE616" s="306">
        <v>0</v>
      </c>
      <c r="CF616" s="306">
        <v>0</v>
      </c>
      <c r="CG616" s="306">
        <v>0</v>
      </c>
      <c r="CH616" s="306">
        <v>0</v>
      </c>
      <c r="CI616" s="306">
        <v>0</v>
      </c>
      <c r="CJ616" s="306">
        <v>0</v>
      </c>
    </row>
    <row r="617" spans="1:88" s="3" customFormat="1" ht="18" customHeight="1" x14ac:dyDescent="0.2">
      <c r="A617" s="39">
        <v>4</v>
      </c>
      <c r="B617" s="35">
        <v>0</v>
      </c>
      <c r="C617" s="36">
        <v>-1</v>
      </c>
      <c r="D617" s="36">
        <v>-1</v>
      </c>
      <c r="E617" s="36">
        <v>-1</v>
      </c>
      <c r="F617" s="36">
        <v>0</v>
      </c>
      <c r="G617" s="36">
        <v>0</v>
      </c>
      <c r="H617" s="36">
        <v>-1</v>
      </c>
      <c r="I617" s="36">
        <v>-1</v>
      </c>
      <c r="J617" s="36">
        <v>-1</v>
      </c>
      <c r="K617" s="36">
        <v>0</v>
      </c>
      <c r="L617" s="36">
        <v>0</v>
      </c>
      <c r="M617" s="36">
        <v>0</v>
      </c>
      <c r="N617" s="36">
        <v>0</v>
      </c>
      <c r="O617" s="36">
        <v>0</v>
      </c>
      <c r="P617" s="36">
        <v>-1</v>
      </c>
      <c r="Q617" s="36">
        <v>0</v>
      </c>
      <c r="R617" s="36">
        <v>0</v>
      </c>
      <c r="S617" s="36">
        <v>0</v>
      </c>
      <c r="T617" s="36">
        <v>0</v>
      </c>
      <c r="U617" s="36">
        <v>0</v>
      </c>
      <c r="V617" s="36">
        <v>0</v>
      </c>
      <c r="W617" s="36">
        <v>0</v>
      </c>
      <c r="X617" s="36">
        <v>0</v>
      </c>
      <c r="Y617" s="36">
        <v>0</v>
      </c>
      <c r="Z617" s="36">
        <v>1</v>
      </c>
      <c r="AA617" s="36">
        <v>0</v>
      </c>
      <c r="AB617" s="36">
        <v>0</v>
      </c>
      <c r="AC617" s="36">
        <v>0</v>
      </c>
      <c r="AD617" s="36">
        <v>0</v>
      </c>
      <c r="AE617" s="36">
        <v>0</v>
      </c>
      <c r="AF617" s="36">
        <v>0</v>
      </c>
      <c r="AG617" s="36">
        <v>0</v>
      </c>
      <c r="AH617" s="36">
        <v>1</v>
      </c>
      <c r="AI617" s="36">
        <v>0</v>
      </c>
      <c r="AJ617" s="36">
        <v>0</v>
      </c>
      <c r="AK617" s="36">
        <v>0</v>
      </c>
      <c r="AL617" s="36">
        <v>0</v>
      </c>
      <c r="AM617" s="36">
        <v>0</v>
      </c>
      <c r="AN617" s="36">
        <v>0</v>
      </c>
      <c r="AO617" s="36">
        <v>0</v>
      </c>
      <c r="AP617" s="36">
        <v>0</v>
      </c>
      <c r="AQ617" s="36">
        <v>0</v>
      </c>
      <c r="AR617" s="36">
        <v>0</v>
      </c>
      <c r="AS617" s="36">
        <v>0</v>
      </c>
      <c r="AT617" s="36">
        <v>0</v>
      </c>
      <c r="AU617" s="36">
        <v>0</v>
      </c>
      <c r="AV617" s="36">
        <v>0</v>
      </c>
      <c r="AW617" s="36">
        <v>0</v>
      </c>
      <c r="AX617" s="36">
        <v>0</v>
      </c>
      <c r="AY617" s="36">
        <v>0</v>
      </c>
      <c r="AZ617" s="36">
        <v>0</v>
      </c>
      <c r="BA617" s="36">
        <v>0</v>
      </c>
      <c r="BB617" s="36">
        <v>0</v>
      </c>
      <c r="BC617" s="36">
        <v>0</v>
      </c>
      <c r="BD617" s="36">
        <v>0</v>
      </c>
      <c r="BE617" s="36">
        <v>0</v>
      </c>
      <c r="BF617" s="36">
        <v>0</v>
      </c>
      <c r="BG617" s="36">
        <v>0</v>
      </c>
      <c r="BH617" s="36">
        <v>0</v>
      </c>
      <c r="BI617" s="36">
        <v>0</v>
      </c>
      <c r="BJ617" s="36">
        <v>0</v>
      </c>
      <c r="BK617" s="36">
        <v>0</v>
      </c>
      <c r="BL617" s="36">
        <v>0</v>
      </c>
      <c r="BM617" s="36">
        <v>0</v>
      </c>
      <c r="BN617" s="36">
        <v>0</v>
      </c>
      <c r="BO617" s="36">
        <v>0</v>
      </c>
      <c r="BP617" s="36">
        <v>0</v>
      </c>
      <c r="BQ617" s="36">
        <v>0</v>
      </c>
      <c r="BR617" s="36">
        <v>0</v>
      </c>
      <c r="BS617" s="36">
        <v>0</v>
      </c>
      <c r="BT617" s="36">
        <v>0</v>
      </c>
      <c r="BU617" s="36">
        <v>0</v>
      </c>
      <c r="BV617" s="36">
        <v>0</v>
      </c>
      <c r="BW617" s="36">
        <v>0</v>
      </c>
      <c r="BX617" s="36">
        <v>0</v>
      </c>
      <c r="BY617" s="36">
        <v>0</v>
      </c>
      <c r="BZ617" s="37">
        <v>0</v>
      </c>
      <c r="CA617" s="305">
        <v>0</v>
      </c>
      <c r="CB617" s="306">
        <v>0</v>
      </c>
      <c r="CC617" s="306">
        <v>0</v>
      </c>
      <c r="CD617" s="306">
        <v>0</v>
      </c>
      <c r="CE617" s="306">
        <v>0</v>
      </c>
      <c r="CF617" s="306">
        <v>0</v>
      </c>
      <c r="CG617" s="306">
        <v>0</v>
      </c>
      <c r="CH617" s="306">
        <v>0</v>
      </c>
      <c r="CI617" s="306">
        <v>0</v>
      </c>
      <c r="CJ617" s="306">
        <v>0</v>
      </c>
    </row>
    <row r="618" spans="1:88" s="3" customFormat="1" ht="18" customHeight="1" x14ac:dyDescent="0.2">
      <c r="A618" s="39">
        <v>5</v>
      </c>
      <c r="B618" s="35">
        <v>0</v>
      </c>
      <c r="C618" s="36">
        <v>-1</v>
      </c>
      <c r="D618" s="36">
        <v>-1</v>
      </c>
      <c r="E618" s="36">
        <v>-1</v>
      </c>
      <c r="F618" s="36">
        <v>0</v>
      </c>
      <c r="G618" s="36">
        <v>0</v>
      </c>
      <c r="H618" s="36">
        <v>-1</v>
      </c>
      <c r="I618" s="36">
        <v>-1</v>
      </c>
      <c r="J618" s="36">
        <v>-1</v>
      </c>
      <c r="K618" s="36">
        <v>0</v>
      </c>
      <c r="L618" s="36">
        <v>0</v>
      </c>
      <c r="M618" s="36">
        <v>0</v>
      </c>
      <c r="N618" s="36">
        <v>0</v>
      </c>
      <c r="O618" s="36">
        <v>0</v>
      </c>
      <c r="P618" s="36">
        <v>0</v>
      </c>
      <c r="Q618" s="36">
        <v>-1</v>
      </c>
      <c r="R618" s="36">
        <v>0</v>
      </c>
      <c r="S618" s="36">
        <v>0</v>
      </c>
      <c r="T618" s="36">
        <v>0</v>
      </c>
      <c r="U618" s="36">
        <v>0</v>
      </c>
      <c r="V618" s="36">
        <v>0</v>
      </c>
      <c r="W618" s="36">
        <v>0</v>
      </c>
      <c r="X618" s="36">
        <v>0</v>
      </c>
      <c r="Y618" s="36">
        <v>0</v>
      </c>
      <c r="Z618" s="36">
        <v>0</v>
      </c>
      <c r="AA618" s="36">
        <v>1</v>
      </c>
      <c r="AB618" s="36">
        <v>0</v>
      </c>
      <c r="AC618" s="36">
        <v>0</v>
      </c>
      <c r="AD618" s="36">
        <v>0</v>
      </c>
      <c r="AE618" s="36">
        <v>0</v>
      </c>
      <c r="AF618" s="36">
        <v>0</v>
      </c>
      <c r="AG618" s="36">
        <v>0</v>
      </c>
      <c r="AH618" s="36">
        <v>0</v>
      </c>
      <c r="AI618" s="36">
        <v>1</v>
      </c>
      <c r="AJ618" s="36">
        <v>0</v>
      </c>
      <c r="AK618" s="36">
        <v>0</v>
      </c>
      <c r="AL618" s="36">
        <v>0</v>
      </c>
      <c r="AM618" s="36">
        <v>0</v>
      </c>
      <c r="AN618" s="36">
        <v>0</v>
      </c>
      <c r="AO618" s="36">
        <v>0</v>
      </c>
      <c r="AP618" s="36">
        <v>0</v>
      </c>
      <c r="AQ618" s="36">
        <v>0</v>
      </c>
      <c r="AR618" s="36">
        <v>0</v>
      </c>
      <c r="AS618" s="36">
        <v>0</v>
      </c>
      <c r="AT618" s="36">
        <v>0</v>
      </c>
      <c r="AU618" s="36">
        <v>0</v>
      </c>
      <c r="AV618" s="36">
        <v>0</v>
      </c>
      <c r="AW618" s="36">
        <v>0</v>
      </c>
      <c r="AX618" s="36">
        <v>0</v>
      </c>
      <c r="AY618" s="36">
        <v>0</v>
      </c>
      <c r="AZ618" s="36">
        <v>0</v>
      </c>
      <c r="BA618" s="36">
        <v>0</v>
      </c>
      <c r="BB618" s="36">
        <v>0</v>
      </c>
      <c r="BC618" s="36">
        <v>0</v>
      </c>
      <c r="BD618" s="36">
        <v>0</v>
      </c>
      <c r="BE618" s="36">
        <v>0</v>
      </c>
      <c r="BF618" s="36">
        <v>0</v>
      </c>
      <c r="BG618" s="36">
        <v>0</v>
      </c>
      <c r="BH618" s="36">
        <v>0</v>
      </c>
      <c r="BI618" s="36">
        <v>0</v>
      </c>
      <c r="BJ618" s="36">
        <v>0</v>
      </c>
      <c r="BK618" s="36">
        <v>0</v>
      </c>
      <c r="BL618" s="36">
        <v>0</v>
      </c>
      <c r="BM618" s="36">
        <v>0</v>
      </c>
      <c r="BN618" s="36">
        <v>0</v>
      </c>
      <c r="BO618" s="36">
        <v>0</v>
      </c>
      <c r="BP618" s="36">
        <v>0</v>
      </c>
      <c r="BQ618" s="36">
        <v>0</v>
      </c>
      <c r="BR618" s="36">
        <v>0</v>
      </c>
      <c r="BS618" s="36">
        <v>0</v>
      </c>
      <c r="BT618" s="36">
        <v>0</v>
      </c>
      <c r="BU618" s="36">
        <v>0</v>
      </c>
      <c r="BV618" s="36">
        <v>0</v>
      </c>
      <c r="BW618" s="36">
        <v>0</v>
      </c>
      <c r="BX618" s="36">
        <v>0</v>
      </c>
      <c r="BY618" s="36">
        <v>0</v>
      </c>
      <c r="BZ618" s="37">
        <v>0</v>
      </c>
      <c r="CA618" s="305">
        <v>0</v>
      </c>
      <c r="CB618" s="306">
        <v>0</v>
      </c>
      <c r="CC618" s="306">
        <v>0</v>
      </c>
      <c r="CD618" s="306">
        <v>0</v>
      </c>
      <c r="CE618" s="306">
        <v>0</v>
      </c>
      <c r="CF618" s="306">
        <v>0</v>
      </c>
      <c r="CG618" s="306">
        <v>0</v>
      </c>
      <c r="CH618" s="306">
        <v>0</v>
      </c>
      <c r="CI618" s="306">
        <v>0</v>
      </c>
      <c r="CJ618" s="306">
        <v>0</v>
      </c>
    </row>
    <row r="619" spans="1:88" s="3" customFormat="1" ht="18" customHeight="1" x14ac:dyDescent="0.2">
      <c r="A619" s="39">
        <v>6</v>
      </c>
      <c r="B619" s="35">
        <v>0</v>
      </c>
      <c r="C619" s="36">
        <v>-1</v>
      </c>
      <c r="D619" s="36">
        <v>-1</v>
      </c>
      <c r="E619" s="36">
        <v>-1</v>
      </c>
      <c r="F619" s="36">
        <v>0</v>
      </c>
      <c r="G619" s="36">
        <v>0</v>
      </c>
      <c r="H619" s="36">
        <v>-1</v>
      </c>
      <c r="I619" s="36">
        <v>-1</v>
      </c>
      <c r="J619" s="36">
        <v>-1</v>
      </c>
      <c r="K619" s="36">
        <v>0</v>
      </c>
      <c r="L619" s="36">
        <v>0</v>
      </c>
      <c r="M619" s="36">
        <v>0</v>
      </c>
      <c r="N619" s="36">
        <v>0</v>
      </c>
      <c r="O619" s="36">
        <v>0</v>
      </c>
      <c r="P619" s="36">
        <v>0</v>
      </c>
      <c r="Q619" s="36">
        <v>0</v>
      </c>
      <c r="R619" s="36">
        <v>0</v>
      </c>
      <c r="S619" s="36">
        <v>-1</v>
      </c>
      <c r="T619" s="36">
        <v>0</v>
      </c>
      <c r="U619" s="36">
        <v>0</v>
      </c>
      <c r="V619" s="36">
        <v>0</v>
      </c>
      <c r="W619" s="36">
        <v>0</v>
      </c>
      <c r="X619" s="36">
        <v>0</v>
      </c>
      <c r="Y619" s="36">
        <v>0</v>
      </c>
      <c r="Z619" s="36">
        <v>0</v>
      </c>
      <c r="AA619" s="36">
        <v>0</v>
      </c>
      <c r="AB619" s="36">
        <v>0</v>
      </c>
      <c r="AC619" s="36">
        <v>1</v>
      </c>
      <c r="AD619" s="36">
        <v>0</v>
      </c>
      <c r="AE619" s="36">
        <v>0</v>
      </c>
      <c r="AF619" s="36">
        <v>0</v>
      </c>
      <c r="AG619" s="36">
        <v>0</v>
      </c>
      <c r="AH619" s="36">
        <v>0</v>
      </c>
      <c r="AI619" s="36">
        <v>0</v>
      </c>
      <c r="AJ619" s="36">
        <v>1</v>
      </c>
      <c r="AK619" s="36">
        <v>0</v>
      </c>
      <c r="AL619" s="36">
        <v>0</v>
      </c>
      <c r="AM619" s="36">
        <v>0</v>
      </c>
      <c r="AN619" s="36">
        <v>0</v>
      </c>
      <c r="AO619" s="36">
        <v>0</v>
      </c>
      <c r="AP619" s="36">
        <v>0</v>
      </c>
      <c r="AQ619" s="36">
        <v>0</v>
      </c>
      <c r="AR619" s="36">
        <v>0</v>
      </c>
      <c r="AS619" s="36">
        <v>0</v>
      </c>
      <c r="AT619" s="36">
        <v>0</v>
      </c>
      <c r="AU619" s="36">
        <v>0</v>
      </c>
      <c r="AV619" s="36">
        <v>0</v>
      </c>
      <c r="AW619" s="36">
        <v>0</v>
      </c>
      <c r="AX619" s="36">
        <v>0</v>
      </c>
      <c r="AY619" s="36">
        <v>0</v>
      </c>
      <c r="AZ619" s="36">
        <v>0</v>
      </c>
      <c r="BA619" s="36">
        <v>0</v>
      </c>
      <c r="BB619" s="36">
        <v>0</v>
      </c>
      <c r="BC619" s="36">
        <v>0</v>
      </c>
      <c r="BD619" s="36">
        <v>0</v>
      </c>
      <c r="BE619" s="36">
        <v>0</v>
      </c>
      <c r="BF619" s="36">
        <v>0</v>
      </c>
      <c r="BG619" s="36">
        <v>0</v>
      </c>
      <c r="BH619" s="36">
        <v>0</v>
      </c>
      <c r="BI619" s="36">
        <v>0</v>
      </c>
      <c r="BJ619" s="36">
        <v>0</v>
      </c>
      <c r="BK619" s="36">
        <v>0</v>
      </c>
      <c r="BL619" s="36">
        <v>0</v>
      </c>
      <c r="BM619" s="36">
        <v>0</v>
      </c>
      <c r="BN619" s="36">
        <v>0</v>
      </c>
      <c r="BO619" s="36">
        <v>0</v>
      </c>
      <c r="BP619" s="36">
        <v>0</v>
      </c>
      <c r="BQ619" s="36">
        <v>0</v>
      </c>
      <c r="BR619" s="36">
        <v>0</v>
      </c>
      <c r="BS619" s="36">
        <v>0</v>
      </c>
      <c r="BT619" s="36">
        <v>0</v>
      </c>
      <c r="BU619" s="36">
        <v>0</v>
      </c>
      <c r="BV619" s="36">
        <v>0</v>
      </c>
      <c r="BW619" s="36">
        <v>0</v>
      </c>
      <c r="BX619" s="36">
        <v>0</v>
      </c>
      <c r="BY619" s="36">
        <v>0</v>
      </c>
      <c r="BZ619" s="37">
        <v>0</v>
      </c>
      <c r="CA619" s="305">
        <v>0</v>
      </c>
      <c r="CB619" s="306">
        <v>0</v>
      </c>
      <c r="CC619" s="306">
        <v>0</v>
      </c>
      <c r="CD619" s="306">
        <v>0</v>
      </c>
      <c r="CE619" s="306">
        <v>0</v>
      </c>
      <c r="CF619" s="306">
        <v>0</v>
      </c>
      <c r="CG619" s="306">
        <v>0</v>
      </c>
      <c r="CH619" s="306">
        <v>0</v>
      </c>
      <c r="CI619" s="306">
        <v>0</v>
      </c>
      <c r="CJ619" s="306">
        <v>0</v>
      </c>
    </row>
    <row r="620" spans="1:88" s="3" customFormat="1" ht="18" customHeight="1" x14ac:dyDescent="0.2">
      <c r="A620" s="39">
        <v>7</v>
      </c>
      <c r="B620" s="35">
        <v>-1</v>
      </c>
      <c r="C620" s="36">
        <v>-1</v>
      </c>
      <c r="D620" s="36">
        <v>-1</v>
      </c>
      <c r="E620" s="36">
        <v>-1</v>
      </c>
      <c r="F620" s="36">
        <v>-1</v>
      </c>
      <c r="G620" s="36">
        <v>-1</v>
      </c>
      <c r="H620" s="36">
        <v>0</v>
      </c>
      <c r="I620" s="36">
        <v>0</v>
      </c>
      <c r="J620" s="36">
        <v>0</v>
      </c>
      <c r="K620" s="36">
        <v>0</v>
      </c>
      <c r="L620" s="36">
        <v>0</v>
      </c>
      <c r="M620" s="36">
        <v>0</v>
      </c>
      <c r="N620" s="36">
        <v>-1</v>
      </c>
      <c r="O620" s="36">
        <v>0</v>
      </c>
      <c r="P620" s="36">
        <v>0</v>
      </c>
      <c r="Q620" s="36">
        <v>0</v>
      </c>
      <c r="R620" s="36">
        <v>0</v>
      </c>
      <c r="S620" s="36">
        <v>0</v>
      </c>
      <c r="T620" s="36">
        <v>0</v>
      </c>
      <c r="U620" s="36">
        <v>0</v>
      </c>
      <c r="V620" s="36">
        <v>0</v>
      </c>
      <c r="W620" s="36">
        <v>0</v>
      </c>
      <c r="X620" s="36">
        <v>1</v>
      </c>
      <c r="Y620" s="36">
        <v>0</v>
      </c>
      <c r="Z620" s="36">
        <v>0</v>
      </c>
      <c r="AA620" s="36">
        <v>0</v>
      </c>
      <c r="AB620" s="36">
        <v>0</v>
      </c>
      <c r="AC620" s="36">
        <v>0</v>
      </c>
      <c r="AD620" s="36">
        <v>0</v>
      </c>
      <c r="AE620" s="36">
        <v>0</v>
      </c>
      <c r="AF620" s="36">
        <v>0</v>
      </c>
      <c r="AG620" s="36">
        <v>0</v>
      </c>
      <c r="AH620" s="36">
        <v>0</v>
      </c>
      <c r="AI620" s="36">
        <v>0</v>
      </c>
      <c r="AJ620" s="36">
        <v>0</v>
      </c>
      <c r="AK620" s="36">
        <v>1</v>
      </c>
      <c r="AL620" s="36">
        <v>0</v>
      </c>
      <c r="AM620" s="36">
        <v>0</v>
      </c>
      <c r="AN620" s="36">
        <v>0</v>
      </c>
      <c r="AO620" s="36">
        <v>0</v>
      </c>
      <c r="AP620" s="36">
        <v>0</v>
      </c>
      <c r="AQ620" s="36">
        <v>0</v>
      </c>
      <c r="AR620" s="36">
        <v>0</v>
      </c>
      <c r="AS620" s="36">
        <v>0</v>
      </c>
      <c r="AT620" s="36">
        <v>0</v>
      </c>
      <c r="AU620" s="36">
        <v>0</v>
      </c>
      <c r="AV620" s="36">
        <v>0</v>
      </c>
      <c r="AW620" s="36">
        <v>0</v>
      </c>
      <c r="AX620" s="36">
        <v>0</v>
      </c>
      <c r="AY620" s="36">
        <v>0</v>
      </c>
      <c r="AZ620" s="36">
        <v>0</v>
      </c>
      <c r="BA620" s="36">
        <v>0</v>
      </c>
      <c r="BB620" s="36">
        <v>0</v>
      </c>
      <c r="BC620" s="36">
        <v>0</v>
      </c>
      <c r="BD620" s="36">
        <v>0</v>
      </c>
      <c r="BE620" s="36">
        <v>0</v>
      </c>
      <c r="BF620" s="36">
        <v>0</v>
      </c>
      <c r="BG620" s="36">
        <v>0</v>
      </c>
      <c r="BH620" s="36">
        <v>0</v>
      </c>
      <c r="BI620" s="36">
        <v>0</v>
      </c>
      <c r="BJ620" s="36">
        <v>0</v>
      </c>
      <c r="BK620" s="36">
        <v>0</v>
      </c>
      <c r="BL620" s="36">
        <v>0</v>
      </c>
      <c r="BM620" s="36">
        <v>0</v>
      </c>
      <c r="BN620" s="36">
        <v>0</v>
      </c>
      <c r="BO620" s="36">
        <v>0</v>
      </c>
      <c r="BP620" s="36">
        <v>0</v>
      </c>
      <c r="BQ620" s="36">
        <v>0</v>
      </c>
      <c r="BR620" s="36">
        <v>0</v>
      </c>
      <c r="BS620" s="36">
        <v>0</v>
      </c>
      <c r="BT620" s="36">
        <v>0</v>
      </c>
      <c r="BU620" s="36">
        <v>0</v>
      </c>
      <c r="BV620" s="36">
        <v>0</v>
      </c>
      <c r="BW620" s="36">
        <v>0</v>
      </c>
      <c r="BX620" s="36">
        <v>0</v>
      </c>
      <c r="BY620" s="36">
        <v>0</v>
      </c>
      <c r="BZ620" s="37">
        <v>0</v>
      </c>
      <c r="CA620" s="305">
        <v>0</v>
      </c>
      <c r="CB620" s="306">
        <v>0</v>
      </c>
      <c r="CC620" s="306">
        <v>0</v>
      </c>
      <c r="CD620" s="306">
        <v>0</v>
      </c>
      <c r="CE620" s="306">
        <v>0</v>
      </c>
      <c r="CF620" s="306">
        <v>0</v>
      </c>
      <c r="CG620" s="306">
        <v>0</v>
      </c>
      <c r="CH620" s="306">
        <v>0</v>
      </c>
      <c r="CI620" s="306">
        <v>0</v>
      </c>
      <c r="CJ620" s="306">
        <v>0</v>
      </c>
    </row>
    <row r="621" spans="1:88" s="3" customFormat="1" ht="18" customHeight="1" x14ac:dyDescent="0.2">
      <c r="A621" s="39">
        <v>8</v>
      </c>
      <c r="B621" s="35">
        <v>-1</v>
      </c>
      <c r="C621" s="36">
        <v>-1</v>
      </c>
      <c r="D621" s="36">
        <v>-1</v>
      </c>
      <c r="E621" s="36">
        <v>-1</v>
      </c>
      <c r="F621" s="36">
        <v>-1</v>
      </c>
      <c r="G621" s="36">
        <v>-1</v>
      </c>
      <c r="H621" s="36">
        <v>0</v>
      </c>
      <c r="I621" s="36">
        <v>0</v>
      </c>
      <c r="J621" s="36">
        <v>0</v>
      </c>
      <c r="K621" s="36">
        <v>0</v>
      </c>
      <c r="L621" s="36">
        <v>0</v>
      </c>
      <c r="M621" s="36">
        <v>0</v>
      </c>
      <c r="N621" s="36">
        <v>0</v>
      </c>
      <c r="O621" s="36">
        <v>0</v>
      </c>
      <c r="P621" s="36">
        <v>0</v>
      </c>
      <c r="Q621" s="36">
        <v>-1</v>
      </c>
      <c r="R621" s="36">
        <v>0</v>
      </c>
      <c r="S621" s="36">
        <v>0</v>
      </c>
      <c r="T621" s="36">
        <v>0</v>
      </c>
      <c r="U621" s="36">
        <v>0</v>
      </c>
      <c r="V621" s="36">
        <v>0</v>
      </c>
      <c r="W621" s="36">
        <v>0</v>
      </c>
      <c r="X621" s="36">
        <v>0</v>
      </c>
      <c r="Y621" s="36">
        <v>0</v>
      </c>
      <c r="Z621" s="36">
        <v>0</v>
      </c>
      <c r="AA621" s="36">
        <v>1</v>
      </c>
      <c r="AB621" s="36">
        <v>0</v>
      </c>
      <c r="AC621" s="36">
        <v>0</v>
      </c>
      <c r="AD621" s="36">
        <v>0</v>
      </c>
      <c r="AE621" s="36">
        <v>0</v>
      </c>
      <c r="AF621" s="36">
        <v>0</v>
      </c>
      <c r="AG621" s="36">
        <v>0</v>
      </c>
      <c r="AH621" s="36">
        <v>0</v>
      </c>
      <c r="AI621" s="36">
        <v>0</v>
      </c>
      <c r="AJ621" s="36">
        <v>0</v>
      </c>
      <c r="AK621" s="36">
        <v>0</v>
      </c>
      <c r="AL621" s="36">
        <v>1</v>
      </c>
      <c r="AM621" s="36">
        <v>0</v>
      </c>
      <c r="AN621" s="36">
        <v>0</v>
      </c>
      <c r="AO621" s="36">
        <v>0</v>
      </c>
      <c r="AP621" s="36">
        <v>0</v>
      </c>
      <c r="AQ621" s="36">
        <v>0</v>
      </c>
      <c r="AR621" s="36">
        <v>0</v>
      </c>
      <c r="AS621" s="36">
        <v>0</v>
      </c>
      <c r="AT621" s="36">
        <v>0</v>
      </c>
      <c r="AU621" s="36">
        <v>0</v>
      </c>
      <c r="AV621" s="36">
        <v>0</v>
      </c>
      <c r="AW621" s="36">
        <v>0</v>
      </c>
      <c r="AX621" s="36">
        <v>0</v>
      </c>
      <c r="AY621" s="36">
        <v>0</v>
      </c>
      <c r="AZ621" s="36">
        <v>0</v>
      </c>
      <c r="BA621" s="36">
        <v>0</v>
      </c>
      <c r="BB621" s="36">
        <v>0</v>
      </c>
      <c r="BC621" s="36">
        <v>0</v>
      </c>
      <c r="BD621" s="36">
        <v>0</v>
      </c>
      <c r="BE621" s="36">
        <v>0</v>
      </c>
      <c r="BF621" s="36">
        <v>0</v>
      </c>
      <c r="BG621" s="36">
        <v>0</v>
      </c>
      <c r="BH621" s="36">
        <v>0</v>
      </c>
      <c r="BI621" s="36">
        <v>0</v>
      </c>
      <c r="BJ621" s="36">
        <v>0</v>
      </c>
      <c r="BK621" s="36">
        <v>0</v>
      </c>
      <c r="BL621" s="36">
        <v>0</v>
      </c>
      <c r="BM621" s="36">
        <v>0</v>
      </c>
      <c r="BN621" s="36">
        <v>0</v>
      </c>
      <c r="BO621" s="36">
        <v>0</v>
      </c>
      <c r="BP621" s="36">
        <v>0</v>
      </c>
      <c r="BQ621" s="36">
        <v>0</v>
      </c>
      <c r="BR621" s="36">
        <v>0</v>
      </c>
      <c r="BS621" s="36">
        <v>0</v>
      </c>
      <c r="BT621" s="36">
        <v>0</v>
      </c>
      <c r="BU621" s="36">
        <v>0</v>
      </c>
      <c r="BV621" s="36">
        <v>0</v>
      </c>
      <c r="BW621" s="36">
        <v>0</v>
      </c>
      <c r="BX621" s="36">
        <v>0</v>
      </c>
      <c r="BY621" s="36">
        <v>0</v>
      </c>
      <c r="BZ621" s="37">
        <v>0</v>
      </c>
      <c r="CA621" s="305">
        <v>0</v>
      </c>
      <c r="CB621" s="306">
        <v>0</v>
      </c>
      <c r="CC621" s="306">
        <v>0</v>
      </c>
      <c r="CD621" s="306">
        <v>0</v>
      </c>
      <c r="CE621" s="306">
        <v>0</v>
      </c>
      <c r="CF621" s="306">
        <v>0</v>
      </c>
      <c r="CG621" s="306">
        <v>0</v>
      </c>
      <c r="CH621" s="306">
        <v>0</v>
      </c>
      <c r="CI621" s="306">
        <v>0</v>
      </c>
      <c r="CJ621" s="306">
        <v>0</v>
      </c>
    </row>
    <row r="622" spans="1:88" s="3" customFormat="1" ht="18" customHeight="1" x14ac:dyDescent="0.2">
      <c r="A622" s="39">
        <v>9</v>
      </c>
      <c r="B622" s="35">
        <v>-1</v>
      </c>
      <c r="C622" s="36">
        <v>-1</v>
      </c>
      <c r="D622" s="36">
        <v>-1</v>
      </c>
      <c r="E622" s="36">
        <v>-1</v>
      </c>
      <c r="F622" s="36">
        <v>-1</v>
      </c>
      <c r="G622" s="36">
        <v>-1</v>
      </c>
      <c r="H622" s="36">
        <v>0</v>
      </c>
      <c r="I622" s="36">
        <v>0</v>
      </c>
      <c r="J622" s="36">
        <v>0</v>
      </c>
      <c r="K622" s="36">
        <v>0</v>
      </c>
      <c r="L622" s="36">
        <v>0</v>
      </c>
      <c r="M622" s="36">
        <v>0</v>
      </c>
      <c r="N622" s="36">
        <v>0</v>
      </c>
      <c r="O622" s="36">
        <v>0</v>
      </c>
      <c r="P622" s="36">
        <v>0</v>
      </c>
      <c r="Q622" s="36">
        <v>0</v>
      </c>
      <c r="R622" s="36">
        <v>0</v>
      </c>
      <c r="S622" s="36">
        <v>-1</v>
      </c>
      <c r="T622" s="36">
        <v>0</v>
      </c>
      <c r="U622" s="36">
        <v>0</v>
      </c>
      <c r="V622" s="36">
        <v>0</v>
      </c>
      <c r="W622" s="36">
        <v>0</v>
      </c>
      <c r="X622" s="36">
        <v>0</v>
      </c>
      <c r="Y622" s="36">
        <v>0</v>
      </c>
      <c r="Z622" s="36">
        <v>0</v>
      </c>
      <c r="AA622" s="36">
        <v>0</v>
      </c>
      <c r="AB622" s="36">
        <v>0</v>
      </c>
      <c r="AC622" s="36">
        <v>1</v>
      </c>
      <c r="AD622" s="36">
        <v>0</v>
      </c>
      <c r="AE622" s="36">
        <v>0</v>
      </c>
      <c r="AF622" s="36">
        <v>0</v>
      </c>
      <c r="AG622" s="36">
        <v>0</v>
      </c>
      <c r="AH622" s="36">
        <v>0</v>
      </c>
      <c r="AI622" s="36">
        <v>0</v>
      </c>
      <c r="AJ622" s="36">
        <v>0</v>
      </c>
      <c r="AK622" s="36">
        <v>0</v>
      </c>
      <c r="AL622" s="36">
        <v>0</v>
      </c>
      <c r="AM622" s="36">
        <v>1</v>
      </c>
      <c r="AN622" s="36">
        <v>0</v>
      </c>
      <c r="AO622" s="36">
        <v>0</v>
      </c>
      <c r="AP622" s="36">
        <v>0</v>
      </c>
      <c r="AQ622" s="36">
        <v>0</v>
      </c>
      <c r="AR622" s="36">
        <v>0</v>
      </c>
      <c r="AS622" s="36">
        <v>0</v>
      </c>
      <c r="AT622" s="36">
        <v>0</v>
      </c>
      <c r="AU622" s="36">
        <v>0</v>
      </c>
      <c r="AV622" s="36">
        <v>0</v>
      </c>
      <c r="AW622" s="36">
        <v>0</v>
      </c>
      <c r="AX622" s="36">
        <v>0</v>
      </c>
      <c r="AY622" s="36">
        <v>0</v>
      </c>
      <c r="AZ622" s="36">
        <v>0</v>
      </c>
      <c r="BA622" s="36">
        <v>0</v>
      </c>
      <c r="BB622" s="36">
        <v>0</v>
      </c>
      <c r="BC622" s="36">
        <v>0</v>
      </c>
      <c r="BD622" s="36">
        <v>0</v>
      </c>
      <c r="BE622" s="36">
        <v>0</v>
      </c>
      <c r="BF622" s="36">
        <v>0</v>
      </c>
      <c r="BG622" s="36">
        <v>0</v>
      </c>
      <c r="BH622" s="36">
        <v>0</v>
      </c>
      <c r="BI622" s="36">
        <v>0</v>
      </c>
      <c r="BJ622" s="36">
        <v>0</v>
      </c>
      <c r="BK622" s="36">
        <v>0</v>
      </c>
      <c r="BL622" s="36">
        <v>0</v>
      </c>
      <c r="BM622" s="36">
        <v>0</v>
      </c>
      <c r="BN622" s="36">
        <v>0</v>
      </c>
      <c r="BO622" s="36">
        <v>0</v>
      </c>
      <c r="BP622" s="36">
        <v>0</v>
      </c>
      <c r="BQ622" s="36">
        <v>0</v>
      </c>
      <c r="BR622" s="36">
        <v>0</v>
      </c>
      <c r="BS622" s="36">
        <v>0</v>
      </c>
      <c r="BT622" s="36">
        <v>0</v>
      </c>
      <c r="BU622" s="36">
        <v>0</v>
      </c>
      <c r="BV622" s="36">
        <v>0</v>
      </c>
      <c r="BW622" s="36">
        <v>0</v>
      </c>
      <c r="BX622" s="36">
        <v>0</v>
      </c>
      <c r="BY622" s="36">
        <v>0</v>
      </c>
      <c r="BZ622" s="37">
        <v>0</v>
      </c>
      <c r="CA622" s="305">
        <v>0</v>
      </c>
      <c r="CB622" s="306">
        <v>0</v>
      </c>
      <c r="CC622" s="306">
        <v>0</v>
      </c>
      <c r="CD622" s="306">
        <v>0</v>
      </c>
      <c r="CE622" s="306">
        <v>0</v>
      </c>
      <c r="CF622" s="306">
        <v>0</v>
      </c>
      <c r="CG622" s="306">
        <v>0</v>
      </c>
      <c r="CH622" s="306">
        <v>0</v>
      </c>
      <c r="CI622" s="306">
        <v>0</v>
      </c>
      <c r="CJ622" s="306">
        <v>0</v>
      </c>
    </row>
    <row r="623" spans="1:88" s="3" customFormat="1" ht="18" customHeight="1" x14ac:dyDescent="0.2">
      <c r="A623" s="39">
        <v>10</v>
      </c>
      <c r="B623" s="35">
        <v>-1</v>
      </c>
      <c r="C623" s="36">
        <v>-1</v>
      </c>
      <c r="D623" s="36">
        <v>-1</v>
      </c>
      <c r="E623" s="36">
        <v>-1</v>
      </c>
      <c r="F623" s="36">
        <v>-1</v>
      </c>
      <c r="G623" s="36">
        <v>-1</v>
      </c>
      <c r="H623" s="36">
        <v>0</v>
      </c>
      <c r="I623" s="36">
        <v>0</v>
      </c>
      <c r="J623" s="36">
        <v>0</v>
      </c>
      <c r="K623" s="36">
        <v>-1</v>
      </c>
      <c r="L623" s="36">
        <v>0</v>
      </c>
      <c r="M623" s="36">
        <v>0</v>
      </c>
      <c r="N623" s="36">
        <v>0</v>
      </c>
      <c r="O623" s="36">
        <v>0</v>
      </c>
      <c r="P623" s="36">
        <v>0</v>
      </c>
      <c r="Q623" s="36">
        <v>0</v>
      </c>
      <c r="R623" s="36">
        <v>0</v>
      </c>
      <c r="S623" s="36">
        <v>0</v>
      </c>
      <c r="T623" s="36">
        <v>0</v>
      </c>
      <c r="U623" s="36">
        <v>1</v>
      </c>
      <c r="V623" s="36">
        <v>0</v>
      </c>
      <c r="W623" s="36">
        <v>0</v>
      </c>
      <c r="X623" s="36">
        <v>0</v>
      </c>
      <c r="Y623" s="36">
        <v>0</v>
      </c>
      <c r="Z623" s="36">
        <v>0</v>
      </c>
      <c r="AA623" s="36">
        <v>0</v>
      </c>
      <c r="AB623" s="36">
        <v>0</v>
      </c>
      <c r="AC623" s="36">
        <v>0</v>
      </c>
      <c r="AD623" s="36">
        <v>0</v>
      </c>
      <c r="AE623" s="36">
        <v>0</v>
      </c>
      <c r="AF623" s="36">
        <v>0</v>
      </c>
      <c r="AG623" s="36">
        <v>0</v>
      </c>
      <c r="AH623" s="36">
        <v>0</v>
      </c>
      <c r="AI623" s="36">
        <v>0</v>
      </c>
      <c r="AJ623" s="36">
        <v>0</v>
      </c>
      <c r="AK623" s="36">
        <v>0</v>
      </c>
      <c r="AL623" s="36">
        <v>0</v>
      </c>
      <c r="AM623" s="36">
        <v>0</v>
      </c>
      <c r="AN623" s="36">
        <v>1</v>
      </c>
      <c r="AO623" s="36">
        <v>0</v>
      </c>
      <c r="AP623" s="36">
        <v>0</v>
      </c>
      <c r="AQ623" s="36">
        <v>0</v>
      </c>
      <c r="AR623" s="36">
        <v>0</v>
      </c>
      <c r="AS623" s="36">
        <v>0</v>
      </c>
      <c r="AT623" s="36">
        <v>0</v>
      </c>
      <c r="AU623" s="36">
        <v>0</v>
      </c>
      <c r="AV623" s="36">
        <v>0</v>
      </c>
      <c r="AW623" s="36">
        <v>0</v>
      </c>
      <c r="AX623" s="36">
        <v>0</v>
      </c>
      <c r="AY623" s="36">
        <v>0</v>
      </c>
      <c r="AZ623" s="36">
        <v>0</v>
      </c>
      <c r="BA623" s="36">
        <v>0</v>
      </c>
      <c r="BB623" s="36">
        <v>0</v>
      </c>
      <c r="BC623" s="36">
        <v>0</v>
      </c>
      <c r="BD623" s="36">
        <v>0</v>
      </c>
      <c r="BE623" s="36">
        <v>0</v>
      </c>
      <c r="BF623" s="36">
        <v>0</v>
      </c>
      <c r="BG623" s="36">
        <v>0</v>
      </c>
      <c r="BH623" s="36">
        <v>0</v>
      </c>
      <c r="BI623" s="36">
        <v>0</v>
      </c>
      <c r="BJ623" s="36">
        <v>0</v>
      </c>
      <c r="BK623" s="36">
        <v>0</v>
      </c>
      <c r="BL623" s="36">
        <v>0</v>
      </c>
      <c r="BM623" s="36">
        <v>0</v>
      </c>
      <c r="BN623" s="36">
        <v>0</v>
      </c>
      <c r="BO623" s="36">
        <v>0</v>
      </c>
      <c r="BP623" s="36">
        <v>0</v>
      </c>
      <c r="BQ623" s="36">
        <v>0</v>
      </c>
      <c r="BR623" s="36">
        <v>0</v>
      </c>
      <c r="BS623" s="36">
        <v>0</v>
      </c>
      <c r="BT623" s="36">
        <v>0</v>
      </c>
      <c r="BU623" s="36">
        <v>0</v>
      </c>
      <c r="BV623" s="36">
        <v>0</v>
      </c>
      <c r="BW623" s="36">
        <v>0</v>
      </c>
      <c r="BX623" s="36">
        <v>0</v>
      </c>
      <c r="BY623" s="36">
        <v>0</v>
      </c>
      <c r="BZ623" s="37">
        <v>0</v>
      </c>
      <c r="CA623" s="305">
        <v>0</v>
      </c>
      <c r="CB623" s="306">
        <v>0</v>
      </c>
      <c r="CC623" s="306">
        <v>0</v>
      </c>
      <c r="CD623" s="306">
        <v>0</v>
      </c>
      <c r="CE623" s="306">
        <v>0</v>
      </c>
      <c r="CF623" s="306">
        <v>0</v>
      </c>
      <c r="CG623" s="306">
        <v>0</v>
      </c>
      <c r="CH623" s="306">
        <v>0</v>
      </c>
      <c r="CI623" s="306">
        <v>0</v>
      </c>
      <c r="CJ623" s="306">
        <v>0</v>
      </c>
    </row>
    <row r="624" spans="1:88" s="3" customFormat="1" ht="18" customHeight="1" x14ac:dyDescent="0.2">
      <c r="A624" s="39">
        <v>11</v>
      </c>
      <c r="B624" s="35">
        <v>-1</v>
      </c>
      <c r="C624" s="36">
        <v>-1</v>
      </c>
      <c r="D624" s="36">
        <v>-1</v>
      </c>
      <c r="E624" s="36">
        <v>-1</v>
      </c>
      <c r="F624" s="36">
        <v>-1</v>
      </c>
      <c r="G624" s="36">
        <v>-1</v>
      </c>
      <c r="H624" s="36">
        <v>0</v>
      </c>
      <c r="I624" s="36">
        <v>0</v>
      </c>
      <c r="J624" s="36">
        <v>0</v>
      </c>
      <c r="K624" s="36">
        <v>0</v>
      </c>
      <c r="L624" s="36">
        <v>-1</v>
      </c>
      <c r="M624" s="36">
        <v>0</v>
      </c>
      <c r="N624" s="36">
        <v>0</v>
      </c>
      <c r="O624" s="36">
        <v>0</v>
      </c>
      <c r="P624" s="36">
        <v>0</v>
      </c>
      <c r="Q624" s="36">
        <v>0</v>
      </c>
      <c r="R624" s="36">
        <v>0</v>
      </c>
      <c r="S624" s="36">
        <v>0</v>
      </c>
      <c r="T624" s="36">
        <v>0</v>
      </c>
      <c r="U624" s="36">
        <v>0</v>
      </c>
      <c r="V624" s="36">
        <v>1</v>
      </c>
      <c r="W624" s="36">
        <v>0</v>
      </c>
      <c r="X624" s="36">
        <v>0</v>
      </c>
      <c r="Y624" s="36">
        <v>0</v>
      </c>
      <c r="Z624" s="36">
        <v>0</v>
      </c>
      <c r="AA624" s="36">
        <v>0</v>
      </c>
      <c r="AB624" s="36">
        <v>0</v>
      </c>
      <c r="AC624" s="36">
        <v>0</v>
      </c>
      <c r="AD624" s="36">
        <v>0</v>
      </c>
      <c r="AE624" s="36">
        <v>0</v>
      </c>
      <c r="AF624" s="36">
        <v>0</v>
      </c>
      <c r="AG624" s="36">
        <v>0</v>
      </c>
      <c r="AH624" s="36">
        <v>0</v>
      </c>
      <c r="AI624" s="36">
        <v>0</v>
      </c>
      <c r="AJ624" s="36">
        <v>0</v>
      </c>
      <c r="AK624" s="36">
        <v>0</v>
      </c>
      <c r="AL624" s="36">
        <v>0</v>
      </c>
      <c r="AM624" s="36">
        <v>0</v>
      </c>
      <c r="AN624" s="36">
        <v>0</v>
      </c>
      <c r="AO624" s="36">
        <v>1</v>
      </c>
      <c r="AP624" s="36">
        <v>0</v>
      </c>
      <c r="AQ624" s="36">
        <v>0</v>
      </c>
      <c r="AR624" s="36">
        <v>0</v>
      </c>
      <c r="AS624" s="36">
        <v>0</v>
      </c>
      <c r="AT624" s="36">
        <v>0</v>
      </c>
      <c r="AU624" s="36">
        <v>0</v>
      </c>
      <c r="AV624" s="36">
        <v>0</v>
      </c>
      <c r="AW624" s="36">
        <v>0</v>
      </c>
      <c r="AX624" s="36">
        <v>0</v>
      </c>
      <c r="AY624" s="36">
        <v>0</v>
      </c>
      <c r="AZ624" s="36">
        <v>0</v>
      </c>
      <c r="BA624" s="36">
        <v>0</v>
      </c>
      <c r="BB624" s="36">
        <v>0</v>
      </c>
      <c r="BC624" s="36">
        <v>0</v>
      </c>
      <c r="BD624" s="36">
        <v>0</v>
      </c>
      <c r="BE624" s="36">
        <v>0</v>
      </c>
      <c r="BF624" s="36">
        <v>0</v>
      </c>
      <c r="BG624" s="36">
        <v>0</v>
      </c>
      <c r="BH624" s="36">
        <v>0</v>
      </c>
      <c r="BI624" s="36">
        <v>0</v>
      </c>
      <c r="BJ624" s="36">
        <v>0</v>
      </c>
      <c r="BK624" s="36">
        <v>0</v>
      </c>
      <c r="BL624" s="36">
        <v>0</v>
      </c>
      <c r="BM624" s="36">
        <v>0</v>
      </c>
      <c r="BN624" s="36">
        <v>0</v>
      </c>
      <c r="BO624" s="36">
        <v>0</v>
      </c>
      <c r="BP624" s="36">
        <v>0</v>
      </c>
      <c r="BQ624" s="36">
        <v>0</v>
      </c>
      <c r="BR624" s="36">
        <v>0</v>
      </c>
      <c r="BS624" s="36">
        <v>0</v>
      </c>
      <c r="BT624" s="36">
        <v>0</v>
      </c>
      <c r="BU624" s="36">
        <v>0</v>
      </c>
      <c r="BV624" s="36">
        <v>0</v>
      </c>
      <c r="BW624" s="36">
        <v>0</v>
      </c>
      <c r="BX624" s="36">
        <v>0</v>
      </c>
      <c r="BY624" s="36">
        <v>0</v>
      </c>
      <c r="BZ624" s="37">
        <v>0</v>
      </c>
      <c r="CA624" s="305">
        <v>0</v>
      </c>
      <c r="CB624" s="306">
        <v>0</v>
      </c>
      <c r="CC624" s="306">
        <v>0</v>
      </c>
      <c r="CD624" s="306">
        <v>0</v>
      </c>
      <c r="CE624" s="306">
        <v>0</v>
      </c>
      <c r="CF624" s="306">
        <v>0</v>
      </c>
      <c r="CG624" s="306">
        <v>0</v>
      </c>
      <c r="CH624" s="306">
        <v>0</v>
      </c>
      <c r="CI624" s="306">
        <v>0</v>
      </c>
      <c r="CJ624" s="306">
        <v>0</v>
      </c>
    </row>
    <row r="625" spans="1:88" s="3" customFormat="1" ht="18" customHeight="1" x14ac:dyDescent="0.2">
      <c r="A625" s="39">
        <v>12</v>
      </c>
      <c r="B625" s="35">
        <v>-1</v>
      </c>
      <c r="C625" s="36">
        <v>-1</v>
      </c>
      <c r="D625" s="36">
        <v>-1</v>
      </c>
      <c r="E625" s="36">
        <v>-1</v>
      </c>
      <c r="F625" s="36">
        <v>-1</v>
      </c>
      <c r="G625" s="36">
        <v>-1</v>
      </c>
      <c r="H625" s="36">
        <v>0</v>
      </c>
      <c r="I625" s="36">
        <v>0</v>
      </c>
      <c r="J625" s="36">
        <v>0</v>
      </c>
      <c r="K625" s="36">
        <v>0</v>
      </c>
      <c r="L625" s="36">
        <v>0</v>
      </c>
      <c r="M625" s="36">
        <v>0</v>
      </c>
      <c r="N625" s="36">
        <v>-1</v>
      </c>
      <c r="O625" s="36">
        <v>0</v>
      </c>
      <c r="P625" s="36">
        <v>0</v>
      </c>
      <c r="Q625" s="36">
        <v>0</v>
      </c>
      <c r="R625" s="36">
        <v>0</v>
      </c>
      <c r="S625" s="36">
        <v>0</v>
      </c>
      <c r="T625" s="36">
        <v>0</v>
      </c>
      <c r="U625" s="36">
        <v>0</v>
      </c>
      <c r="V625" s="36">
        <v>0</v>
      </c>
      <c r="W625" s="36">
        <v>0</v>
      </c>
      <c r="X625" s="36">
        <v>1</v>
      </c>
      <c r="Y625" s="36">
        <v>0</v>
      </c>
      <c r="Z625" s="36">
        <v>0</v>
      </c>
      <c r="AA625" s="36">
        <v>0</v>
      </c>
      <c r="AB625" s="36">
        <v>0</v>
      </c>
      <c r="AC625" s="36">
        <v>0</v>
      </c>
      <c r="AD625" s="36">
        <v>0</v>
      </c>
      <c r="AE625" s="36">
        <v>0</v>
      </c>
      <c r="AF625" s="36">
        <v>0</v>
      </c>
      <c r="AG625" s="36">
        <v>0</v>
      </c>
      <c r="AH625" s="36">
        <v>0</v>
      </c>
      <c r="AI625" s="36">
        <v>0</v>
      </c>
      <c r="AJ625" s="36">
        <v>0</v>
      </c>
      <c r="AK625" s="36">
        <v>0</v>
      </c>
      <c r="AL625" s="36">
        <v>0</v>
      </c>
      <c r="AM625" s="36">
        <v>0</v>
      </c>
      <c r="AN625" s="36">
        <v>0</v>
      </c>
      <c r="AO625" s="36">
        <v>0</v>
      </c>
      <c r="AP625" s="36">
        <v>1</v>
      </c>
      <c r="AQ625" s="36">
        <v>0</v>
      </c>
      <c r="AR625" s="36">
        <v>0</v>
      </c>
      <c r="AS625" s="36">
        <v>0</v>
      </c>
      <c r="AT625" s="36">
        <v>0</v>
      </c>
      <c r="AU625" s="36">
        <v>0</v>
      </c>
      <c r="AV625" s="36">
        <v>0</v>
      </c>
      <c r="AW625" s="36">
        <v>0</v>
      </c>
      <c r="AX625" s="36">
        <v>0</v>
      </c>
      <c r="AY625" s="36">
        <v>0</v>
      </c>
      <c r="AZ625" s="36">
        <v>0</v>
      </c>
      <c r="BA625" s="36">
        <v>0</v>
      </c>
      <c r="BB625" s="36">
        <v>0</v>
      </c>
      <c r="BC625" s="36">
        <v>0</v>
      </c>
      <c r="BD625" s="36">
        <v>0</v>
      </c>
      <c r="BE625" s="36">
        <v>0</v>
      </c>
      <c r="BF625" s="36">
        <v>0</v>
      </c>
      <c r="BG625" s="36">
        <v>0</v>
      </c>
      <c r="BH625" s="36">
        <v>0</v>
      </c>
      <c r="BI625" s="36">
        <v>0</v>
      </c>
      <c r="BJ625" s="36">
        <v>0</v>
      </c>
      <c r="BK625" s="36">
        <v>0</v>
      </c>
      <c r="BL625" s="36">
        <v>0</v>
      </c>
      <c r="BM625" s="36">
        <v>0</v>
      </c>
      <c r="BN625" s="36">
        <v>0</v>
      </c>
      <c r="BO625" s="36">
        <v>0</v>
      </c>
      <c r="BP625" s="36">
        <v>0</v>
      </c>
      <c r="BQ625" s="36">
        <v>0</v>
      </c>
      <c r="BR625" s="36">
        <v>0</v>
      </c>
      <c r="BS625" s="36">
        <v>0</v>
      </c>
      <c r="BT625" s="36">
        <v>0</v>
      </c>
      <c r="BU625" s="36">
        <v>0</v>
      </c>
      <c r="BV625" s="36">
        <v>0</v>
      </c>
      <c r="BW625" s="36">
        <v>0</v>
      </c>
      <c r="BX625" s="36">
        <v>0</v>
      </c>
      <c r="BY625" s="36">
        <v>0</v>
      </c>
      <c r="BZ625" s="37">
        <v>0</v>
      </c>
      <c r="CA625" s="305">
        <v>0</v>
      </c>
      <c r="CB625" s="306">
        <v>0</v>
      </c>
      <c r="CC625" s="306">
        <v>0</v>
      </c>
      <c r="CD625" s="306">
        <v>0</v>
      </c>
      <c r="CE625" s="306">
        <v>0</v>
      </c>
      <c r="CF625" s="306">
        <v>0</v>
      </c>
      <c r="CG625" s="306">
        <v>0</v>
      </c>
      <c r="CH625" s="306">
        <v>0</v>
      </c>
      <c r="CI625" s="306">
        <v>0</v>
      </c>
      <c r="CJ625" s="306">
        <v>0</v>
      </c>
    </row>
    <row r="626" spans="1:88" s="3" customFormat="1" ht="18" customHeight="1" x14ac:dyDescent="0.2">
      <c r="A626" s="39">
        <v>13</v>
      </c>
      <c r="B626" s="35">
        <v>-1</v>
      </c>
      <c r="C626" s="36">
        <v>-1</v>
      </c>
      <c r="D626" s="36">
        <v>-1</v>
      </c>
      <c r="E626" s="36">
        <v>-1</v>
      </c>
      <c r="F626" s="36">
        <v>-1</v>
      </c>
      <c r="G626" s="36">
        <v>-1</v>
      </c>
      <c r="H626" s="36">
        <v>0</v>
      </c>
      <c r="I626" s="36">
        <v>0</v>
      </c>
      <c r="J626" s="36">
        <v>0</v>
      </c>
      <c r="K626" s="36">
        <v>0</v>
      </c>
      <c r="L626" s="36">
        <v>0</v>
      </c>
      <c r="M626" s="36">
        <v>0</v>
      </c>
      <c r="N626" s="36">
        <v>0</v>
      </c>
      <c r="O626" s="36">
        <v>0</v>
      </c>
      <c r="P626" s="36">
        <v>-1</v>
      </c>
      <c r="Q626" s="36">
        <v>0</v>
      </c>
      <c r="R626" s="36">
        <v>0</v>
      </c>
      <c r="S626" s="36">
        <v>0</v>
      </c>
      <c r="T626" s="36">
        <v>0</v>
      </c>
      <c r="U626" s="36">
        <v>0</v>
      </c>
      <c r="V626" s="36">
        <v>0</v>
      </c>
      <c r="W626" s="36">
        <v>0</v>
      </c>
      <c r="X626" s="36">
        <v>0</v>
      </c>
      <c r="Y626" s="36">
        <v>0</v>
      </c>
      <c r="Z626" s="36">
        <v>1</v>
      </c>
      <c r="AA626" s="36">
        <v>0</v>
      </c>
      <c r="AB626" s="36">
        <v>0</v>
      </c>
      <c r="AC626" s="36">
        <v>0</v>
      </c>
      <c r="AD626" s="36">
        <v>0</v>
      </c>
      <c r="AE626" s="36">
        <v>0</v>
      </c>
      <c r="AF626" s="36">
        <v>0</v>
      </c>
      <c r="AG626" s="36">
        <v>0</v>
      </c>
      <c r="AH626" s="36">
        <v>0</v>
      </c>
      <c r="AI626" s="36">
        <v>0</v>
      </c>
      <c r="AJ626" s="36">
        <v>0</v>
      </c>
      <c r="AK626" s="36">
        <v>0</v>
      </c>
      <c r="AL626" s="36">
        <v>0</v>
      </c>
      <c r="AM626" s="36">
        <v>0</v>
      </c>
      <c r="AN626" s="36">
        <v>0</v>
      </c>
      <c r="AO626" s="36">
        <v>0</v>
      </c>
      <c r="AP626" s="36">
        <v>0</v>
      </c>
      <c r="AQ626" s="36">
        <v>1</v>
      </c>
      <c r="AR626" s="36">
        <v>0</v>
      </c>
      <c r="AS626" s="36">
        <v>0</v>
      </c>
      <c r="AT626" s="36">
        <v>0</v>
      </c>
      <c r="AU626" s="36">
        <v>0</v>
      </c>
      <c r="AV626" s="36">
        <v>0</v>
      </c>
      <c r="AW626" s="36">
        <v>0</v>
      </c>
      <c r="AX626" s="36">
        <v>0</v>
      </c>
      <c r="AY626" s="36">
        <v>0</v>
      </c>
      <c r="AZ626" s="36">
        <v>0</v>
      </c>
      <c r="BA626" s="36">
        <v>0</v>
      </c>
      <c r="BB626" s="36">
        <v>0</v>
      </c>
      <c r="BC626" s="36">
        <v>0</v>
      </c>
      <c r="BD626" s="36">
        <v>0</v>
      </c>
      <c r="BE626" s="36">
        <v>0</v>
      </c>
      <c r="BF626" s="36">
        <v>0</v>
      </c>
      <c r="BG626" s="36">
        <v>0</v>
      </c>
      <c r="BH626" s="36">
        <v>0</v>
      </c>
      <c r="BI626" s="36">
        <v>0</v>
      </c>
      <c r="BJ626" s="36">
        <v>0</v>
      </c>
      <c r="BK626" s="36">
        <v>0</v>
      </c>
      <c r="BL626" s="36">
        <v>0</v>
      </c>
      <c r="BM626" s="36">
        <v>0</v>
      </c>
      <c r="BN626" s="36">
        <v>0</v>
      </c>
      <c r="BO626" s="36">
        <v>0</v>
      </c>
      <c r="BP626" s="36">
        <v>0</v>
      </c>
      <c r="BQ626" s="36">
        <v>0</v>
      </c>
      <c r="BR626" s="36">
        <v>0</v>
      </c>
      <c r="BS626" s="36">
        <v>0</v>
      </c>
      <c r="BT626" s="36">
        <v>0</v>
      </c>
      <c r="BU626" s="36">
        <v>0</v>
      </c>
      <c r="BV626" s="36">
        <v>0</v>
      </c>
      <c r="BW626" s="36">
        <v>0</v>
      </c>
      <c r="BX626" s="36">
        <v>0</v>
      </c>
      <c r="BY626" s="36">
        <v>0</v>
      </c>
      <c r="BZ626" s="37">
        <v>0</v>
      </c>
      <c r="CA626" s="305">
        <v>0</v>
      </c>
      <c r="CB626" s="306">
        <v>0</v>
      </c>
      <c r="CC626" s="306">
        <v>0</v>
      </c>
      <c r="CD626" s="306">
        <v>0</v>
      </c>
      <c r="CE626" s="306">
        <v>0</v>
      </c>
      <c r="CF626" s="306">
        <v>0</v>
      </c>
      <c r="CG626" s="306">
        <v>0</v>
      </c>
      <c r="CH626" s="306">
        <v>0</v>
      </c>
      <c r="CI626" s="306">
        <v>0</v>
      </c>
      <c r="CJ626" s="306">
        <v>0</v>
      </c>
    </row>
    <row r="627" spans="1:88" s="3" customFormat="1" ht="18" customHeight="1" x14ac:dyDescent="0.2">
      <c r="A627" s="39">
        <v>14</v>
      </c>
      <c r="B627" s="35">
        <v>-1</v>
      </c>
      <c r="C627" s="36">
        <v>-1</v>
      </c>
      <c r="D627" s="36">
        <v>-1</v>
      </c>
      <c r="E627" s="36">
        <v>-1</v>
      </c>
      <c r="F627" s="36">
        <v>-1</v>
      </c>
      <c r="G627" s="36">
        <v>-1</v>
      </c>
      <c r="H627" s="36">
        <v>0</v>
      </c>
      <c r="I627" s="36">
        <v>0</v>
      </c>
      <c r="J627" s="36">
        <v>0</v>
      </c>
      <c r="K627" s="36">
        <v>0</v>
      </c>
      <c r="L627" s="36">
        <v>0</v>
      </c>
      <c r="M627" s="36">
        <v>0</v>
      </c>
      <c r="N627" s="36">
        <v>0</v>
      </c>
      <c r="O627" s="36">
        <v>0</v>
      </c>
      <c r="P627" s="36">
        <v>0</v>
      </c>
      <c r="Q627" s="36">
        <v>-1</v>
      </c>
      <c r="R627" s="36">
        <v>0</v>
      </c>
      <c r="S627" s="36">
        <v>0</v>
      </c>
      <c r="T627" s="36">
        <v>0</v>
      </c>
      <c r="U627" s="36">
        <v>0</v>
      </c>
      <c r="V627" s="36">
        <v>0</v>
      </c>
      <c r="W627" s="36">
        <v>0</v>
      </c>
      <c r="X627" s="36">
        <v>0</v>
      </c>
      <c r="Y627" s="36">
        <v>0</v>
      </c>
      <c r="Z627" s="36">
        <v>0</v>
      </c>
      <c r="AA627" s="36">
        <v>1</v>
      </c>
      <c r="AB627" s="36">
        <v>0</v>
      </c>
      <c r="AC627" s="36">
        <v>0</v>
      </c>
      <c r="AD627" s="36">
        <v>0</v>
      </c>
      <c r="AE627" s="36">
        <v>0</v>
      </c>
      <c r="AF627" s="36">
        <v>0</v>
      </c>
      <c r="AG627" s="36">
        <v>0</v>
      </c>
      <c r="AH627" s="36">
        <v>0</v>
      </c>
      <c r="AI627" s="36">
        <v>0</v>
      </c>
      <c r="AJ627" s="36">
        <v>0</v>
      </c>
      <c r="AK627" s="36">
        <v>0</v>
      </c>
      <c r="AL627" s="36">
        <v>0</v>
      </c>
      <c r="AM627" s="36">
        <v>0</v>
      </c>
      <c r="AN627" s="36">
        <v>0</v>
      </c>
      <c r="AO627" s="36">
        <v>0</v>
      </c>
      <c r="AP627" s="36">
        <v>0</v>
      </c>
      <c r="AQ627" s="36">
        <v>0</v>
      </c>
      <c r="AR627" s="36">
        <v>1</v>
      </c>
      <c r="AS627" s="36">
        <v>0</v>
      </c>
      <c r="AT627" s="36">
        <v>0</v>
      </c>
      <c r="AU627" s="36">
        <v>0</v>
      </c>
      <c r="AV627" s="36">
        <v>0</v>
      </c>
      <c r="AW627" s="36">
        <v>0</v>
      </c>
      <c r="AX627" s="36">
        <v>0</v>
      </c>
      <c r="AY627" s="36">
        <v>0</v>
      </c>
      <c r="AZ627" s="36">
        <v>0</v>
      </c>
      <c r="BA627" s="36">
        <v>0</v>
      </c>
      <c r="BB627" s="36">
        <v>0</v>
      </c>
      <c r="BC627" s="36">
        <v>0</v>
      </c>
      <c r="BD627" s="36">
        <v>0</v>
      </c>
      <c r="BE627" s="36">
        <v>0</v>
      </c>
      <c r="BF627" s="36">
        <v>0</v>
      </c>
      <c r="BG627" s="36">
        <v>0</v>
      </c>
      <c r="BH627" s="36">
        <v>0</v>
      </c>
      <c r="BI627" s="36">
        <v>0</v>
      </c>
      <c r="BJ627" s="36">
        <v>0</v>
      </c>
      <c r="BK627" s="36">
        <v>0</v>
      </c>
      <c r="BL627" s="36">
        <v>0</v>
      </c>
      <c r="BM627" s="36">
        <v>0</v>
      </c>
      <c r="BN627" s="36">
        <v>0</v>
      </c>
      <c r="BO627" s="36">
        <v>0</v>
      </c>
      <c r="BP627" s="36">
        <v>0</v>
      </c>
      <c r="BQ627" s="36">
        <v>0</v>
      </c>
      <c r="BR627" s="36">
        <v>0</v>
      </c>
      <c r="BS627" s="36">
        <v>0</v>
      </c>
      <c r="BT627" s="36">
        <v>0</v>
      </c>
      <c r="BU627" s="36">
        <v>0</v>
      </c>
      <c r="BV627" s="36">
        <v>0</v>
      </c>
      <c r="BW627" s="36">
        <v>0</v>
      </c>
      <c r="BX627" s="36">
        <v>0</v>
      </c>
      <c r="BY627" s="36">
        <v>0</v>
      </c>
      <c r="BZ627" s="37">
        <v>0</v>
      </c>
      <c r="CA627" s="305">
        <v>0</v>
      </c>
      <c r="CB627" s="306">
        <v>0</v>
      </c>
      <c r="CC627" s="306">
        <v>0</v>
      </c>
      <c r="CD627" s="306">
        <v>0</v>
      </c>
      <c r="CE627" s="306">
        <v>0</v>
      </c>
      <c r="CF627" s="306">
        <v>0</v>
      </c>
      <c r="CG627" s="306">
        <v>0</v>
      </c>
      <c r="CH627" s="306">
        <v>0</v>
      </c>
      <c r="CI627" s="306">
        <v>0</v>
      </c>
      <c r="CJ627" s="306">
        <v>0</v>
      </c>
    </row>
    <row r="628" spans="1:88" s="3" customFormat="1" ht="18" customHeight="1" x14ac:dyDescent="0.2">
      <c r="A628" s="39">
        <v>15</v>
      </c>
      <c r="B628" s="35">
        <v>-1</v>
      </c>
      <c r="C628" s="36">
        <v>-1</v>
      </c>
      <c r="D628" s="36">
        <v>-1</v>
      </c>
      <c r="E628" s="36">
        <v>-1</v>
      </c>
      <c r="F628" s="36">
        <v>-1</v>
      </c>
      <c r="G628" s="36">
        <v>-1</v>
      </c>
      <c r="H628" s="36">
        <v>0</v>
      </c>
      <c r="I628" s="36">
        <v>0</v>
      </c>
      <c r="J628" s="36">
        <v>0</v>
      </c>
      <c r="K628" s="36">
        <v>0</v>
      </c>
      <c r="L628" s="36">
        <v>0</v>
      </c>
      <c r="M628" s="36">
        <v>0</v>
      </c>
      <c r="N628" s="36">
        <v>0</v>
      </c>
      <c r="O628" s="36">
        <v>0</v>
      </c>
      <c r="P628" s="36">
        <v>0</v>
      </c>
      <c r="Q628" s="36">
        <v>0</v>
      </c>
      <c r="R628" s="36">
        <v>0</v>
      </c>
      <c r="S628" s="36">
        <v>-1</v>
      </c>
      <c r="T628" s="36">
        <v>0</v>
      </c>
      <c r="U628" s="36">
        <v>0</v>
      </c>
      <c r="V628" s="36">
        <v>0</v>
      </c>
      <c r="W628" s="36">
        <v>0</v>
      </c>
      <c r="X628" s="36">
        <v>0</v>
      </c>
      <c r="Y628" s="36">
        <v>0</v>
      </c>
      <c r="Z628" s="36">
        <v>0</v>
      </c>
      <c r="AA628" s="36">
        <v>0</v>
      </c>
      <c r="AB628" s="36">
        <v>0</v>
      </c>
      <c r="AC628" s="36">
        <v>1</v>
      </c>
      <c r="AD628" s="36">
        <v>0</v>
      </c>
      <c r="AE628" s="36">
        <v>0</v>
      </c>
      <c r="AF628" s="36">
        <v>0</v>
      </c>
      <c r="AG628" s="36">
        <v>0</v>
      </c>
      <c r="AH628" s="36">
        <v>0</v>
      </c>
      <c r="AI628" s="36">
        <v>0</v>
      </c>
      <c r="AJ628" s="36">
        <v>0</v>
      </c>
      <c r="AK628" s="36">
        <v>0</v>
      </c>
      <c r="AL628" s="36">
        <v>0</v>
      </c>
      <c r="AM628" s="36">
        <v>0</v>
      </c>
      <c r="AN628" s="36">
        <v>0</v>
      </c>
      <c r="AO628" s="36">
        <v>0</v>
      </c>
      <c r="AP628" s="36">
        <v>0</v>
      </c>
      <c r="AQ628" s="36">
        <v>0</v>
      </c>
      <c r="AR628" s="36">
        <v>0</v>
      </c>
      <c r="AS628" s="36">
        <v>1</v>
      </c>
      <c r="AT628" s="36">
        <v>0</v>
      </c>
      <c r="AU628" s="36">
        <v>0</v>
      </c>
      <c r="AV628" s="36">
        <v>0</v>
      </c>
      <c r="AW628" s="36">
        <v>0</v>
      </c>
      <c r="AX628" s="36">
        <v>0</v>
      </c>
      <c r="AY628" s="36">
        <v>0</v>
      </c>
      <c r="AZ628" s="36">
        <v>0</v>
      </c>
      <c r="BA628" s="36">
        <v>0</v>
      </c>
      <c r="BB628" s="36">
        <v>0</v>
      </c>
      <c r="BC628" s="36">
        <v>0</v>
      </c>
      <c r="BD628" s="36">
        <v>0</v>
      </c>
      <c r="BE628" s="36">
        <v>0</v>
      </c>
      <c r="BF628" s="36">
        <v>0</v>
      </c>
      <c r="BG628" s="36">
        <v>0</v>
      </c>
      <c r="BH628" s="36">
        <v>0</v>
      </c>
      <c r="BI628" s="36">
        <v>0</v>
      </c>
      <c r="BJ628" s="36">
        <v>0</v>
      </c>
      <c r="BK628" s="36">
        <v>0</v>
      </c>
      <c r="BL628" s="36">
        <v>0</v>
      </c>
      <c r="BM628" s="36">
        <v>0</v>
      </c>
      <c r="BN628" s="36">
        <v>0</v>
      </c>
      <c r="BO628" s="36">
        <v>0</v>
      </c>
      <c r="BP628" s="36">
        <v>0</v>
      </c>
      <c r="BQ628" s="36">
        <v>0</v>
      </c>
      <c r="BR628" s="36">
        <v>0</v>
      </c>
      <c r="BS628" s="36">
        <v>0</v>
      </c>
      <c r="BT628" s="36">
        <v>0</v>
      </c>
      <c r="BU628" s="36">
        <v>0</v>
      </c>
      <c r="BV628" s="36">
        <v>0</v>
      </c>
      <c r="BW628" s="36">
        <v>0</v>
      </c>
      <c r="BX628" s="36">
        <v>0</v>
      </c>
      <c r="BY628" s="36">
        <v>0</v>
      </c>
      <c r="BZ628" s="37">
        <v>0</v>
      </c>
      <c r="CA628" s="305">
        <v>0</v>
      </c>
      <c r="CB628" s="306">
        <v>0</v>
      </c>
      <c r="CC628" s="306">
        <v>0</v>
      </c>
      <c r="CD628" s="306">
        <v>0</v>
      </c>
      <c r="CE628" s="306">
        <v>0</v>
      </c>
      <c r="CF628" s="306">
        <v>0</v>
      </c>
      <c r="CG628" s="306">
        <v>0</v>
      </c>
      <c r="CH628" s="306">
        <v>0</v>
      </c>
      <c r="CI628" s="306">
        <v>0</v>
      </c>
      <c r="CJ628" s="306">
        <v>0</v>
      </c>
    </row>
    <row r="629" spans="1:88" s="3" customFormat="1" ht="18" customHeight="1" x14ac:dyDescent="0.2">
      <c r="A629" s="39">
        <v>16</v>
      </c>
      <c r="B629" s="35">
        <v>-1</v>
      </c>
      <c r="C629" s="36">
        <v>-1</v>
      </c>
      <c r="D629" s="36">
        <v>-1</v>
      </c>
      <c r="E629" s="36">
        <v>0</v>
      </c>
      <c r="F629" s="36">
        <v>0</v>
      </c>
      <c r="G629" s="36">
        <v>0</v>
      </c>
      <c r="H629" s="36">
        <v>-1</v>
      </c>
      <c r="I629" s="36">
        <v>-1</v>
      </c>
      <c r="J629" s="36">
        <v>-1</v>
      </c>
      <c r="K629" s="36">
        <v>-1</v>
      </c>
      <c r="L629" s="36">
        <v>0</v>
      </c>
      <c r="M629" s="36">
        <v>0</v>
      </c>
      <c r="N629" s="36">
        <v>0</v>
      </c>
      <c r="O629" s="36">
        <v>0</v>
      </c>
      <c r="P629" s="36">
        <v>0</v>
      </c>
      <c r="Q629" s="36">
        <v>0</v>
      </c>
      <c r="R629" s="36">
        <v>0</v>
      </c>
      <c r="S629" s="36">
        <v>0</v>
      </c>
      <c r="T629" s="36">
        <v>0</v>
      </c>
      <c r="U629" s="36">
        <v>1</v>
      </c>
      <c r="V629" s="36">
        <v>0</v>
      </c>
      <c r="W629" s="36">
        <v>0</v>
      </c>
      <c r="X629" s="36">
        <v>0</v>
      </c>
      <c r="Y629" s="36">
        <v>0</v>
      </c>
      <c r="Z629" s="36">
        <v>0</v>
      </c>
      <c r="AA629" s="36">
        <v>0</v>
      </c>
      <c r="AB629" s="36">
        <v>0</v>
      </c>
      <c r="AC629" s="36">
        <v>0</v>
      </c>
      <c r="AD629" s="36">
        <v>0</v>
      </c>
      <c r="AE629" s="36">
        <v>0</v>
      </c>
      <c r="AF629" s="36">
        <v>0</v>
      </c>
      <c r="AG629" s="36">
        <v>0</v>
      </c>
      <c r="AH629" s="36">
        <v>0</v>
      </c>
      <c r="AI629" s="36">
        <v>0</v>
      </c>
      <c r="AJ629" s="36">
        <v>0</v>
      </c>
      <c r="AK629" s="36">
        <v>0</v>
      </c>
      <c r="AL629" s="36">
        <v>0</v>
      </c>
      <c r="AM629" s="36">
        <v>0</v>
      </c>
      <c r="AN629" s="36">
        <v>0</v>
      </c>
      <c r="AO629" s="36">
        <v>0</v>
      </c>
      <c r="AP629" s="36">
        <v>0</v>
      </c>
      <c r="AQ629" s="36">
        <v>0</v>
      </c>
      <c r="AR629" s="36">
        <v>0</v>
      </c>
      <c r="AS629" s="36">
        <v>0</v>
      </c>
      <c r="AT629" s="36">
        <v>1</v>
      </c>
      <c r="AU629" s="36">
        <v>0</v>
      </c>
      <c r="AV629" s="36">
        <v>0</v>
      </c>
      <c r="AW629" s="36">
        <v>0</v>
      </c>
      <c r="AX629" s="36">
        <v>0</v>
      </c>
      <c r="AY629" s="36">
        <v>0</v>
      </c>
      <c r="AZ629" s="36">
        <v>0</v>
      </c>
      <c r="BA629" s="36">
        <v>0</v>
      </c>
      <c r="BB629" s="36">
        <v>0</v>
      </c>
      <c r="BC629" s="36">
        <v>0</v>
      </c>
      <c r="BD629" s="36">
        <v>0</v>
      </c>
      <c r="BE629" s="36">
        <v>0</v>
      </c>
      <c r="BF629" s="36">
        <v>0</v>
      </c>
      <c r="BG629" s="36">
        <v>0</v>
      </c>
      <c r="BH629" s="36">
        <v>0</v>
      </c>
      <c r="BI629" s="36">
        <v>0</v>
      </c>
      <c r="BJ629" s="36">
        <v>0</v>
      </c>
      <c r="BK629" s="36">
        <v>0</v>
      </c>
      <c r="BL629" s="36">
        <v>0</v>
      </c>
      <c r="BM629" s="36">
        <v>0</v>
      </c>
      <c r="BN629" s="36">
        <v>0</v>
      </c>
      <c r="BO629" s="36">
        <v>0</v>
      </c>
      <c r="BP629" s="36">
        <v>0</v>
      </c>
      <c r="BQ629" s="36">
        <v>0</v>
      </c>
      <c r="BR629" s="36">
        <v>0</v>
      </c>
      <c r="BS629" s="36">
        <v>0</v>
      </c>
      <c r="BT629" s="36">
        <v>0</v>
      </c>
      <c r="BU629" s="36">
        <v>0</v>
      </c>
      <c r="BV629" s="36">
        <v>0</v>
      </c>
      <c r="BW629" s="36">
        <v>0</v>
      </c>
      <c r="BX629" s="36">
        <v>0</v>
      </c>
      <c r="BY629" s="36">
        <v>0</v>
      </c>
      <c r="BZ629" s="37">
        <v>0</v>
      </c>
      <c r="CA629" s="305">
        <v>0</v>
      </c>
      <c r="CB629" s="306">
        <v>0</v>
      </c>
      <c r="CC629" s="306">
        <v>0</v>
      </c>
      <c r="CD629" s="306">
        <v>0</v>
      </c>
      <c r="CE629" s="306">
        <v>0</v>
      </c>
      <c r="CF629" s="306">
        <v>0</v>
      </c>
      <c r="CG629" s="306">
        <v>0</v>
      </c>
      <c r="CH629" s="306">
        <v>0</v>
      </c>
      <c r="CI629" s="306">
        <v>0</v>
      </c>
      <c r="CJ629" s="306">
        <v>0</v>
      </c>
    </row>
    <row r="630" spans="1:88" s="3" customFormat="1" ht="18" customHeight="1" x14ac:dyDescent="0.2">
      <c r="A630" s="39">
        <v>17</v>
      </c>
      <c r="B630" s="35">
        <v>-1</v>
      </c>
      <c r="C630" s="36">
        <v>-1</v>
      </c>
      <c r="D630" s="36">
        <v>-1</v>
      </c>
      <c r="E630" s="36">
        <v>0</v>
      </c>
      <c r="F630" s="36">
        <v>0</v>
      </c>
      <c r="G630" s="36">
        <v>0</v>
      </c>
      <c r="H630" s="36">
        <v>-1</v>
      </c>
      <c r="I630" s="36">
        <v>-1</v>
      </c>
      <c r="J630" s="36">
        <v>-1</v>
      </c>
      <c r="K630" s="36">
        <v>0</v>
      </c>
      <c r="L630" s="36">
        <v>-1</v>
      </c>
      <c r="M630" s="36">
        <v>0</v>
      </c>
      <c r="N630" s="36">
        <v>0</v>
      </c>
      <c r="O630" s="36">
        <v>0</v>
      </c>
      <c r="P630" s="36">
        <v>0</v>
      </c>
      <c r="Q630" s="36">
        <v>0</v>
      </c>
      <c r="R630" s="36">
        <v>0</v>
      </c>
      <c r="S630" s="36">
        <v>0</v>
      </c>
      <c r="T630" s="36">
        <v>0</v>
      </c>
      <c r="U630" s="36">
        <v>0</v>
      </c>
      <c r="V630" s="36">
        <v>1</v>
      </c>
      <c r="W630" s="36">
        <v>0</v>
      </c>
      <c r="X630" s="36">
        <v>0</v>
      </c>
      <c r="Y630" s="36">
        <v>0</v>
      </c>
      <c r="Z630" s="36">
        <v>0</v>
      </c>
      <c r="AA630" s="36">
        <v>0</v>
      </c>
      <c r="AB630" s="36">
        <v>0</v>
      </c>
      <c r="AC630" s="36">
        <v>0</v>
      </c>
      <c r="AD630" s="36">
        <v>0</v>
      </c>
      <c r="AE630" s="36">
        <v>0</v>
      </c>
      <c r="AF630" s="36">
        <v>0</v>
      </c>
      <c r="AG630" s="36">
        <v>0</v>
      </c>
      <c r="AH630" s="36">
        <v>0</v>
      </c>
      <c r="AI630" s="36">
        <v>0</v>
      </c>
      <c r="AJ630" s="36">
        <v>0</v>
      </c>
      <c r="AK630" s="36">
        <v>0</v>
      </c>
      <c r="AL630" s="36">
        <v>0</v>
      </c>
      <c r="AM630" s="36">
        <v>0</v>
      </c>
      <c r="AN630" s="36">
        <v>0</v>
      </c>
      <c r="AO630" s="36">
        <v>0</v>
      </c>
      <c r="AP630" s="36">
        <v>0</v>
      </c>
      <c r="AQ630" s="36">
        <v>0</v>
      </c>
      <c r="AR630" s="36">
        <v>0</v>
      </c>
      <c r="AS630" s="36">
        <v>0</v>
      </c>
      <c r="AT630" s="36">
        <v>0</v>
      </c>
      <c r="AU630" s="36">
        <v>1</v>
      </c>
      <c r="AV630" s="36">
        <v>0</v>
      </c>
      <c r="AW630" s="36">
        <v>0</v>
      </c>
      <c r="AX630" s="36">
        <v>0</v>
      </c>
      <c r="AY630" s="36">
        <v>0</v>
      </c>
      <c r="AZ630" s="36">
        <v>0</v>
      </c>
      <c r="BA630" s="36">
        <v>0</v>
      </c>
      <c r="BB630" s="36">
        <v>0</v>
      </c>
      <c r="BC630" s="36">
        <v>0</v>
      </c>
      <c r="BD630" s="36">
        <v>0</v>
      </c>
      <c r="BE630" s="36">
        <v>0</v>
      </c>
      <c r="BF630" s="36">
        <v>0</v>
      </c>
      <c r="BG630" s="36">
        <v>0</v>
      </c>
      <c r="BH630" s="36">
        <v>0</v>
      </c>
      <c r="BI630" s="36">
        <v>0</v>
      </c>
      <c r="BJ630" s="36">
        <v>0</v>
      </c>
      <c r="BK630" s="36">
        <v>0</v>
      </c>
      <c r="BL630" s="36">
        <v>0</v>
      </c>
      <c r="BM630" s="36">
        <v>0</v>
      </c>
      <c r="BN630" s="36">
        <v>0</v>
      </c>
      <c r="BO630" s="36">
        <v>0</v>
      </c>
      <c r="BP630" s="36">
        <v>0</v>
      </c>
      <c r="BQ630" s="36">
        <v>0</v>
      </c>
      <c r="BR630" s="36">
        <v>0</v>
      </c>
      <c r="BS630" s="36">
        <v>0</v>
      </c>
      <c r="BT630" s="36">
        <v>0</v>
      </c>
      <c r="BU630" s="36">
        <v>0</v>
      </c>
      <c r="BV630" s="36">
        <v>0</v>
      </c>
      <c r="BW630" s="36">
        <v>0</v>
      </c>
      <c r="BX630" s="36">
        <v>0</v>
      </c>
      <c r="BY630" s="36">
        <v>0</v>
      </c>
      <c r="BZ630" s="37">
        <v>0</v>
      </c>
      <c r="CA630" s="305">
        <v>0</v>
      </c>
      <c r="CB630" s="306">
        <v>0</v>
      </c>
      <c r="CC630" s="306">
        <v>0</v>
      </c>
      <c r="CD630" s="306">
        <v>0</v>
      </c>
      <c r="CE630" s="306">
        <v>0</v>
      </c>
      <c r="CF630" s="306">
        <v>0</v>
      </c>
      <c r="CG630" s="306">
        <v>0</v>
      </c>
      <c r="CH630" s="306">
        <v>0</v>
      </c>
      <c r="CI630" s="306">
        <v>0</v>
      </c>
      <c r="CJ630" s="306">
        <v>0</v>
      </c>
    </row>
    <row r="631" spans="1:88" s="3" customFormat="1" ht="18" customHeight="1" x14ac:dyDescent="0.2">
      <c r="A631" s="39">
        <v>18</v>
      </c>
      <c r="B631" s="35">
        <v>-1</v>
      </c>
      <c r="C631" s="36">
        <v>-1</v>
      </c>
      <c r="D631" s="36">
        <v>-1</v>
      </c>
      <c r="E631" s="36">
        <v>0</v>
      </c>
      <c r="F631" s="36">
        <v>0</v>
      </c>
      <c r="G631" s="36">
        <v>0</v>
      </c>
      <c r="H631" s="36">
        <v>-1</v>
      </c>
      <c r="I631" s="36">
        <v>-1</v>
      </c>
      <c r="J631" s="36">
        <v>-1</v>
      </c>
      <c r="K631" s="36">
        <v>0</v>
      </c>
      <c r="L631" s="36">
        <v>0</v>
      </c>
      <c r="M631" s="36">
        <v>0</v>
      </c>
      <c r="N631" s="36">
        <v>-1</v>
      </c>
      <c r="O631" s="36">
        <v>0</v>
      </c>
      <c r="P631" s="36">
        <v>0</v>
      </c>
      <c r="Q631" s="36">
        <v>0</v>
      </c>
      <c r="R631" s="36">
        <v>0</v>
      </c>
      <c r="S631" s="36">
        <v>0</v>
      </c>
      <c r="T631" s="36">
        <v>0</v>
      </c>
      <c r="U631" s="36">
        <v>0</v>
      </c>
      <c r="V631" s="36">
        <v>0</v>
      </c>
      <c r="W631" s="36">
        <v>0</v>
      </c>
      <c r="X631" s="36">
        <v>1</v>
      </c>
      <c r="Y631" s="36">
        <v>0</v>
      </c>
      <c r="Z631" s="36">
        <v>0</v>
      </c>
      <c r="AA631" s="36">
        <v>0</v>
      </c>
      <c r="AB631" s="36">
        <v>0</v>
      </c>
      <c r="AC631" s="36">
        <v>0</v>
      </c>
      <c r="AD631" s="36">
        <v>0</v>
      </c>
      <c r="AE631" s="36">
        <v>0</v>
      </c>
      <c r="AF631" s="36">
        <v>0</v>
      </c>
      <c r="AG631" s="36">
        <v>0</v>
      </c>
      <c r="AH631" s="36">
        <v>0</v>
      </c>
      <c r="AI631" s="36">
        <v>0</v>
      </c>
      <c r="AJ631" s="36">
        <v>0</v>
      </c>
      <c r="AK631" s="36">
        <v>0</v>
      </c>
      <c r="AL631" s="36">
        <v>0</v>
      </c>
      <c r="AM631" s="36">
        <v>0</v>
      </c>
      <c r="AN631" s="36">
        <v>0</v>
      </c>
      <c r="AO631" s="36">
        <v>0</v>
      </c>
      <c r="AP631" s="36">
        <v>0</v>
      </c>
      <c r="AQ631" s="36">
        <v>0</v>
      </c>
      <c r="AR631" s="36">
        <v>0</v>
      </c>
      <c r="AS631" s="36">
        <v>0</v>
      </c>
      <c r="AT631" s="36">
        <v>0</v>
      </c>
      <c r="AU631" s="36">
        <v>0</v>
      </c>
      <c r="AV631" s="36">
        <v>1</v>
      </c>
      <c r="AW631" s="36">
        <v>0</v>
      </c>
      <c r="AX631" s="36">
        <v>0</v>
      </c>
      <c r="AY631" s="36">
        <v>0</v>
      </c>
      <c r="AZ631" s="36">
        <v>0</v>
      </c>
      <c r="BA631" s="36">
        <v>0</v>
      </c>
      <c r="BB631" s="36">
        <v>0</v>
      </c>
      <c r="BC631" s="36">
        <v>0</v>
      </c>
      <c r="BD631" s="36">
        <v>0</v>
      </c>
      <c r="BE631" s="36">
        <v>0</v>
      </c>
      <c r="BF631" s="36">
        <v>0</v>
      </c>
      <c r="BG631" s="36">
        <v>0</v>
      </c>
      <c r="BH631" s="36">
        <v>0</v>
      </c>
      <c r="BI631" s="36">
        <v>0</v>
      </c>
      <c r="BJ631" s="36">
        <v>0</v>
      </c>
      <c r="BK631" s="36">
        <v>0</v>
      </c>
      <c r="BL631" s="36">
        <v>0</v>
      </c>
      <c r="BM631" s="36">
        <v>0</v>
      </c>
      <c r="BN631" s="36">
        <v>0</v>
      </c>
      <c r="BO631" s="36">
        <v>0</v>
      </c>
      <c r="BP631" s="36">
        <v>0</v>
      </c>
      <c r="BQ631" s="36">
        <v>0</v>
      </c>
      <c r="BR631" s="36">
        <v>0</v>
      </c>
      <c r="BS631" s="36">
        <v>0</v>
      </c>
      <c r="BT631" s="36">
        <v>0</v>
      </c>
      <c r="BU631" s="36">
        <v>0</v>
      </c>
      <c r="BV631" s="36">
        <v>0</v>
      </c>
      <c r="BW631" s="36">
        <v>0</v>
      </c>
      <c r="BX631" s="36">
        <v>0</v>
      </c>
      <c r="BY631" s="36">
        <v>0</v>
      </c>
      <c r="BZ631" s="37">
        <v>0</v>
      </c>
      <c r="CA631" s="305">
        <v>0</v>
      </c>
      <c r="CB631" s="306">
        <v>0</v>
      </c>
      <c r="CC631" s="306">
        <v>0</v>
      </c>
      <c r="CD631" s="306">
        <v>0</v>
      </c>
      <c r="CE631" s="306">
        <v>0</v>
      </c>
      <c r="CF631" s="306">
        <v>0</v>
      </c>
      <c r="CG631" s="306">
        <v>0</v>
      </c>
      <c r="CH631" s="306">
        <v>0</v>
      </c>
      <c r="CI631" s="306">
        <v>0</v>
      </c>
      <c r="CJ631" s="306">
        <v>0</v>
      </c>
    </row>
    <row r="632" spans="1:88" s="3" customFormat="1" ht="18" customHeight="1" x14ac:dyDescent="0.2">
      <c r="A632" s="39">
        <v>19</v>
      </c>
      <c r="B632" s="35">
        <v>-1</v>
      </c>
      <c r="C632" s="36">
        <v>-1</v>
      </c>
      <c r="D632" s="36">
        <v>-1</v>
      </c>
      <c r="E632" s="36">
        <v>0</v>
      </c>
      <c r="F632" s="36">
        <v>0</v>
      </c>
      <c r="G632" s="36">
        <v>0</v>
      </c>
      <c r="H632" s="36">
        <v>-1</v>
      </c>
      <c r="I632" s="36">
        <v>-1</v>
      </c>
      <c r="J632" s="36">
        <v>-1</v>
      </c>
      <c r="K632" s="36">
        <v>0</v>
      </c>
      <c r="L632" s="36">
        <v>0</v>
      </c>
      <c r="M632" s="36">
        <v>0</v>
      </c>
      <c r="N632" s="36">
        <v>0</v>
      </c>
      <c r="O632" s="36">
        <v>-1</v>
      </c>
      <c r="P632" s="36">
        <v>0</v>
      </c>
      <c r="Q632" s="36">
        <v>0</v>
      </c>
      <c r="R632" s="36">
        <v>0</v>
      </c>
      <c r="S632" s="36">
        <v>0</v>
      </c>
      <c r="T632" s="36">
        <v>0</v>
      </c>
      <c r="U632" s="36">
        <v>0</v>
      </c>
      <c r="V632" s="36">
        <v>0</v>
      </c>
      <c r="W632" s="36">
        <v>0</v>
      </c>
      <c r="X632" s="36">
        <v>0</v>
      </c>
      <c r="Y632" s="36">
        <v>1</v>
      </c>
      <c r="Z632" s="36">
        <v>0</v>
      </c>
      <c r="AA632" s="36">
        <v>0</v>
      </c>
      <c r="AB632" s="36">
        <v>0</v>
      </c>
      <c r="AC632" s="36">
        <v>0</v>
      </c>
      <c r="AD632" s="36">
        <v>0</v>
      </c>
      <c r="AE632" s="36">
        <v>0</v>
      </c>
      <c r="AF632" s="36">
        <v>0</v>
      </c>
      <c r="AG632" s="36">
        <v>0</v>
      </c>
      <c r="AH632" s="36">
        <v>0</v>
      </c>
      <c r="AI632" s="36">
        <v>0</v>
      </c>
      <c r="AJ632" s="36">
        <v>0</v>
      </c>
      <c r="AK632" s="36">
        <v>0</v>
      </c>
      <c r="AL632" s="36">
        <v>0</v>
      </c>
      <c r="AM632" s="36">
        <v>0</v>
      </c>
      <c r="AN632" s="36">
        <v>0</v>
      </c>
      <c r="AO632" s="36">
        <v>0</v>
      </c>
      <c r="AP632" s="36">
        <v>0</v>
      </c>
      <c r="AQ632" s="36">
        <v>0</v>
      </c>
      <c r="AR632" s="36">
        <v>0</v>
      </c>
      <c r="AS632" s="36">
        <v>0</v>
      </c>
      <c r="AT632" s="36">
        <v>0</v>
      </c>
      <c r="AU632" s="36">
        <v>0</v>
      </c>
      <c r="AV632" s="36">
        <v>0</v>
      </c>
      <c r="AW632" s="36">
        <v>1</v>
      </c>
      <c r="AX632" s="36">
        <v>0</v>
      </c>
      <c r="AY632" s="36">
        <v>0</v>
      </c>
      <c r="AZ632" s="36">
        <v>0</v>
      </c>
      <c r="BA632" s="36">
        <v>0</v>
      </c>
      <c r="BB632" s="36">
        <v>0</v>
      </c>
      <c r="BC632" s="36">
        <v>0</v>
      </c>
      <c r="BD632" s="36">
        <v>0</v>
      </c>
      <c r="BE632" s="36">
        <v>0</v>
      </c>
      <c r="BF632" s="36">
        <v>0</v>
      </c>
      <c r="BG632" s="36">
        <v>0</v>
      </c>
      <c r="BH632" s="36">
        <v>0</v>
      </c>
      <c r="BI632" s="36">
        <v>0</v>
      </c>
      <c r="BJ632" s="36">
        <v>0</v>
      </c>
      <c r="BK632" s="36">
        <v>0</v>
      </c>
      <c r="BL632" s="36">
        <v>0</v>
      </c>
      <c r="BM632" s="36">
        <v>0</v>
      </c>
      <c r="BN632" s="36">
        <v>0</v>
      </c>
      <c r="BO632" s="36">
        <v>0</v>
      </c>
      <c r="BP632" s="36">
        <v>0</v>
      </c>
      <c r="BQ632" s="36">
        <v>0</v>
      </c>
      <c r="BR632" s="36">
        <v>0</v>
      </c>
      <c r="BS632" s="36">
        <v>0</v>
      </c>
      <c r="BT632" s="36">
        <v>0</v>
      </c>
      <c r="BU632" s="36">
        <v>0</v>
      </c>
      <c r="BV632" s="36">
        <v>0</v>
      </c>
      <c r="BW632" s="36">
        <v>0</v>
      </c>
      <c r="BX632" s="36">
        <v>0</v>
      </c>
      <c r="BY632" s="36">
        <v>0</v>
      </c>
      <c r="BZ632" s="37">
        <v>0</v>
      </c>
      <c r="CA632" s="305">
        <v>0</v>
      </c>
      <c r="CB632" s="306">
        <v>0</v>
      </c>
      <c r="CC632" s="306">
        <v>0</v>
      </c>
      <c r="CD632" s="306">
        <v>0</v>
      </c>
      <c r="CE632" s="306">
        <v>0</v>
      </c>
      <c r="CF632" s="306">
        <v>0</v>
      </c>
      <c r="CG632" s="306">
        <v>0</v>
      </c>
      <c r="CH632" s="306">
        <v>0</v>
      </c>
      <c r="CI632" s="306">
        <v>0</v>
      </c>
      <c r="CJ632" s="306">
        <v>0</v>
      </c>
    </row>
    <row r="633" spans="1:88" s="3" customFormat="1" ht="18" customHeight="1" x14ac:dyDescent="0.2">
      <c r="A633" s="39">
        <v>20</v>
      </c>
      <c r="B633" s="35">
        <v>-1</v>
      </c>
      <c r="C633" s="36">
        <v>-1</v>
      </c>
      <c r="D633" s="36">
        <v>-1</v>
      </c>
      <c r="E633" s="36">
        <v>0</v>
      </c>
      <c r="F633" s="36">
        <v>0</v>
      </c>
      <c r="G633" s="36">
        <v>0</v>
      </c>
      <c r="H633" s="36">
        <v>-1</v>
      </c>
      <c r="I633" s="36">
        <v>-1</v>
      </c>
      <c r="J633" s="36">
        <v>-1</v>
      </c>
      <c r="K633" s="36">
        <v>0</v>
      </c>
      <c r="L633" s="36">
        <v>0</v>
      </c>
      <c r="M633" s="36">
        <v>0</v>
      </c>
      <c r="N633" s="36">
        <v>0</v>
      </c>
      <c r="O633" s="36">
        <v>0</v>
      </c>
      <c r="P633" s="36">
        <v>-1</v>
      </c>
      <c r="Q633" s="36">
        <v>0</v>
      </c>
      <c r="R633" s="36">
        <v>0</v>
      </c>
      <c r="S633" s="36">
        <v>0</v>
      </c>
      <c r="T633" s="36">
        <v>0</v>
      </c>
      <c r="U633" s="36">
        <v>0</v>
      </c>
      <c r="V633" s="36">
        <v>0</v>
      </c>
      <c r="W633" s="36">
        <v>0</v>
      </c>
      <c r="X633" s="36">
        <v>0</v>
      </c>
      <c r="Y633" s="36">
        <v>0</v>
      </c>
      <c r="Z633" s="36">
        <v>1</v>
      </c>
      <c r="AA633" s="36">
        <v>0</v>
      </c>
      <c r="AB633" s="36">
        <v>0</v>
      </c>
      <c r="AC633" s="36">
        <v>0</v>
      </c>
      <c r="AD633" s="36">
        <v>0</v>
      </c>
      <c r="AE633" s="36">
        <v>0</v>
      </c>
      <c r="AF633" s="36">
        <v>0</v>
      </c>
      <c r="AG633" s="36">
        <v>0</v>
      </c>
      <c r="AH633" s="36">
        <v>0</v>
      </c>
      <c r="AI633" s="36">
        <v>0</v>
      </c>
      <c r="AJ633" s="36">
        <v>0</v>
      </c>
      <c r="AK633" s="36">
        <v>0</v>
      </c>
      <c r="AL633" s="36">
        <v>0</v>
      </c>
      <c r="AM633" s="36">
        <v>0</v>
      </c>
      <c r="AN633" s="36">
        <v>0</v>
      </c>
      <c r="AO633" s="36">
        <v>0</v>
      </c>
      <c r="AP633" s="36">
        <v>0</v>
      </c>
      <c r="AQ633" s="36">
        <v>0</v>
      </c>
      <c r="AR633" s="36">
        <v>0</v>
      </c>
      <c r="AS633" s="36">
        <v>0</v>
      </c>
      <c r="AT633" s="36">
        <v>0</v>
      </c>
      <c r="AU633" s="36">
        <v>0</v>
      </c>
      <c r="AV633" s="36">
        <v>0</v>
      </c>
      <c r="AW633" s="36">
        <v>0</v>
      </c>
      <c r="AX633" s="36">
        <v>1</v>
      </c>
      <c r="AY633" s="36">
        <v>0</v>
      </c>
      <c r="AZ633" s="36">
        <v>0</v>
      </c>
      <c r="BA633" s="36">
        <v>0</v>
      </c>
      <c r="BB633" s="36">
        <v>0</v>
      </c>
      <c r="BC633" s="36">
        <v>0</v>
      </c>
      <c r="BD633" s="36">
        <v>0</v>
      </c>
      <c r="BE633" s="36">
        <v>0</v>
      </c>
      <c r="BF633" s="36">
        <v>0</v>
      </c>
      <c r="BG633" s="36">
        <v>0</v>
      </c>
      <c r="BH633" s="36">
        <v>0</v>
      </c>
      <c r="BI633" s="36">
        <v>0</v>
      </c>
      <c r="BJ633" s="36">
        <v>0</v>
      </c>
      <c r="BK633" s="36">
        <v>0</v>
      </c>
      <c r="BL633" s="36">
        <v>0</v>
      </c>
      <c r="BM633" s="36">
        <v>0</v>
      </c>
      <c r="BN633" s="36">
        <v>0</v>
      </c>
      <c r="BO633" s="36">
        <v>0</v>
      </c>
      <c r="BP633" s="36">
        <v>0</v>
      </c>
      <c r="BQ633" s="36">
        <v>0</v>
      </c>
      <c r="BR633" s="36">
        <v>0</v>
      </c>
      <c r="BS633" s="36">
        <v>0</v>
      </c>
      <c r="BT633" s="36">
        <v>0</v>
      </c>
      <c r="BU633" s="36">
        <v>0</v>
      </c>
      <c r="BV633" s="36">
        <v>0</v>
      </c>
      <c r="BW633" s="36">
        <v>0</v>
      </c>
      <c r="BX633" s="36">
        <v>0</v>
      </c>
      <c r="BY633" s="36">
        <v>0</v>
      </c>
      <c r="BZ633" s="37">
        <v>0</v>
      </c>
      <c r="CA633" s="305">
        <v>0</v>
      </c>
      <c r="CB633" s="306">
        <v>0</v>
      </c>
      <c r="CC633" s="306">
        <v>0</v>
      </c>
      <c r="CD633" s="306">
        <v>0</v>
      </c>
      <c r="CE633" s="306">
        <v>0</v>
      </c>
      <c r="CF633" s="306">
        <v>0</v>
      </c>
      <c r="CG633" s="306">
        <v>0</v>
      </c>
      <c r="CH633" s="306">
        <v>0</v>
      </c>
      <c r="CI633" s="306">
        <v>0</v>
      </c>
      <c r="CJ633" s="306">
        <v>0</v>
      </c>
    </row>
    <row r="634" spans="1:88" s="3" customFormat="1" ht="18" customHeight="1" x14ac:dyDescent="0.2">
      <c r="A634" s="39">
        <v>21</v>
      </c>
      <c r="B634" s="35">
        <v>-1</v>
      </c>
      <c r="C634" s="36">
        <v>-1</v>
      </c>
      <c r="D634" s="36">
        <v>-1</v>
      </c>
      <c r="E634" s="36">
        <v>0</v>
      </c>
      <c r="F634" s="36">
        <v>0</v>
      </c>
      <c r="G634" s="36">
        <v>0</v>
      </c>
      <c r="H634" s="36">
        <v>-1</v>
      </c>
      <c r="I634" s="36">
        <v>-1</v>
      </c>
      <c r="J634" s="36">
        <v>-1</v>
      </c>
      <c r="K634" s="36">
        <v>0</v>
      </c>
      <c r="L634" s="36">
        <v>0</v>
      </c>
      <c r="M634" s="36">
        <v>0</v>
      </c>
      <c r="N634" s="36">
        <v>0</v>
      </c>
      <c r="O634" s="36">
        <v>0</v>
      </c>
      <c r="P634" s="36">
        <v>0</v>
      </c>
      <c r="Q634" s="36">
        <v>-1</v>
      </c>
      <c r="R634" s="36">
        <v>0</v>
      </c>
      <c r="S634" s="36">
        <v>0</v>
      </c>
      <c r="T634" s="36">
        <v>0</v>
      </c>
      <c r="U634" s="36">
        <v>0</v>
      </c>
      <c r="V634" s="36">
        <v>0</v>
      </c>
      <c r="W634" s="36">
        <v>0</v>
      </c>
      <c r="X634" s="36">
        <v>0</v>
      </c>
      <c r="Y634" s="36">
        <v>0</v>
      </c>
      <c r="Z634" s="36">
        <v>0</v>
      </c>
      <c r="AA634" s="36">
        <v>1</v>
      </c>
      <c r="AB634" s="36">
        <v>0</v>
      </c>
      <c r="AC634" s="36">
        <v>0</v>
      </c>
      <c r="AD634" s="36">
        <v>0</v>
      </c>
      <c r="AE634" s="36">
        <v>0</v>
      </c>
      <c r="AF634" s="36">
        <v>0</v>
      </c>
      <c r="AG634" s="36">
        <v>0</v>
      </c>
      <c r="AH634" s="36">
        <v>0</v>
      </c>
      <c r="AI634" s="36">
        <v>0</v>
      </c>
      <c r="AJ634" s="36">
        <v>0</v>
      </c>
      <c r="AK634" s="36">
        <v>0</v>
      </c>
      <c r="AL634" s="36">
        <v>0</v>
      </c>
      <c r="AM634" s="36">
        <v>0</v>
      </c>
      <c r="AN634" s="36">
        <v>0</v>
      </c>
      <c r="AO634" s="36">
        <v>0</v>
      </c>
      <c r="AP634" s="36">
        <v>0</v>
      </c>
      <c r="AQ634" s="36">
        <v>0</v>
      </c>
      <c r="AR634" s="36">
        <v>0</v>
      </c>
      <c r="AS634" s="36">
        <v>0</v>
      </c>
      <c r="AT634" s="36">
        <v>0</v>
      </c>
      <c r="AU634" s="36">
        <v>0</v>
      </c>
      <c r="AV634" s="36">
        <v>0</v>
      </c>
      <c r="AW634" s="36">
        <v>0</v>
      </c>
      <c r="AX634" s="36">
        <v>0</v>
      </c>
      <c r="AY634" s="36">
        <v>1</v>
      </c>
      <c r="AZ634" s="36">
        <v>0</v>
      </c>
      <c r="BA634" s="36">
        <v>0</v>
      </c>
      <c r="BB634" s="36">
        <v>0</v>
      </c>
      <c r="BC634" s="36">
        <v>0</v>
      </c>
      <c r="BD634" s="36">
        <v>0</v>
      </c>
      <c r="BE634" s="36">
        <v>0</v>
      </c>
      <c r="BF634" s="36">
        <v>0</v>
      </c>
      <c r="BG634" s="36">
        <v>0</v>
      </c>
      <c r="BH634" s="36">
        <v>0</v>
      </c>
      <c r="BI634" s="36">
        <v>0</v>
      </c>
      <c r="BJ634" s="36">
        <v>0</v>
      </c>
      <c r="BK634" s="36">
        <v>0</v>
      </c>
      <c r="BL634" s="36">
        <v>0</v>
      </c>
      <c r="BM634" s="36">
        <v>0</v>
      </c>
      <c r="BN634" s="36">
        <v>0</v>
      </c>
      <c r="BO634" s="36">
        <v>0</v>
      </c>
      <c r="BP634" s="36">
        <v>0</v>
      </c>
      <c r="BQ634" s="36">
        <v>0</v>
      </c>
      <c r="BR634" s="36">
        <v>0</v>
      </c>
      <c r="BS634" s="36">
        <v>0</v>
      </c>
      <c r="BT634" s="36">
        <v>0</v>
      </c>
      <c r="BU634" s="36">
        <v>0</v>
      </c>
      <c r="BV634" s="36">
        <v>0</v>
      </c>
      <c r="BW634" s="36">
        <v>0</v>
      </c>
      <c r="BX634" s="36">
        <v>0</v>
      </c>
      <c r="BY634" s="36">
        <v>0</v>
      </c>
      <c r="BZ634" s="37">
        <v>0</v>
      </c>
      <c r="CA634" s="305">
        <v>0</v>
      </c>
      <c r="CB634" s="306">
        <v>0</v>
      </c>
      <c r="CC634" s="306">
        <v>0</v>
      </c>
      <c r="CD634" s="306">
        <v>0</v>
      </c>
      <c r="CE634" s="306">
        <v>0</v>
      </c>
      <c r="CF634" s="306">
        <v>0</v>
      </c>
      <c r="CG634" s="306">
        <v>0</v>
      </c>
      <c r="CH634" s="306">
        <v>0</v>
      </c>
      <c r="CI634" s="306">
        <v>0</v>
      </c>
      <c r="CJ634" s="306">
        <v>0</v>
      </c>
    </row>
    <row r="635" spans="1:88" s="3" customFormat="1" ht="18" customHeight="1" x14ac:dyDescent="0.2">
      <c r="A635" s="39">
        <v>22</v>
      </c>
      <c r="B635" s="35">
        <v>-1</v>
      </c>
      <c r="C635" s="36">
        <v>-1</v>
      </c>
      <c r="D635" s="36">
        <v>-1</v>
      </c>
      <c r="E635" s="36">
        <v>0</v>
      </c>
      <c r="F635" s="36">
        <v>0</v>
      </c>
      <c r="G635" s="36">
        <v>0</v>
      </c>
      <c r="H635" s="36">
        <v>-1</v>
      </c>
      <c r="I635" s="36">
        <v>-1</v>
      </c>
      <c r="J635" s="36">
        <v>-1</v>
      </c>
      <c r="K635" s="36">
        <v>0</v>
      </c>
      <c r="L635" s="36">
        <v>0</v>
      </c>
      <c r="M635" s="36">
        <v>0</v>
      </c>
      <c r="N635" s="36">
        <v>0</v>
      </c>
      <c r="O635" s="36">
        <v>0</v>
      </c>
      <c r="P635" s="36">
        <v>0</v>
      </c>
      <c r="Q635" s="36">
        <v>0</v>
      </c>
      <c r="R635" s="36">
        <v>0</v>
      </c>
      <c r="S635" s="36">
        <v>-1</v>
      </c>
      <c r="T635" s="36">
        <v>0</v>
      </c>
      <c r="U635" s="36">
        <v>0</v>
      </c>
      <c r="V635" s="36">
        <v>0</v>
      </c>
      <c r="W635" s="36">
        <v>0</v>
      </c>
      <c r="X635" s="36">
        <v>0</v>
      </c>
      <c r="Y635" s="36">
        <v>0</v>
      </c>
      <c r="Z635" s="36">
        <v>0</v>
      </c>
      <c r="AA635" s="36">
        <v>0</v>
      </c>
      <c r="AB635" s="36">
        <v>0</v>
      </c>
      <c r="AC635" s="36">
        <v>1</v>
      </c>
      <c r="AD635" s="36">
        <v>0</v>
      </c>
      <c r="AE635" s="36">
        <v>0</v>
      </c>
      <c r="AF635" s="36">
        <v>0</v>
      </c>
      <c r="AG635" s="36">
        <v>0</v>
      </c>
      <c r="AH635" s="36">
        <v>0</v>
      </c>
      <c r="AI635" s="36">
        <v>0</v>
      </c>
      <c r="AJ635" s="36">
        <v>0</v>
      </c>
      <c r="AK635" s="36">
        <v>0</v>
      </c>
      <c r="AL635" s="36">
        <v>0</v>
      </c>
      <c r="AM635" s="36">
        <v>0</v>
      </c>
      <c r="AN635" s="36">
        <v>0</v>
      </c>
      <c r="AO635" s="36">
        <v>0</v>
      </c>
      <c r="AP635" s="36">
        <v>0</v>
      </c>
      <c r="AQ635" s="36">
        <v>0</v>
      </c>
      <c r="AR635" s="36">
        <v>0</v>
      </c>
      <c r="AS635" s="36">
        <v>0</v>
      </c>
      <c r="AT635" s="36">
        <v>0</v>
      </c>
      <c r="AU635" s="36">
        <v>0</v>
      </c>
      <c r="AV635" s="36">
        <v>0</v>
      </c>
      <c r="AW635" s="36">
        <v>0</v>
      </c>
      <c r="AX635" s="36">
        <v>0</v>
      </c>
      <c r="AY635" s="36">
        <v>0</v>
      </c>
      <c r="AZ635" s="36">
        <v>1</v>
      </c>
      <c r="BA635" s="36">
        <v>0</v>
      </c>
      <c r="BB635" s="36">
        <v>0</v>
      </c>
      <c r="BC635" s="36">
        <v>0</v>
      </c>
      <c r="BD635" s="36">
        <v>0</v>
      </c>
      <c r="BE635" s="36">
        <v>0</v>
      </c>
      <c r="BF635" s="36">
        <v>0</v>
      </c>
      <c r="BG635" s="36">
        <v>0</v>
      </c>
      <c r="BH635" s="36">
        <v>0</v>
      </c>
      <c r="BI635" s="36">
        <v>0</v>
      </c>
      <c r="BJ635" s="36">
        <v>0</v>
      </c>
      <c r="BK635" s="36">
        <v>0</v>
      </c>
      <c r="BL635" s="36">
        <v>0</v>
      </c>
      <c r="BM635" s="36">
        <v>0</v>
      </c>
      <c r="BN635" s="36">
        <v>0</v>
      </c>
      <c r="BO635" s="36">
        <v>0</v>
      </c>
      <c r="BP635" s="36">
        <v>0</v>
      </c>
      <c r="BQ635" s="36">
        <v>0</v>
      </c>
      <c r="BR635" s="36">
        <v>0</v>
      </c>
      <c r="BS635" s="36">
        <v>0</v>
      </c>
      <c r="BT635" s="36">
        <v>0</v>
      </c>
      <c r="BU635" s="36">
        <v>0</v>
      </c>
      <c r="BV635" s="36">
        <v>0</v>
      </c>
      <c r="BW635" s="36">
        <v>0</v>
      </c>
      <c r="BX635" s="36">
        <v>0</v>
      </c>
      <c r="BY635" s="36">
        <v>0</v>
      </c>
      <c r="BZ635" s="37">
        <v>0</v>
      </c>
      <c r="CA635" s="305">
        <v>0</v>
      </c>
      <c r="CB635" s="306">
        <v>0</v>
      </c>
      <c r="CC635" s="306">
        <v>0</v>
      </c>
      <c r="CD635" s="306">
        <v>0</v>
      </c>
      <c r="CE635" s="306">
        <v>0</v>
      </c>
      <c r="CF635" s="306">
        <v>0</v>
      </c>
      <c r="CG635" s="306">
        <v>0</v>
      </c>
      <c r="CH635" s="306">
        <v>0</v>
      </c>
      <c r="CI635" s="306">
        <v>0</v>
      </c>
      <c r="CJ635" s="306">
        <v>0</v>
      </c>
    </row>
    <row r="636" spans="1:88" s="3" customFormat="1" ht="18" customHeight="1" x14ac:dyDescent="0.2">
      <c r="A636" s="39">
        <v>23</v>
      </c>
      <c r="B636" s="35">
        <v>-1</v>
      </c>
      <c r="C636" s="36">
        <v>-1</v>
      </c>
      <c r="D636" s="36">
        <v>-1</v>
      </c>
      <c r="E636" s="36">
        <v>0</v>
      </c>
      <c r="F636" s="36">
        <v>0</v>
      </c>
      <c r="G636" s="36">
        <v>0</v>
      </c>
      <c r="H636" s="36">
        <v>-1</v>
      </c>
      <c r="I636" s="36">
        <v>-1</v>
      </c>
      <c r="J636" s="36">
        <v>-1</v>
      </c>
      <c r="K636" s="36">
        <v>-1</v>
      </c>
      <c r="L636" s="36">
        <v>0</v>
      </c>
      <c r="M636" s="36">
        <v>0</v>
      </c>
      <c r="N636" s="36">
        <v>0</v>
      </c>
      <c r="O636" s="36">
        <v>0</v>
      </c>
      <c r="P636" s="36">
        <v>0</v>
      </c>
      <c r="Q636" s="36">
        <v>0</v>
      </c>
      <c r="R636" s="36">
        <v>0</v>
      </c>
      <c r="S636" s="36">
        <v>0</v>
      </c>
      <c r="T636" s="36">
        <v>0</v>
      </c>
      <c r="U636" s="36">
        <v>1</v>
      </c>
      <c r="V636" s="36">
        <v>0</v>
      </c>
      <c r="W636" s="36">
        <v>0</v>
      </c>
      <c r="X636" s="36">
        <v>0</v>
      </c>
      <c r="Y636" s="36">
        <v>0</v>
      </c>
      <c r="Z636" s="36">
        <v>0</v>
      </c>
      <c r="AA636" s="36">
        <v>0</v>
      </c>
      <c r="AB636" s="36">
        <v>0</v>
      </c>
      <c r="AC636" s="36">
        <v>0</v>
      </c>
      <c r="AD636" s="36">
        <v>0</v>
      </c>
      <c r="AE636" s="36">
        <v>0</v>
      </c>
      <c r="AF636" s="36">
        <v>0</v>
      </c>
      <c r="AG636" s="36">
        <v>0</v>
      </c>
      <c r="AH636" s="36">
        <v>0</v>
      </c>
      <c r="AI636" s="36">
        <v>0</v>
      </c>
      <c r="AJ636" s="36">
        <v>0</v>
      </c>
      <c r="AK636" s="36">
        <v>0</v>
      </c>
      <c r="AL636" s="36">
        <v>0</v>
      </c>
      <c r="AM636" s="36">
        <v>0</v>
      </c>
      <c r="AN636" s="36">
        <v>0</v>
      </c>
      <c r="AO636" s="36">
        <v>0</v>
      </c>
      <c r="AP636" s="36">
        <v>0</v>
      </c>
      <c r="AQ636" s="36">
        <v>0</v>
      </c>
      <c r="AR636" s="36">
        <v>0</v>
      </c>
      <c r="AS636" s="36">
        <v>0</v>
      </c>
      <c r="AT636" s="36">
        <v>0</v>
      </c>
      <c r="AU636" s="36">
        <v>0</v>
      </c>
      <c r="AV636" s="36">
        <v>0</v>
      </c>
      <c r="AW636" s="36">
        <v>0</v>
      </c>
      <c r="AX636" s="36">
        <v>0</v>
      </c>
      <c r="AY636" s="36">
        <v>0</v>
      </c>
      <c r="AZ636" s="36">
        <v>0</v>
      </c>
      <c r="BA636" s="36">
        <v>1</v>
      </c>
      <c r="BB636" s="36">
        <v>0</v>
      </c>
      <c r="BC636" s="36">
        <v>0</v>
      </c>
      <c r="BD636" s="36">
        <v>0</v>
      </c>
      <c r="BE636" s="36">
        <v>0</v>
      </c>
      <c r="BF636" s="36">
        <v>0</v>
      </c>
      <c r="BG636" s="36">
        <v>0</v>
      </c>
      <c r="BH636" s="36">
        <v>0</v>
      </c>
      <c r="BI636" s="36">
        <v>0</v>
      </c>
      <c r="BJ636" s="36">
        <v>0</v>
      </c>
      <c r="BK636" s="36">
        <v>0</v>
      </c>
      <c r="BL636" s="36">
        <v>0</v>
      </c>
      <c r="BM636" s="36">
        <v>0</v>
      </c>
      <c r="BN636" s="36">
        <v>0</v>
      </c>
      <c r="BO636" s="36">
        <v>0</v>
      </c>
      <c r="BP636" s="36">
        <v>0</v>
      </c>
      <c r="BQ636" s="36">
        <v>0</v>
      </c>
      <c r="BR636" s="36">
        <v>0</v>
      </c>
      <c r="BS636" s="36">
        <v>0</v>
      </c>
      <c r="BT636" s="36">
        <v>0</v>
      </c>
      <c r="BU636" s="36">
        <v>0</v>
      </c>
      <c r="BV636" s="36">
        <v>0</v>
      </c>
      <c r="BW636" s="36">
        <v>0</v>
      </c>
      <c r="BX636" s="36">
        <v>0</v>
      </c>
      <c r="BY636" s="36">
        <v>0</v>
      </c>
      <c r="BZ636" s="37">
        <v>0</v>
      </c>
      <c r="CA636" s="305">
        <v>0</v>
      </c>
      <c r="CB636" s="306">
        <v>0</v>
      </c>
      <c r="CC636" s="306">
        <v>0</v>
      </c>
      <c r="CD636" s="306">
        <v>0</v>
      </c>
      <c r="CE636" s="306">
        <v>0</v>
      </c>
      <c r="CF636" s="306">
        <v>0</v>
      </c>
      <c r="CG636" s="306">
        <v>0</v>
      </c>
      <c r="CH636" s="306">
        <v>0</v>
      </c>
      <c r="CI636" s="306">
        <v>0</v>
      </c>
      <c r="CJ636" s="306">
        <v>0</v>
      </c>
    </row>
    <row r="637" spans="1:88" s="3" customFormat="1" ht="18" customHeight="1" x14ac:dyDescent="0.2">
      <c r="A637" s="39">
        <v>24</v>
      </c>
      <c r="B637" s="35">
        <v>-1</v>
      </c>
      <c r="C637" s="36">
        <v>-1</v>
      </c>
      <c r="D637" s="36">
        <v>-1</v>
      </c>
      <c r="E637" s="36">
        <v>0</v>
      </c>
      <c r="F637" s="36">
        <v>0</v>
      </c>
      <c r="G637" s="36">
        <v>0</v>
      </c>
      <c r="H637" s="36">
        <v>-1</v>
      </c>
      <c r="I637" s="36">
        <v>-1</v>
      </c>
      <c r="J637" s="36">
        <v>-1</v>
      </c>
      <c r="K637" s="36">
        <v>0</v>
      </c>
      <c r="L637" s="36">
        <v>-1</v>
      </c>
      <c r="M637" s="36">
        <v>0</v>
      </c>
      <c r="N637" s="36">
        <v>0</v>
      </c>
      <c r="O637" s="36">
        <v>0</v>
      </c>
      <c r="P637" s="36">
        <v>0</v>
      </c>
      <c r="Q637" s="36">
        <v>0</v>
      </c>
      <c r="R637" s="36">
        <v>0</v>
      </c>
      <c r="S637" s="36">
        <v>0</v>
      </c>
      <c r="T637" s="36">
        <v>0</v>
      </c>
      <c r="U637" s="36">
        <v>0</v>
      </c>
      <c r="V637" s="36">
        <v>1</v>
      </c>
      <c r="W637" s="36">
        <v>0</v>
      </c>
      <c r="X637" s="36">
        <v>0</v>
      </c>
      <c r="Y637" s="36">
        <v>0</v>
      </c>
      <c r="Z637" s="36">
        <v>0</v>
      </c>
      <c r="AA637" s="36">
        <v>0</v>
      </c>
      <c r="AB637" s="36">
        <v>0</v>
      </c>
      <c r="AC637" s="36">
        <v>0</v>
      </c>
      <c r="AD637" s="36">
        <v>0</v>
      </c>
      <c r="AE637" s="36">
        <v>0</v>
      </c>
      <c r="AF637" s="36">
        <v>0</v>
      </c>
      <c r="AG637" s="36">
        <v>0</v>
      </c>
      <c r="AH637" s="36">
        <v>0</v>
      </c>
      <c r="AI637" s="36">
        <v>0</v>
      </c>
      <c r="AJ637" s="36">
        <v>0</v>
      </c>
      <c r="AK637" s="36">
        <v>0</v>
      </c>
      <c r="AL637" s="36">
        <v>0</v>
      </c>
      <c r="AM637" s="36">
        <v>0</v>
      </c>
      <c r="AN637" s="36">
        <v>0</v>
      </c>
      <c r="AO637" s="36">
        <v>0</v>
      </c>
      <c r="AP637" s="36">
        <v>0</v>
      </c>
      <c r="AQ637" s="36">
        <v>0</v>
      </c>
      <c r="AR637" s="36">
        <v>0</v>
      </c>
      <c r="AS637" s="36">
        <v>0</v>
      </c>
      <c r="AT637" s="36">
        <v>0</v>
      </c>
      <c r="AU637" s="36">
        <v>0</v>
      </c>
      <c r="AV637" s="36">
        <v>0</v>
      </c>
      <c r="AW637" s="36">
        <v>0</v>
      </c>
      <c r="AX637" s="36">
        <v>0</v>
      </c>
      <c r="AY637" s="36">
        <v>0</v>
      </c>
      <c r="AZ637" s="36">
        <v>0</v>
      </c>
      <c r="BA637" s="36">
        <v>0</v>
      </c>
      <c r="BB637" s="36">
        <v>1</v>
      </c>
      <c r="BC637" s="36">
        <v>0</v>
      </c>
      <c r="BD637" s="36">
        <v>0</v>
      </c>
      <c r="BE637" s="36">
        <v>0</v>
      </c>
      <c r="BF637" s="36">
        <v>0</v>
      </c>
      <c r="BG637" s="36">
        <v>0</v>
      </c>
      <c r="BH637" s="36">
        <v>0</v>
      </c>
      <c r="BI637" s="36">
        <v>0</v>
      </c>
      <c r="BJ637" s="36">
        <v>0</v>
      </c>
      <c r="BK637" s="36">
        <v>0</v>
      </c>
      <c r="BL637" s="36">
        <v>0</v>
      </c>
      <c r="BM637" s="36">
        <v>0</v>
      </c>
      <c r="BN637" s="36">
        <v>0</v>
      </c>
      <c r="BO637" s="36">
        <v>0</v>
      </c>
      <c r="BP637" s="36">
        <v>0</v>
      </c>
      <c r="BQ637" s="36">
        <v>0</v>
      </c>
      <c r="BR637" s="36">
        <v>0</v>
      </c>
      <c r="BS637" s="36">
        <v>0</v>
      </c>
      <c r="BT637" s="36">
        <v>0</v>
      </c>
      <c r="BU637" s="36">
        <v>0</v>
      </c>
      <c r="BV637" s="36">
        <v>0</v>
      </c>
      <c r="BW637" s="36">
        <v>0</v>
      </c>
      <c r="BX637" s="36">
        <v>0</v>
      </c>
      <c r="BY637" s="36">
        <v>0</v>
      </c>
      <c r="BZ637" s="37">
        <v>0</v>
      </c>
      <c r="CA637" s="305">
        <v>0</v>
      </c>
      <c r="CB637" s="306">
        <v>0</v>
      </c>
      <c r="CC637" s="306">
        <v>0</v>
      </c>
      <c r="CD637" s="306">
        <v>0</v>
      </c>
      <c r="CE637" s="306">
        <v>0</v>
      </c>
      <c r="CF637" s="306">
        <v>0</v>
      </c>
      <c r="CG637" s="306">
        <v>0</v>
      </c>
      <c r="CH637" s="306">
        <v>0</v>
      </c>
      <c r="CI637" s="306">
        <v>0</v>
      </c>
      <c r="CJ637" s="306">
        <v>0</v>
      </c>
    </row>
    <row r="638" spans="1:88" s="3" customFormat="1" ht="18" customHeight="1" x14ac:dyDescent="0.2">
      <c r="A638" s="39">
        <v>25</v>
      </c>
      <c r="B638" s="35">
        <v>-1</v>
      </c>
      <c r="C638" s="36">
        <v>-1</v>
      </c>
      <c r="D638" s="36">
        <v>-1</v>
      </c>
      <c r="E638" s="36">
        <v>0</v>
      </c>
      <c r="F638" s="36">
        <v>0</v>
      </c>
      <c r="G638" s="36">
        <v>0</v>
      </c>
      <c r="H638" s="36">
        <v>-1</v>
      </c>
      <c r="I638" s="36">
        <v>-1</v>
      </c>
      <c r="J638" s="36">
        <v>-1</v>
      </c>
      <c r="K638" s="36">
        <v>0</v>
      </c>
      <c r="L638" s="36">
        <v>0</v>
      </c>
      <c r="M638" s="36">
        <v>0</v>
      </c>
      <c r="N638" s="36">
        <v>-1</v>
      </c>
      <c r="O638" s="36">
        <v>0</v>
      </c>
      <c r="P638" s="36">
        <v>0</v>
      </c>
      <c r="Q638" s="36">
        <v>0</v>
      </c>
      <c r="R638" s="36">
        <v>0</v>
      </c>
      <c r="S638" s="36">
        <v>0</v>
      </c>
      <c r="T638" s="36">
        <v>0</v>
      </c>
      <c r="U638" s="36">
        <v>0</v>
      </c>
      <c r="V638" s="36">
        <v>0</v>
      </c>
      <c r="W638" s="36">
        <v>0</v>
      </c>
      <c r="X638" s="36">
        <v>1</v>
      </c>
      <c r="Y638" s="36">
        <v>0</v>
      </c>
      <c r="Z638" s="36">
        <v>0</v>
      </c>
      <c r="AA638" s="36">
        <v>0</v>
      </c>
      <c r="AB638" s="36">
        <v>0</v>
      </c>
      <c r="AC638" s="36">
        <v>0</v>
      </c>
      <c r="AD638" s="36">
        <v>0</v>
      </c>
      <c r="AE638" s="36">
        <v>0</v>
      </c>
      <c r="AF638" s="36">
        <v>0</v>
      </c>
      <c r="AG638" s="36">
        <v>0</v>
      </c>
      <c r="AH638" s="36">
        <v>0</v>
      </c>
      <c r="AI638" s="36">
        <v>0</v>
      </c>
      <c r="AJ638" s="36">
        <v>0</v>
      </c>
      <c r="AK638" s="36">
        <v>0</v>
      </c>
      <c r="AL638" s="36">
        <v>0</v>
      </c>
      <c r="AM638" s="36">
        <v>0</v>
      </c>
      <c r="AN638" s="36">
        <v>0</v>
      </c>
      <c r="AO638" s="36">
        <v>0</v>
      </c>
      <c r="AP638" s="36">
        <v>0</v>
      </c>
      <c r="AQ638" s="36">
        <v>0</v>
      </c>
      <c r="AR638" s="36">
        <v>0</v>
      </c>
      <c r="AS638" s="36">
        <v>0</v>
      </c>
      <c r="AT638" s="36">
        <v>0</v>
      </c>
      <c r="AU638" s="36">
        <v>0</v>
      </c>
      <c r="AV638" s="36">
        <v>0</v>
      </c>
      <c r="AW638" s="36">
        <v>0</v>
      </c>
      <c r="AX638" s="36">
        <v>0</v>
      </c>
      <c r="AY638" s="36">
        <v>0</v>
      </c>
      <c r="AZ638" s="36">
        <v>0</v>
      </c>
      <c r="BA638" s="36">
        <v>0</v>
      </c>
      <c r="BB638" s="36">
        <v>0</v>
      </c>
      <c r="BC638" s="36">
        <v>1</v>
      </c>
      <c r="BD638" s="36">
        <v>0</v>
      </c>
      <c r="BE638" s="36">
        <v>0</v>
      </c>
      <c r="BF638" s="36">
        <v>0</v>
      </c>
      <c r="BG638" s="36">
        <v>0</v>
      </c>
      <c r="BH638" s="36">
        <v>0</v>
      </c>
      <c r="BI638" s="36">
        <v>0</v>
      </c>
      <c r="BJ638" s="36">
        <v>0</v>
      </c>
      <c r="BK638" s="36">
        <v>0</v>
      </c>
      <c r="BL638" s="36">
        <v>0</v>
      </c>
      <c r="BM638" s="36">
        <v>0</v>
      </c>
      <c r="BN638" s="36">
        <v>0</v>
      </c>
      <c r="BO638" s="36">
        <v>0</v>
      </c>
      <c r="BP638" s="36">
        <v>0</v>
      </c>
      <c r="BQ638" s="36">
        <v>0</v>
      </c>
      <c r="BR638" s="36">
        <v>0</v>
      </c>
      <c r="BS638" s="36">
        <v>0</v>
      </c>
      <c r="BT638" s="36">
        <v>0</v>
      </c>
      <c r="BU638" s="36">
        <v>0</v>
      </c>
      <c r="BV638" s="36">
        <v>0</v>
      </c>
      <c r="BW638" s="36">
        <v>0</v>
      </c>
      <c r="BX638" s="36">
        <v>0</v>
      </c>
      <c r="BY638" s="36">
        <v>0</v>
      </c>
      <c r="BZ638" s="37">
        <v>0</v>
      </c>
      <c r="CA638" s="305">
        <v>0</v>
      </c>
      <c r="CB638" s="306">
        <v>0</v>
      </c>
      <c r="CC638" s="306">
        <v>0</v>
      </c>
      <c r="CD638" s="306">
        <v>0</v>
      </c>
      <c r="CE638" s="306">
        <v>0</v>
      </c>
      <c r="CF638" s="306">
        <v>0</v>
      </c>
      <c r="CG638" s="306">
        <v>0</v>
      </c>
      <c r="CH638" s="306">
        <v>0</v>
      </c>
      <c r="CI638" s="306">
        <v>0</v>
      </c>
      <c r="CJ638" s="306">
        <v>0</v>
      </c>
    </row>
    <row r="639" spans="1:88" s="3" customFormat="1" ht="18" customHeight="1" x14ac:dyDescent="0.2">
      <c r="A639" s="39">
        <v>26</v>
      </c>
      <c r="B639" s="35">
        <v>-1</v>
      </c>
      <c r="C639" s="36">
        <v>-1</v>
      </c>
      <c r="D639" s="36">
        <v>-1</v>
      </c>
      <c r="E639" s="36">
        <v>0</v>
      </c>
      <c r="F639" s="36">
        <v>0</v>
      </c>
      <c r="G639" s="36">
        <v>0</v>
      </c>
      <c r="H639" s="36">
        <v>-1</v>
      </c>
      <c r="I639" s="36">
        <v>-1</v>
      </c>
      <c r="J639" s="36">
        <v>-1</v>
      </c>
      <c r="K639" s="36">
        <v>0</v>
      </c>
      <c r="L639" s="36">
        <v>0</v>
      </c>
      <c r="M639" s="36">
        <v>0</v>
      </c>
      <c r="N639" s="36">
        <v>0</v>
      </c>
      <c r="O639" s="36">
        <v>0</v>
      </c>
      <c r="P639" s="36">
        <v>-1</v>
      </c>
      <c r="Q639" s="36">
        <v>0</v>
      </c>
      <c r="R639" s="36">
        <v>0</v>
      </c>
      <c r="S639" s="36">
        <v>0</v>
      </c>
      <c r="T639" s="36">
        <v>0</v>
      </c>
      <c r="U639" s="36">
        <v>0</v>
      </c>
      <c r="V639" s="36">
        <v>0</v>
      </c>
      <c r="W639" s="36">
        <v>0</v>
      </c>
      <c r="X639" s="36">
        <v>0</v>
      </c>
      <c r="Y639" s="36">
        <v>0</v>
      </c>
      <c r="Z639" s="36">
        <v>1</v>
      </c>
      <c r="AA639" s="36">
        <v>0</v>
      </c>
      <c r="AB639" s="36">
        <v>0</v>
      </c>
      <c r="AC639" s="36">
        <v>0</v>
      </c>
      <c r="AD639" s="36">
        <v>0</v>
      </c>
      <c r="AE639" s="36">
        <v>0</v>
      </c>
      <c r="AF639" s="36">
        <v>0</v>
      </c>
      <c r="AG639" s="36">
        <v>0</v>
      </c>
      <c r="AH639" s="36">
        <v>0</v>
      </c>
      <c r="AI639" s="36">
        <v>0</v>
      </c>
      <c r="AJ639" s="36">
        <v>0</v>
      </c>
      <c r="AK639" s="36">
        <v>0</v>
      </c>
      <c r="AL639" s="36">
        <v>0</v>
      </c>
      <c r="AM639" s="36">
        <v>0</v>
      </c>
      <c r="AN639" s="36">
        <v>0</v>
      </c>
      <c r="AO639" s="36">
        <v>0</v>
      </c>
      <c r="AP639" s="36">
        <v>0</v>
      </c>
      <c r="AQ639" s="36">
        <v>0</v>
      </c>
      <c r="AR639" s="36">
        <v>0</v>
      </c>
      <c r="AS639" s="36">
        <v>0</v>
      </c>
      <c r="AT639" s="36">
        <v>0</v>
      </c>
      <c r="AU639" s="36">
        <v>0</v>
      </c>
      <c r="AV639" s="36">
        <v>0</v>
      </c>
      <c r="AW639" s="36">
        <v>0</v>
      </c>
      <c r="AX639" s="36">
        <v>0</v>
      </c>
      <c r="AY639" s="36">
        <v>0</v>
      </c>
      <c r="AZ639" s="36">
        <v>0</v>
      </c>
      <c r="BA639" s="36">
        <v>0</v>
      </c>
      <c r="BB639" s="36">
        <v>0</v>
      </c>
      <c r="BC639" s="36">
        <v>0</v>
      </c>
      <c r="BD639" s="36">
        <v>1</v>
      </c>
      <c r="BE639" s="36">
        <v>0</v>
      </c>
      <c r="BF639" s="36">
        <v>0</v>
      </c>
      <c r="BG639" s="36">
        <v>0</v>
      </c>
      <c r="BH639" s="36">
        <v>0</v>
      </c>
      <c r="BI639" s="36">
        <v>0</v>
      </c>
      <c r="BJ639" s="36">
        <v>0</v>
      </c>
      <c r="BK639" s="36">
        <v>0</v>
      </c>
      <c r="BL639" s="36">
        <v>0</v>
      </c>
      <c r="BM639" s="36">
        <v>0</v>
      </c>
      <c r="BN639" s="36">
        <v>0</v>
      </c>
      <c r="BO639" s="36">
        <v>0</v>
      </c>
      <c r="BP639" s="36">
        <v>0</v>
      </c>
      <c r="BQ639" s="36">
        <v>0</v>
      </c>
      <c r="BR639" s="36">
        <v>0</v>
      </c>
      <c r="BS639" s="36">
        <v>0</v>
      </c>
      <c r="BT639" s="36">
        <v>0</v>
      </c>
      <c r="BU639" s="36">
        <v>0</v>
      </c>
      <c r="BV639" s="36">
        <v>0</v>
      </c>
      <c r="BW639" s="36">
        <v>0</v>
      </c>
      <c r="BX639" s="36">
        <v>0</v>
      </c>
      <c r="BY639" s="36">
        <v>0</v>
      </c>
      <c r="BZ639" s="37">
        <v>0</v>
      </c>
      <c r="CA639" s="305">
        <v>0</v>
      </c>
      <c r="CB639" s="306">
        <v>0</v>
      </c>
      <c r="CC639" s="306">
        <v>0</v>
      </c>
      <c r="CD639" s="306">
        <v>0</v>
      </c>
      <c r="CE639" s="306">
        <v>0</v>
      </c>
      <c r="CF639" s="306">
        <v>0</v>
      </c>
      <c r="CG639" s="306">
        <v>0</v>
      </c>
      <c r="CH639" s="306">
        <v>0</v>
      </c>
      <c r="CI639" s="306">
        <v>0</v>
      </c>
      <c r="CJ639" s="306">
        <v>0</v>
      </c>
    </row>
    <row r="640" spans="1:88" s="3" customFormat="1" ht="18" customHeight="1" x14ac:dyDescent="0.2">
      <c r="A640" s="39">
        <v>27</v>
      </c>
      <c r="B640" s="35">
        <v>-1</v>
      </c>
      <c r="C640" s="36">
        <v>-1</v>
      </c>
      <c r="D640" s="36">
        <v>-1</v>
      </c>
      <c r="E640" s="36">
        <v>0</v>
      </c>
      <c r="F640" s="36">
        <v>0</v>
      </c>
      <c r="G640" s="36">
        <v>0</v>
      </c>
      <c r="H640" s="36">
        <v>-1</v>
      </c>
      <c r="I640" s="36">
        <v>-1</v>
      </c>
      <c r="J640" s="36">
        <v>-1</v>
      </c>
      <c r="K640" s="36">
        <v>0</v>
      </c>
      <c r="L640" s="36">
        <v>0</v>
      </c>
      <c r="M640" s="36">
        <v>0</v>
      </c>
      <c r="N640" s="36">
        <v>0</v>
      </c>
      <c r="O640" s="36">
        <v>0</v>
      </c>
      <c r="P640" s="36">
        <v>0</v>
      </c>
      <c r="Q640" s="36">
        <v>-1</v>
      </c>
      <c r="R640" s="36">
        <v>0</v>
      </c>
      <c r="S640" s="36">
        <v>0</v>
      </c>
      <c r="T640" s="36">
        <v>0</v>
      </c>
      <c r="U640" s="36">
        <v>0</v>
      </c>
      <c r="V640" s="36">
        <v>0</v>
      </c>
      <c r="W640" s="36">
        <v>0</v>
      </c>
      <c r="X640" s="36">
        <v>0</v>
      </c>
      <c r="Y640" s="36">
        <v>0</v>
      </c>
      <c r="Z640" s="36">
        <v>0</v>
      </c>
      <c r="AA640" s="36">
        <v>1</v>
      </c>
      <c r="AB640" s="36">
        <v>0</v>
      </c>
      <c r="AC640" s="36">
        <v>0</v>
      </c>
      <c r="AD640" s="36">
        <v>0</v>
      </c>
      <c r="AE640" s="36">
        <v>0</v>
      </c>
      <c r="AF640" s="36">
        <v>0</v>
      </c>
      <c r="AG640" s="36">
        <v>0</v>
      </c>
      <c r="AH640" s="36">
        <v>0</v>
      </c>
      <c r="AI640" s="36">
        <v>0</v>
      </c>
      <c r="AJ640" s="36">
        <v>0</v>
      </c>
      <c r="AK640" s="36">
        <v>0</v>
      </c>
      <c r="AL640" s="36">
        <v>0</v>
      </c>
      <c r="AM640" s="36">
        <v>0</v>
      </c>
      <c r="AN640" s="36">
        <v>0</v>
      </c>
      <c r="AO640" s="36">
        <v>0</v>
      </c>
      <c r="AP640" s="36">
        <v>0</v>
      </c>
      <c r="AQ640" s="36">
        <v>0</v>
      </c>
      <c r="AR640" s="36">
        <v>0</v>
      </c>
      <c r="AS640" s="36">
        <v>0</v>
      </c>
      <c r="AT640" s="36">
        <v>0</v>
      </c>
      <c r="AU640" s="36">
        <v>0</v>
      </c>
      <c r="AV640" s="36">
        <v>0</v>
      </c>
      <c r="AW640" s="36">
        <v>0</v>
      </c>
      <c r="AX640" s="36">
        <v>0</v>
      </c>
      <c r="AY640" s="36">
        <v>0</v>
      </c>
      <c r="AZ640" s="36">
        <v>0</v>
      </c>
      <c r="BA640" s="36">
        <v>0</v>
      </c>
      <c r="BB640" s="36">
        <v>0</v>
      </c>
      <c r="BC640" s="36">
        <v>0</v>
      </c>
      <c r="BD640" s="36">
        <v>0</v>
      </c>
      <c r="BE640" s="36">
        <v>1</v>
      </c>
      <c r="BF640" s="36">
        <v>0</v>
      </c>
      <c r="BG640" s="36">
        <v>0</v>
      </c>
      <c r="BH640" s="36">
        <v>0</v>
      </c>
      <c r="BI640" s="36">
        <v>0</v>
      </c>
      <c r="BJ640" s="36">
        <v>0</v>
      </c>
      <c r="BK640" s="36">
        <v>0</v>
      </c>
      <c r="BL640" s="36">
        <v>0</v>
      </c>
      <c r="BM640" s="36">
        <v>0</v>
      </c>
      <c r="BN640" s="36">
        <v>0</v>
      </c>
      <c r="BO640" s="36">
        <v>0</v>
      </c>
      <c r="BP640" s="36">
        <v>0</v>
      </c>
      <c r="BQ640" s="36">
        <v>0</v>
      </c>
      <c r="BR640" s="36">
        <v>0</v>
      </c>
      <c r="BS640" s="36">
        <v>0</v>
      </c>
      <c r="BT640" s="36">
        <v>0</v>
      </c>
      <c r="BU640" s="36">
        <v>0</v>
      </c>
      <c r="BV640" s="36">
        <v>0</v>
      </c>
      <c r="BW640" s="36">
        <v>0</v>
      </c>
      <c r="BX640" s="36">
        <v>0</v>
      </c>
      <c r="BY640" s="36">
        <v>0</v>
      </c>
      <c r="BZ640" s="37">
        <v>0</v>
      </c>
      <c r="CA640" s="305">
        <v>0</v>
      </c>
      <c r="CB640" s="306">
        <v>0</v>
      </c>
      <c r="CC640" s="306">
        <v>0</v>
      </c>
      <c r="CD640" s="306">
        <v>0</v>
      </c>
      <c r="CE640" s="306">
        <v>0</v>
      </c>
      <c r="CF640" s="306">
        <v>0</v>
      </c>
      <c r="CG640" s="306">
        <v>0</v>
      </c>
      <c r="CH640" s="306">
        <v>0</v>
      </c>
      <c r="CI640" s="306">
        <v>0</v>
      </c>
      <c r="CJ640" s="306">
        <v>0</v>
      </c>
    </row>
    <row r="641" spans="1:88" s="3" customFormat="1" ht="18" customHeight="1" x14ac:dyDescent="0.2">
      <c r="A641" s="39">
        <v>28</v>
      </c>
      <c r="B641" s="35">
        <v>-1</v>
      </c>
      <c r="C641" s="36">
        <v>-1</v>
      </c>
      <c r="D641" s="36">
        <v>-1</v>
      </c>
      <c r="E641" s="36">
        <v>0</v>
      </c>
      <c r="F641" s="36">
        <v>0</v>
      </c>
      <c r="G641" s="36">
        <v>0</v>
      </c>
      <c r="H641" s="36">
        <v>-1</v>
      </c>
      <c r="I641" s="36">
        <v>-1</v>
      </c>
      <c r="J641" s="36">
        <v>-1</v>
      </c>
      <c r="K641" s="36">
        <v>0</v>
      </c>
      <c r="L641" s="36">
        <v>0</v>
      </c>
      <c r="M641" s="36">
        <v>0</v>
      </c>
      <c r="N641" s="36">
        <v>0</v>
      </c>
      <c r="O641" s="36">
        <v>0</v>
      </c>
      <c r="P641" s="36">
        <v>0</v>
      </c>
      <c r="Q641" s="36">
        <v>0</v>
      </c>
      <c r="R641" s="36">
        <v>0</v>
      </c>
      <c r="S641" s="36">
        <v>-1</v>
      </c>
      <c r="T641" s="36">
        <v>0</v>
      </c>
      <c r="U641" s="36">
        <v>0</v>
      </c>
      <c r="V641" s="36">
        <v>0</v>
      </c>
      <c r="W641" s="36">
        <v>0</v>
      </c>
      <c r="X641" s="36">
        <v>0</v>
      </c>
      <c r="Y641" s="36">
        <v>0</v>
      </c>
      <c r="Z641" s="36">
        <v>0</v>
      </c>
      <c r="AA641" s="36">
        <v>0</v>
      </c>
      <c r="AB641" s="36">
        <v>0</v>
      </c>
      <c r="AC641" s="36">
        <v>1</v>
      </c>
      <c r="AD641" s="36">
        <v>0</v>
      </c>
      <c r="AE641" s="36">
        <v>0</v>
      </c>
      <c r="AF641" s="36">
        <v>0</v>
      </c>
      <c r="AG641" s="36">
        <v>0</v>
      </c>
      <c r="AH641" s="36">
        <v>0</v>
      </c>
      <c r="AI641" s="36">
        <v>0</v>
      </c>
      <c r="AJ641" s="36">
        <v>0</v>
      </c>
      <c r="AK641" s="36">
        <v>0</v>
      </c>
      <c r="AL641" s="36">
        <v>0</v>
      </c>
      <c r="AM641" s="36">
        <v>0</v>
      </c>
      <c r="AN641" s="36">
        <v>0</v>
      </c>
      <c r="AO641" s="36">
        <v>0</v>
      </c>
      <c r="AP641" s="36">
        <v>0</v>
      </c>
      <c r="AQ641" s="36">
        <v>0</v>
      </c>
      <c r="AR641" s="36">
        <v>0</v>
      </c>
      <c r="AS641" s="36">
        <v>0</v>
      </c>
      <c r="AT641" s="36">
        <v>0</v>
      </c>
      <c r="AU641" s="36">
        <v>0</v>
      </c>
      <c r="AV641" s="36">
        <v>0</v>
      </c>
      <c r="AW641" s="36">
        <v>0</v>
      </c>
      <c r="AX641" s="36">
        <v>0</v>
      </c>
      <c r="AY641" s="36">
        <v>0</v>
      </c>
      <c r="AZ641" s="36">
        <v>0</v>
      </c>
      <c r="BA641" s="36">
        <v>0</v>
      </c>
      <c r="BB641" s="36">
        <v>0</v>
      </c>
      <c r="BC641" s="36">
        <v>0</v>
      </c>
      <c r="BD641" s="36">
        <v>0</v>
      </c>
      <c r="BE641" s="36">
        <v>0</v>
      </c>
      <c r="BF641" s="36">
        <v>1</v>
      </c>
      <c r="BG641" s="36">
        <v>0</v>
      </c>
      <c r="BH641" s="36">
        <v>0</v>
      </c>
      <c r="BI641" s="36">
        <v>0</v>
      </c>
      <c r="BJ641" s="36">
        <v>0</v>
      </c>
      <c r="BK641" s="36">
        <v>0</v>
      </c>
      <c r="BL641" s="36">
        <v>0</v>
      </c>
      <c r="BM641" s="36">
        <v>0</v>
      </c>
      <c r="BN641" s="36">
        <v>0</v>
      </c>
      <c r="BO641" s="36">
        <v>0</v>
      </c>
      <c r="BP641" s="36">
        <v>0</v>
      </c>
      <c r="BQ641" s="36">
        <v>0</v>
      </c>
      <c r="BR641" s="36">
        <v>0</v>
      </c>
      <c r="BS641" s="36">
        <v>0</v>
      </c>
      <c r="BT641" s="36">
        <v>0</v>
      </c>
      <c r="BU641" s="36">
        <v>0</v>
      </c>
      <c r="BV641" s="36">
        <v>0</v>
      </c>
      <c r="BW641" s="36">
        <v>0</v>
      </c>
      <c r="BX641" s="36">
        <v>0</v>
      </c>
      <c r="BY641" s="36">
        <v>0</v>
      </c>
      <c r="BZ641" s="37">
        <v>0</v>
      </c>
      <c r="CA641" s="305">
        <v>0</v>
      </c>
      <c r="CB641" s="306">
        <v>0</v>
      </c>
      <c r="CC641" s="306">
        <v>0</v>
      </c>
      <c r="CD641" s="306">
        <v>0</v>
      </c>
      <c r="CE641" s="306">
        <v>0</v>
      </c>
      <c r="CF641" s="306">
        <v>0</v>
      </c>
      <c r="CG641" s="306">
        <v>0</v>
      </c>
      <c r="CH641" s="306">
        <v>0</v>
      </c>
      <c r="CI641" s="306">
        <v>0</v>
      </c>
      <c r="CJ641" s="306">
        <v>0</v>
      </c>
    </row>
    <row r="642" spans="1:88" s="3" customFormat="1" ht="18" customHeight="1" x14ac:dyDescent="0.2">
      <c r="A642" s="39">
        <v>29</v>
      </c>
      <c r="B642" s="35">
        <v>0</v>
      </c>
      <c r="C642" s="36">
        <v>-1</v>
      </c>
      <c r="D642" s="36">
        <v>-1</v>
      </c>
      <c r="E642" s="36">
        <v>-1</v>
      </c>
      <c r="F642" s="36">
        <v>0</v>
      </c>
      <c r="G642" s="36">
        <v>0</v>
      </c>
      <c r="H642" s="36">
        <v>-1</v>
      </c>
      <c r="I642" s="36">
        <v>-1</v>
      </c>
      <c r="J642" s="36">
        <v>-1</v>
      </c>
      <c r="K642" s="36">
        <v>-1</v>
      </c>
      <c r="L642" s="36">
        <v>0</v>
      </c>
      <c r="M642" s="36">
        <v>0</v>
      </c>
      <c r="N642" s="36">
        <v>0</v>
      </c>
      <c r="O642" s="36">
        <v>0</v>
      </c>
      <c r="P642" s="36">
        <v>0</v>
      </c>
      <c r="Q642" s="36">
        <v>0</v>
      </c>
      <c r="R642" s="36">
        <v>0</v>
      </c>
      <c r="S642" s="36">
        <v>0</v>
      </c>
      <c r="T642" s="36">
        <v>0</v>
      </c>
      <c r="U642" s="36">
        <v>1</v>
      </c>
      <c r="V642" s="36">
        <v>0</v>
      </c>
      <c r="W642" s="36">
        <v>0</v>
      </c>
      <c r="X642" s="36">
        <v>0</v>
      </c>
      <c r="Y642" s="36">
        <v>0</v>
      </c>
      <c r="Z642" s="36">
        <v>0</v>
      </c>
      <c r="AA642" s="36">
        <v>0</v>
      </c>
      <c r="AB642" s="36">
        <v>0</v>
      </c>
      <c r="AC642" s="36">
        <v>0</v>
      </c>
      <c r="AD642" s="36">
        <v>0</v>
      </c>
      <c r="AE642" s="36">
        <v>0</v>
      </c>
      <c r="AF642" s="36">
        <v>0</v>
      </c>
      <c r="AG642" s="36">
        <v>0</v>
      </c>
      <c r="AH642" s="36">
        <v>0</v>
      </c>
      <c r="AI642" s="36">
        <v>0</v>
      </c>
      <c r="AJ642" s="36">
        <v>0</v>
      </c>
      <c r="AK642" s="36">
        <v>0</v>
      </c>
      <c r="AL642" s="36">
        <v>0</v>
      </c>
      <c r="AM642" s="36">
        <v>0</v>
      </c>
      <c r="AN642" s="36">
        <v>0</v>
      </c>
      <c r="AO642" s="36">
        <v>0</v>
      </c>
      <c r="AP642" s="36">
        <v>0</v>
      </c>
      <c r="AQ642" s="36">
        <v>0</v>
      </c>
      <c r="AR642" s="36">
        <v>0</v>
      </c>
      <c r="AS642" s="36">
        <v>0</v>
      </c>
      <c r="AT642" s="36">
        <v>0</v>
      </c>
      <c r="AU642" s="36">
        <v>0</v>
      </c>
      <c r="AV642" s="36">
        <v>0</v>
      </c>
      <c r="AW642" s="36">
        <v>0</v>
      </c>
      <c r="AX642" s="36">
        <v>0</v>
      </c>
      <c r="AY642" s="36">
        <v>0</v>
      </c>
      <c r="AZ642" s="36">
        <v>0</v>
      </c>
      <c r="BA642" s="36">
        <v>0</v>
      </c>
      <c r="BB642" s="36">
        <v>0</v>
      </c>
      <c r="BC642" s="36">
        <v>0</v>
      </c>
      <c r="BD642" s="36">
        <v>0</v>
      </c>
      <c r="BE642" s="36">
        <v>0</v>
      </c>
      <c r="BF642" s="36">
        <v>0</v>
      </c>
      <c r="BG642" s="36">
        <v>1</v>
      </c>
      <c r="BH642" s="36">
        <v>0</v>
      </c>
      <c r="BI642" s="36">
        <v>0</v>
      </c>
      <c r="BJ642" s="36">
        <v>0</v>
      </c>
      <c r="BK642" s="36">
        <v>0</v>
      </c>
      <c r="BL642" s="36">
        <v>0</v>
      </c>
      <c r="BM642" s="36">
        <v>0</v>
      </c>
      <c r="BN642" s="36">
        <v>0</v>
      </c>
      <c r="BO642" s="36">
        <v>0</v>
      </c>
      <c r="BP642" s="36">
        <v>0</v>
      </c>
      <c r="BQ642" s="36">
        <v>0</v>
      </c>
      <c r="BR642" s="36">
        <v>0</v>
      </c>
      <c r="BS642" s="36">
        <v>0</v>
      </c>
      <c r="BT642" s="36">
        <v>0</v>
      </c>
      <c r="BU642" s="36">
        <v>0</v>
      </c>
      <c r="BV642" s="36">
        <v>0</v>
      </c>
      <c r="BW642" s="36">
        <v>0</v>
      </c>
      <c r="BX642" s="36">
        <v>0</v>
      </c>
      <c r="BY642" s="36">
        <v>0</v>
      </c>
      <c r="BZ642" s="37">
        <v>0</v>
      </c>
      <c r="CA642" s="305">
        <v>0</v>
      </c>
      <c r="CB642" s="306">
        <v>0</v>
      </c>
      <c r="CC642" s="306">
        <v>0</v>
      </c>
      <c r="CD642" s="306">
        <v>0</v>
      </c>
      <c r="CE642" s="306">
        <v>0</v>
      </c>
      <c r="CF642" s="306">
        <v>0</v>
      </c>
      <c r="CG642" s="306">
        <v>0</v>
      </c>
      <c r="CH642" s="306">
        <v>0</v>
      </c>
      <c r="CI642" s="306">
        <v>0</v>
      </c>
      <c r="CJ642" s="306">
        <v>0</v>
      </c>
    </row>
    <row r="643" spans="1:88" s="3" customFormat="1" ht="18" customHeight="1" x14ac:dyDescent="0.2">
      <c r="A643" s="39">
        <v>30</v>
      </c>
      <c r="B643" s="35">
        <v>0</v>
      </c>
      <c r="C643" s="36">
        <v>-1</v>
      </c>
      <c r="D643" s="36">
        <v>-1</v>
      </c>
      <c r="E643" s="36">
        <v>-1</v>
      </c>
      <c r="F643" s="36">
        <v>0</v>
      </c>
      <c r="G643" s="36">
        <v>0</v>
      </c>
      <c r="H643" s="36">
        <v>-1</v>
      </c>
      <c r="I643" s="36">
        <v>-1</v>
      </c>
      <c r="J643" s="36">
        <v>-1</v>
      </c>
      <c r="K643" s="36">
        <v>0</v>
      </c>
      <c r="L643" s="36">
        <v>-1</v>
      </c>
      <c r="M643" s="36">
        <v>0</v>
      </c>
      <c r="N643" s="36">
        <v>0</v>
      </c>
      <c r="O643" s="36">
        <v>0</v>
      </c>
      <c r="P643" s="36">
        <v>0</v>
      </c>
      <c r="Q643" s="36">
        <v>0</v>
      </c>
      <c r="R643" s="36">
        <v>0</v>
      </c>
      <c r="S643" s="36">
        <v>0</v>
      </c>
      <c r="T643" s="36">
        <v>0</v>
      </c>
      <c r="U643" s="36">
        <v>0</v>
      </c>
      <c r="V643" s="36">
        <v>1</v>
      </c>
      <c r="W643" s="36">
        <v>0</v>
      </c>
      <c r="X643" s="36">
        <v>0</v>
      </c>
      <c r="Y643" s="36">
        <v>0</v>
      </c>
      <c r="Z643" s="36">
        <v>0</v>
      </c>
      <c r="AA643" s="36">
        <v>0</v>
      </c>
      <c r="AB643" s="36">
        <v>0</v>
      </c>
      <c r="AC643" s="36">
        <v>0</v>
      </c>
      <c r="AD643" s="36">
        <v>0</v>
      </c>
      <c r="AE643" s="36">
        <v>0</v>
      </c>
      <c r="AF643" s="36">
        <v>0</v>
      </c>
      <c r="AG643" s="36">
        <v>0</v>
      </c>
      <c r="AH643" s="36">
        <v>0</v>
      </c>
      <c r="AI643" s="36">
        <v>0</v>
      </c>
      <c r="AJ643" s="36">
        <v>0</v>
      </c>
      <c r="AK643" s="36">
        <v>0</v>
      </c>
      <c r="AL643" s="36">
        <v>0</v>
      </c>
      <c r="AM643" s="36">
        <v>0</v>
      </c>
      <c r="AN643" s="36">
        <v>0</v>
      </c>
      <c r="AO643" s="36">
        <v>0</v>
      </c>
      <c r="AP643" s="36">
        <v>0</v>
      </c>
      <c r="AQ643" s="36">
        <v>0</v>
      </c>
      <c r="AR643" s="36">
        <v>0</v>
      </c>
      <c r="AS643" s="36">
        <v>0</v>
      </c>
      <c r="AT643" s="36">
        <v>0</v>
      </c>
      <c r="AU643" s="36">
        <v>0</v>
      </c>
      <c r="AV643" s="36">
        <v>0</v>
      </c>
      <c r="AW643" s="36">
        <v>0</v>
      </c>
      <c r="AX643" s="36">
        <v>0</v>
      </c>
      <c r="AY643" s="36">
        <v>0</v>
      </c>
      <c r="AZ643" s="36">
        <v>0</v>
      </c>
      <c r="BA643" s="36">
        <v>0</v>
      </c>
      <c r="BB643" s="36">
        <v>0</v>
      </c>
      <c r="BC643" s="36">
        <v>0</v>
      </c>
      <c r="BD643" s="36">
        <v>0</v>
      </c>
      <c r="BE643" s="36">
        <v>0</v>
      </c>
      <c r="BF643" s="36">
        <v>0</v>
      </c>
      <c r="BG643" s="36">
        <v>0</v>
      </c>
      <c r="BH643" s="36">
        <v>1</v>
      </c>
      <c r="BI643" s="36">
        <v>0</v>
      </c>
      <c r="BJ643" s="36">
        <v>0</v>
      </c>
      <c r="BK643" s="36">
        <v>0</v>
      </c>
      <c r="BL643" s="36">
        <v>0</v>
      </c>
      <c r="BM643" s="36">
        <v>0</v>
      </c>
      <c r="BN643" s="36">
        <v>0</v>
      </c>
      <c r="BO643" s="36">
        <v>0</v>
      </c>
      <c r="BP643" s="36">
        <v>0</v>
      </c>
      <c r="BQ643" s="36">
        <v>0</v>
      </c>
      <c r="BR643" s="36">
        <v>0</v>
      </c>
      <c r="BS643" s="36">
        <v>0</v>
      </c>
      <c r="BT643" s="36">
        <v>0</v>
      </c>
      <c r="BU643" s="36">
        <v>0</v>
      </c>
      <c r="BV643" s="36">
        <v>0</v>
      </c>
      <c r="BW643" s="36">
        <v>0</v>
      </c>
      <c r="BX643" s="36">
        <v>0</v>
      </c>
      <c r="BY643" s="36">
        <v>0</v>
      </c>
      <c r="BZ643" s="37">
        <v>0</v>
      </c>
      <c r="CA643" s="305">
        <v>0</v>
      </c>
      <c r="CB643" s="306">
        <v>0</v>
      </c>
      <c r="CC643" s="306">
        <v>0</v>
      </c>
      <c r="CD643" s="306">
        <v>0</v>
      </c>
      <c r="CE643" s="306">
        <v>0</v>
      </c>
      <c r="CF643" s="306">
        <v>0</v>
      </c>
      <c r="CG643" s="306">
        <v>0</v>
      </c>
      <c r="CH643" s="306">
        <v>0</v>
      </c>
      <c r="CI643" s="306">
        <v>0</v>
      </c>
      <c r="CJ643" s="306">
        <v>0</v>
      </c>
    </row>
    <row r="644" spans="1:88" s="3" customFormat="1" ht="18" customHeight="1" x14ac:dyDescent="0.2">
      <c r="A644" s="39">
        <v>31</v>
      </c>
      <c r="B644" s="35">
        <v>0</v>
      </c>
      <c r="C644" s="36">
        <v>-1</v>
      </c>
      <c r="D644" s="36">
        <v>-1</v>
      </c>
      <c r="E644" s="36">
        <v>-1</v>
      </c>
      <c r="F644" s="36">
        <v>0</v>
      </c>
      <c r="G644" s="36">
        <v>0</v>
      </c>
      <c r="H644" s="36">
        <v>-1</v>
      </c>
      <c r="I644" s="36">
        <v>-1</v>
      </c>
      <c r="J644" s="36">
        <v>-1</v>
      </c>
      <c r="K644" s="36">
        <v>0</v>
      </c>
      <c r="L644" s="36">
        <v>0</v>
      </c>
      <c r="M644" s="36">
        <v>-1</v>
      </c>
      <c r="N644" s="36">
        <v>0</v>
      </c>
      <c r="O644" s="36">
        <v>0</v>
      </c>
      <c r="P644" s="36">
        <v>0</v>
      </c>
      <c r="Q644" s="36">
        <v>0</v>
      </c>
      <c r="R644" s="36">
        <v>0</v>
      </c>
      <c r="S644" s="36">
        <v>0</v>
      </c>
      <c r="T644" s="36">
        <v>0</v>
      </c>
      <c r="U644" s="36">
        <v>0</v>
      </c>
      <c r="V644" s="36">
        <v>0</v>
      </c>
      <c r="W644" s="36">
        <v>1</v>
      </c>
      <c r="X644" s="36">
        <v>0</v>
      </c>
      <c r="Y644" s="36">
        <v>0</v>
      </c>
      <c r="Z644" s="36">
        <v>0</v>
      </c>
      <c r="AA644" s="36">
        <v>0</v>
      </c>
      <c r="AB644" s="36">
        <v>0</v>
      </c>
      <c r="AC644" s="36">
        <v>0</v>
      </c>
      <c r="AD644" s="36">
        <v>0</v>
      </c>
      <c r="AE644" s="36">
        <v>0</v>
      </c>
      <c r="AF644" s="36">
        <v>0</v>
      </c>
      <c r="AG644" s="36">
        <v>0</v>
      </c>
      <c r="AH644" s="36">
        <v>0</v>
      </c>
      <c r="AI644" s="36">
        <v>0</v>
      </c>
      <c r="AJ644" s="36">
        <v>0</v>
      </c>
      <c r="AK644" s="36">
        <v>0</v>
      </c>
      <c r="AL644" s="36">
        <v>0</v>
      </c>
      <c r="AM644" s="36">
        <v>0</v>
      </c>
      <c r="AN644" s="36">
        <v>0</v>
      </c>
      <c r="AO644" s="36">
        <v>0</v>
      </c>
      <c r="AP644" s="36">
        <v>0</v>
      </c>
      <c r="AQ644" s="36">
        <v>0</v>
      </c>
      <c r="AR644" s="36">
        <v>0</v>
      </c>
      <c r="AS644" s="36">
        <v>0</v>
      </c>
      <c r="AT644" s="36">
        <v>0</v>
      </c>
      <c r="AU644" s="36">
        <v>0</v>
      </c>
      <c r="AV644" s="36">
        <v>0</v>
      </c>
      <c r="AW644" s="36">
        <v>0</v>
      </c>
      <c r="AX644" s="36">
        <v>0</v>
      </c>
      <c r="AY644" s="36">
        <v>0</v>
      </c>
      <c r="AZ644" s="36">
        <v>0</v>
      </c>
      <c r="BA644" s="36">
        <v>0</v>
      </c>
      <c r="BB644" s="36">
        <v>0</v>
      </c>
      <c r="BC644" s="36">
        <v>0</v>
      </c>
      <c r="BD644" s="36">
        <v>0</v>
      </c>
      <c r="BE644" s="36">
        <v>0</v>
      </c>
      <c r="BF644" s="36">
        <v>0</v>
      </c>
      <c r="BG644" s="36">
        <v>0</v>
      </c>
      <c r="BH644" s="36">
        <v>0</v>
      </c>
      <c r="BI644" s="36">
        <v>1</v>
      </c>
      <c r="BJ644" s="36">
        <v>0</v>
      </c>
      <c r="BK644" s="36">
        <v>0</v>
      </c>
      <c r="BL644" s="36">
        <v>0</v>
      </c>
      <c r="BM644" s="36">
        <v>0</v>
      </c>
      <c r="BN644" s="36">
        <v>0</v>
      </c>
      <c r="BO644" s="36">
        <v>0</v>
      </c>
      <c r="BP644" s="36">
        <v>0</v>
      </c>
      <c r="BQ644" s="36">
        <v>0</v>
      </c>
      <c r="BR644" s="36">
        <v>0</v>
      </c>
      <c r="BS644" s="36">
        <v>0</v>
      </c>
      <c r="BT644" s="36">
        <v>0</v>
      </c>
      <c r="BU644" s="36">
        <v>0</v>
      </c>
      <c r="BV644" s="36">
        <v>0</v>
      </c>
      <c r="BW644" s="36">
        <v>0</v>
      </c>
      <c r="BX644" s="36">
        <v>0</v>
      </c>
      <c r="BY644" s="36">
        <v>0</v>
      </c>
      <c r="BZ644" s="37">
        <v>0</v>
      </c>
      <c r="CA644" s="305">
        <v>0</v>
      </c>
      <c r="CB644" s="306">
        <v>0</v>
      </c>
      <c r="CC644" s="306">
        <v>0</v>
      </c>
      <c r="CD644" s="306">
        <v>0</v>
      </c>
      <c r="CE644" s="306">
        <v>0</v>
      </c>
      <c r="CF644" s="306">
        <v>0</v>
      </c>
      <c r="CG644" s="306">
        <v>0</v>
      </c>
      <c r="CH644" s="306">
        <v>0</v>
      </c>
      <c r="CI644" s="306">
        <v>0</v>
      </c>
      <c r="CJ644" s="306">
        <v>0</v>
      </c>
    </row>
    <row r="645" spans="1:88" s="3" customFormat="1" ht="18" customHeight="1" x14ac:dyDescent="0.2">
      <c r="A645" s="39">
        <v>32</v>
      </c>
      <c r="B645" s="35">
        <v>0</v>
      </c>
      <c r="C645" s="36">
        <v>-1</v>
      </c>
      <c r="D645" s="36">
        <v>-1</v>
      </c>
      <c r="E645" s="36">
        <v>-1</v>
      </c>
      <c r="F645" s="36">
        <v>0</v>
      </c>
      <c r="G645" s="36">
        <v>0</v>
      </c>
      <c r="H645" s="36">
        <v>-1</v>
      </c>
      <c r="I645" s="36">
        <v>-1</v>
      </c>
      <c r="J645" s="36">
        <v>-1</v>
      </c>
      <c r="K645" s="36">
        <v>0</v>
      </c>
      <c r="L645" s="36">
        <v>0</v>
      </c>
      <c r="M645" s="36">
        <v>0</v>
      </c>
      <c r="N645" s="36">
        <v>-1</v>
      </c>
      <c r="O645" s="36">
        <v>0</v>
      </c>
      <c r="P645" s="36">
        <v>0</v>
      </c>
      <c r="Q645" s="36">
        <v>0</v>
      </c>
      <c r="R645" s="36">
        <v>0</v>
      </c>
      <c r="S645" s="36">
        <v>0</v>
      </c>
      <c r="T645" s="36">
        <v>0</v>
      </c>
      <c r="U645" s="36">
        <v>0</v>
      </c>
      <c r="V645" s="36">
        <v>0</v>
      </c>
      <c r="W645" s="36">
        <v>0</v>
      </c>
      <c r="X645" s="36">
        <v>1</v>
      </c>
      <c r="Y645" s="36">
        <v>0</v>
      </c>
      <c r="Z645" s="36">
        <v>0</v>
      </c>
      <c r="AA645" s="36">
        <v>0</v>
      </c>
      <c r="AB645" s="36">
        <v>0</v>
      </c>
      <c r="AC645" s="36">
        <v>0</v>
      </c>
      <c r="AD645" s="36">
        <v>0</v>
      </c>
      <c r="AE645" s="36">
        <v>0</v>
      </c>
      <c r="AF645" s="36">
        <v>0</v>
      </c>
      <c r="AG645" s="36">
        <v>0</v>
      </c>
      <c r="AH645" s="36">
        <v>0</v>
      </c>
      <c r="AI645" s="36">
        <v>0</v>
      </c>
      <c r="AJ645" s="36">
        <v>0</v>
      </c>
      <c r="AK645" s="36">
        <v>0</v>
      </c>
      <c r="AL645" s="36">
        <v>0</v>
      </c>
      <c r="AM645" s="36">
        <v>0</v>
      </c>
      <c r="AN645" s="36">
        <v>0</v>
      </c>
      <c r="AO645" s="36">
        <v>0</v>
      </c>
      <c r="AP645" s="36">
        <v>0</v>
      </c>
      <c r="AQ645" s="36">
        <v>0</v>
      </c>
      <c r="AR645" s="36">
        <v>0</v>
      </c>
      <c r="AS645" s="36">
        <v>0</v>
      </c>
      <c r="AT645" s="36">
        <v>0</v>
      </c>
      <c r="AU645" s="36">
        <v>0</v>
      </c>
      <c r="AV645" s="36">
        <v>0</v>
      </c>
      <c r="AW645" s="36">
        <v>0</v>
      </c>
      <c r="AX645" s="36">
        <v>0</v>
      </c>
      <c r="AY645" s="36">
        <v>0</v>
      </c>
      <c r="AZ645" s="36">
        <v>0</v>
      </c>
      <c r="BA645" s="36">
        <v>0</v>
      </c>
      <c r="BB645" s="36">
        <v>0</v>
      </c>
      <c r="BC645" s="36">
        <v>0</v>
      </c>
      <c r="BD645" s="36">
        <v>0</v>
      </c>
      <c r="BE645" s="36">
        <v>0</v>
      </c>
      <c r="BF645" s="36">
        <v>0</v>
      </c>
      <c r="BG645" s="36">
        <v>0</v>
      </c>
      <c r="BH645" s="36">
        <v>0</v>
      </c>
      <c r="BI645" s="36">
        <v>0</v>
      </c>
      <c r="BJ645" s="36">
        <v>1</v>
      </c>
      <c r="BK645" s="36">
        <v>0</v>
      </c>
      <c r="BL645" s="36">
        <v>0</v>
      </c>
      <c r="BM645" s="36">
        <v>0</v>
      </c>
      <c r="BN645" s="36">
        <v>0</v>
      </c>
      <c r="BO645" s="36">
        <v>0</v>
      </c>
      <c r="BP645" s="36">
        <v>0</v>
      </c>
      <c r="BQ645" s="36">
        <v>0</v>
      </c>
      <c r="BR645" s="36">
        <v>0</v>
      </c>
      <c r="BS645" s="36">
        <v>0</v>
      </c>
      <c r="BT645" s="36">
        <v>0</v>
      </c>
      <c r="BU645" s="36">
        <v>0</v>
      </c>
      <c r="BV645" s="36">
        <v>0</v>
      </c>
      <c r="BW645" s="36">
        <v>0</v>
      </c>
      <c r="BX645" s="36">
        <v>0</v>
      </c>
      <c r="BY645" s="36">
        <v>0</v>
      </c>
      <c r="BZ645" s="37">
        <v>0</v>
      </c>
      <c r="CA645" s="305">
        <v>0</v>
      </c>
      <c r="CB645" s="306">
        <v>0</v>
      </c>
      <c r="CC645" s="306">
        <v>0</v>
      </c>
      <c r="CD645" s="306">
        <v>0</v>
      </c>
      <c r="CE645" s="306">
        <v>0</v>
      </c>
      <c r="CF645" s="306">
        <v>0</v>
      </c>
      <c r="CG645" s="306">
        <v>0</v>
      </c>
      <c r="CH645" s="306">
        <v>0</v>
      </c>
      <c r="CI645" s="306">
        <v>0</v>
      </c>
      <c r="CJ645" s="306">
        <v>0</v>
      </c>
    </row>
    <row r="646" spans="1:88" s="3" customFormat="1" ht="18" customHeight="1" x14ac:dyDescent="0.2">
      <c r="A646" s="39">
        <v>33</v>
      </c>
      <c r="B646" s="35">
        <v>0</v>
      </c>
      <c r="C646" s="36">
        <v>-1</v>
      </c>
      <c r="D646" s="36">
        <v>-1</v>
      </c>
      <c r="E646" s="36">
        <v>-1</v>
      </c>
      <c r="F646" s="36">
        <v>0</v>
      </c>
      <c r="G646" s="36">
        <v>0</v>
      </c>
      <c r="H646" s="36">
        <v>-1</v>
      </c>
      <c r="I646" s="36">
        <v>-1</v>
      </c>
      <c r="J646" s="36">
        <v>-1</v>
      </c>
      <c r="K646" s="36">
        <v>0</v>
      </c>
      <c r="L646" s="36">
        <v>0</v>
      </c>
      <c r="M646" s="36">
        <v>0</v>
      </c>
      <c r="N646" s="36">
        <v>0</v>
      </c>
      <c r="O646" s="36">
        <v>-1</v>
      </c>
      <c r="P646" s="36">
        <v>0</v>
      </c>
      <c r="Q646" s="36">
        <v>0</v>
      </c>
      <c r="R646" s="36">
        <v>0</v>
      </c>
      <c r="S646" s="36">
        <v>0</v>
      </c>
      <c r="T646" s="36">
        <v>0</v>
      </c>
      <c r="U646" s="36">
        <v>0</v>
      </c>
      <c r="V646" s="36">
        <v>0</v>
      </c>
      <c r="W646" s="36">
        <v>0</v>
      </c>
      <c r="X646" s="36">
        <v>0</v>
      </c>
      <c r="Y646" s="36">
        <v>1</v>
      </c>
      <c r="Z646" s="36">
        <v>0</v>
      </c>
      <c r="AA646" s="36">
        <v>0</v>
      </c>
      <c r="AB646" s="36">
        <v>0</v>
      </c>
      <c r="AC646" s="36">
        <v>0</v>
      </c>
      <c r="AD646" s="36">
        <v>0</v>
      </c>
      <c r="AE646" s="36">
        <v>0</v>
      </c>
      <c r="AF646" s="36">
        <v>0</v>
      </c>
      <c r="AG646" s="36">
        <v>0</v>
      </c>
      <c r="AH646" s="36">
        <v>0</v>
      </c>
      <c r="AI646" s="36">
        <v>0</v>
      </c>
      <c r="AJ646" s="36">
        <v>0</v>
      </c>
      <c r="AK646" s="36">
        <v>0</v>
      </c>
      <c r="AL646" s="36">
        <v>0</v>
      </c>
      <c r="AM646" s="36">
        <v>0</v>
      </c>
      <c r="AN646" s="36">
        <v>0</v>
      </c>
      <c r="AO646" s="36">
        <v>0</v>
      </c>
      <c r="AP646" s="36">
        <v>0</v>
      </c>
      <c r="AQ646" s="36">
        <v>0</v>
      </c>
      <c r="AR646" s="36">
        <v>0</v>
      </c>
      <c r="AS646" s="36">
        <v>0</v>
      </c>
      <c r="AT646" s="36">
        <v>0</v>
      </c>
      <c r="AU646" s="36">
        <v>0</v>
      </c>
      <c r="AV646" s="36">
        <v>0</v>
      </c>
      <c r="AW646" s="36">
        <v>0</v>
      </c>
      <c r="AX646" s="36">
        <v>0</v>
      </c>
      <c r="AY646" s="36">
        <v>0</v>
      </c>
      <c r="AZ646" s="36">
        <v>0</v>
      </c>
      <c r="BA646" s="36">
        <v>0</v>
      </c>
      <c r="BB646" s="36">
        <v>0</v>
      </c>
      <c r="BC646" s="36">
        <v>0</v>
      </c>
      <c r="BD646" s="36">
        <v>0</v>
      </c>
      <c r="BE646" s="36">
        <v>0</v>
      </c>
      <c r="BF646" s="36">
        <v>0</v>
      </c>
      <c r="BG646" s="36">
        <v>0</v>
      </c>
      <c r="BH646" s="36">
        <v>0</v>
      </c>
      <c r="BI646" s="36">
        <v>0</v>
      </c>
      <c r="BJ646" s="36">
        <v>0</v>
      </c>
      <c r="BK646" s="36">
        <v>1</v>
      </c>
      <c r="BL646" s="36">
        <v>0</v>
      </c>
      <c r="BM646" s="36">
        <v>0</v>
      </c>
      <c r="BN646" s="36">
        <v>0</v>
      </c>
      <c r="BO646" s="36">
        <v>0</v>
      </c>
      <c r="BP646" s="36">
        <v>0</v>
      </c>
      <c r="BQ646" s="36">
        <v>0</v>
      </c>
      <c r="BR646" s="36">
        <v>0</v>
      </c>
      <c r="BS646" s="36">
        <v>0</v>
      </c>
      <c r="BT646" s="36">
        <v>0</v>
      </c>
      <c r="BU646" s="36">
        <v>0</v>
      </c>
      <c r="BV646" s="36">
        <v>0</v>
      </c>
      <c r="BW646" s="36">
        <v>0</v>
      </c>
      <c r="BX646" s="36">
        <v>0</v>
      </c>
      <c r="BY646" s="36">
        <v>0</v>
      </c>
      <c r="BZ646" s="37">
        <v>0</v>
      </c>
      <c r="CA646" s="305">
        <v>0</v>
      </c>
      <c r="CB646" s="306">
        <v>0</v>
      </c>
      <c r="CC646" s="306">
        <v>0</v>
      </c>
      <c r="CD646" s="306">
        <v>0</v>
      </c>
      <c r="CE646" s="306">
        <v>0</v>
      </c>
      <c r="CF646" s="306">
        <v>0</v>
      </c>
      <c r="CG646" s="306">
        <v>0</v>
      </c>
      <c r="CH646" s="306">
        <v>0</v>
      </c>
      <c r="CI646" s="306">
        <v>0</v>
      </c>
      <c r="CJ646" s="306">
        <v>0</v>
      </c>
    </row>
    <row r="647" spans="1:88" s="3" customFormat="1" ht="18" customHeight="1" x14ac:dyDescent="0.2">
      <c r="A647" s="39">
        <v>34</v>
      </c>
      <c r="B647" s="35">
        <v>0</v>
      </c>
      <c r="C647" s="36">
        <v>-1</v>
      </c>
      <c r="D647" s="36">
        <v>-1</v>
      </c>
      <c r="E647" s="36">
        <v>-1</v>
      </c>
      <c r="F647" s="36">
        <v>0</v>
      </c>
      <c r="G647" s="36">
        <v>0</v>
      </c>
      <c r="H647" s="36">
        <v>-1</v>
      </c>
      <c r="I647" s="36">
        <v>-1</v>
      </c>
      <c r="J647" s="36">
        <v>-1</v>
      </c>
      <c r="K647" s="36">
        <v>0</v>
      </c>
      <c r="L647" s="36">
        <v>0</v>
      </c>
      <c r="M647" s="36">
        <v>0</v>
      </c>
      <c r="N647" s="36">
        <v>0</v>
      </c>
      <c r="O647" s="36">
        <v>0</v>
      </c>
      <c r="P647" s="36">
        <v>-1</v>
      </c>
      <c r="Q647" s="36">
        <v>0</v>
      </c>
      <c r="R647" s="36">
        <v>0</v>
      </c>
      <c r="S647" s="36">
        <v>0</v>
      </c>
      <c r="T647" s="36">
        <v>0</v>
      </c>
      <c r="U647" s="36">
        <v>0</v>
      </c>
      <c r="V647" s="36">
        <v>0</v>
      </c>
      <c r="W647" s="36">
        <v>0</v>
      </c>
      <c r="X647" s="36">
        <v>0</v>
      </c>
      <c r="Y647" s="36">
        <v>0</v>
      </c>
      <c r="Z647" s="36">
        <v>1</v>
      </c>
      <c r="AA647" s="36">
        <v>0</v>
      </c>
      <c r="AB647" s="36">
        <v>0</v>
      </c>
      <c r="AC647" s="36">
        <v>0</v>
      </c>
      <c r="AD647" s="36">
        <v>0</v>
      </c>
      <c r="AE647" s="36">
        <v>0</v>
      </c>
      <c r="AF647" s="36">
        <v>0</v>
      </c>
      <c r="AG647" s="36">
        <v>0</v>
      </c>
      <c r="AH647" s="36">
        <v>0</v>
      </c>
      <c r="AI647" s="36">
        <v>0</v>
      </c>
      <c r="AJ647" s="36">
        <v>0</v>
      </c>
      <c r="AK647" s="36">
        <v>0</v>
      </c>
      <c r="AL647" s="36">
        <v>0</v>
      </c>
      <c r="AM647" s="36">
        <v>0</v>
      </c>
      <c r="AN647" s="36">
        <v>0</v>
      </c>
      <c r="AO647" s="36">
        <v>0</v>
      </c>
      <c r="AP647" s="36">
        <v>0</v>
      </c>
      <c r="AQ647" s="36">
        <v>0</v>
      </c>
      <c r="AR647" s="36">
        <v>0</v>
      </c>
      <c r="AS647" s="36">
        <v>0</v>
      </c>
      <c r="AT647" s="36">
        <v>0</v>
      </c>
      <c r="AU647" s="36">
        <v>0</v>
      </c>
      <c r="AV647" s="36">
        <v>0</v>
      </c>
      <c r="AW647" s="36">
        <v>0</v>
      </c>
      <c r="AX647" s="36">
        <v>0</v>
      </c>
      <c r="AY647" s="36">
        <v>0</v>
      </c>
      <c r="AZ647" s="36">
        <v>0</v>
      </c>
      <c r="BA647" s="36">
        <v>0</v>
      </c>
      <c r="BB647" s="36">
        <v>0</v>
      </c>
      <c r="BC647" s="36">
        <v>0</v>
      </c>
      <c r="BD647" s="36">
        <v>0</v>
      </c>
      <c r="BE647" s="36">
        <v>0</v>
      </c>
      <c r="BF647" s="36">
        <v>0</v>
      </c>
      <c r="BG647" s="36">
        <v>0</v>
      </c>
      <c r="BH647" s="36">
        <v>0</v>
      </c>
      <c r="BI647" s="36">
        <v>0</v>
      </c>
      <c r="BJ647" s="36">
        <v>0</v>
      </c>
      <c r="BK647" s="36">
        <v>0</v>
      </c>
      <c r="BL647" s="36">
        <v>1</v>
      </c>
      <c r="BM647" s="36">
        <v>0</v>
      </c>
      <c r="BN647" s="36">
        <v>0</v>
      </c>
      <c r="BO647" s="36">
        <v>0</v>
      </c>
      <c r="BP647" s="36">
        <v>0</v>
      </c>
      <c r="BQ647" s="36">
        <v>0</v>
      </c>
      <c r="BR647" s="36">
        <v>0</v>
      </c>
      <c r="BS647" s="36">
        <v>0</v>
      </c>
      <c r="BT647" s="36">
        <v>0</v>
      </c>
      <c r="BU647" s="36">
        <v>0</v>
      </c>
      <c r="BV647" s="36">
        <v>0</v>
      </c>
      <c r="BW647" s="36">
        <v>0</v>
      </c>
      <c r="BX647" s="36">
        <v>0</v>
      </c>
      <c r="BY647" s="36">
        <v>0</v>
      </c>
      <c r="BZ647" s="37">
        <v>0</v>
      </c>
      <c r="CA647" s="305">
        <v>0</v>
      </c>
      <c r="CB647" s="306">
        <v>0</v>
      </c>
      <c r="CC647" s="306">
        <v>0</v>
      </c>
      <c r="CD647" s="306">
        <v>0</v>
      </c>
      <c r="CE647" s="306">
        <v>0</v>
      </c>
      <c r="CF647" s="306">
        <v>0</v>
      </c>
      <c r="CG647" s="306">
        <v>0</v>
      </c>
      <c r="CH647" s="306">
        <v>0</v>
      </c>
      <c r="CI647" s="306">
        <v>0</v>
      </c>
      <c r="CJ647" s="306">
        <v>0</v>
      </c>
    </row>
    <row r="648" spans="1:88" s="3" customFormat="1" ht="18" customHeight="1" x14ac:dyDescent="0.2">
      <c r="A648" s="39">
        <v>35</v>
      </c>
      <c r="B648" s="35">
        <v>0</v>
      </c>
      <c r="C648" s="36">
        <v>-1</v>
      </c>
      <c r="D648" s="36">
        <v>-1</v>
      </c>
      <c r="E648" s="36">
        <v>-1</v>
      </c>
      <c r="F648" s="36">
        <v>0</v>
      </c>
      <c r="G648" s="36">
        <v>0</v>
      </c>
      <c r="H648" s="36">
        <v>-1</v>
      </c>
      <c r="I648" s="36">
        <v>-1</v>
      </c>
      <c r="J648" s="36">
        <v>-1</v>
      </c>
      <c r="K648" s="36">
        <v>0</v>
      </c>
      <c r="L648" s="36">
        <v>0</v>
      </c>
      <c r="M648" s="36">
        <v>0</v>
      </c>
      <c r="N648" s="36">
        <v>0</v>
      </c>
      <c r="O648" s="36">
        <v>0</v>
      </c>
      <c r="P648" s="36">
        <v>0</v>
      </c>
      <c r="Q648" s="36">
        <v>-1</v>
      </c>
      <c r="R648" s="36">
        <v>0</v>
      </c>
      <c r="S648" s="36">
        <v>0</v>
      </c>
      <c r="T648" s="36">
        <v>0</v>
      </c>
      <c r="U648" s="36">
        <v>0</v>
      </c>
      <c r="V648" s="36">
        <v>0</v>
      </c>
      <c r="W648" s="36">
        <v>0</v>
      </c>
      <c r="X648" s="36">
        <v>0</v>
      </c>
      <c r="Y648" s="36">
        <v>0</v>
      </c>
      <c r="Z648" s="36">
        <v>0</v>
      </c>
      <c r="AA648" s="36">
        <v>1</v>
      </c>
      <c r="AB648" s="36">
        <v>0</v>
      </c>
      <c r="AC648" s="36">
        <v>0</v>
      </c>
      <c r="AD648" s="36">
        <v>0</v>
      </c>
      <c r="AE648" s="36">
        <v>0</v>
      </c>
      <c r="AF648" s="36">
        <v>0</v>
      </c>
      <c r="AG648" s="36">
        <v>0</v>
      </c>
      <c r="AH648" s="36">
        <v>0</v>
      </c>
      <c r="AI648" s="36">
        <v>0</v>
      </c>
      <c r="AJ648" s="36">
        <v>0</v>
      </c>
      <c r="AK648" s="36">
        <v>0</v>
      </c>
      <c r="AL648" s="36">
        <v>0</v>
      </c>
      <c r="AM648" s="36">
        <v>0</v>
      </c>
      <c r="AN648" s="36">
        <v>0</v>
      </c>
      <c r="AO648" s="36">
        <v>0</v>
      </c>
      <c r="AP648" s="36">
        <v>0</v>
      </c>
      <c r="AQ648" s="36">
        <v>0</v>
      </c>
      <c r="AR648" s="36">
        <v>0</v>
      </c>
      <c r="AS648" s="36">
        <v>0</v>
      </c>
      <c r="AT648" s="36">
        <v>0</v>
      </c>
      <c r="AU648" s="36">
        <v>0</v>
      </c>
      <c r="AV648" s="36">
        <v>0</v>
      </c>
      <c r="AW648" s="36">
        <v>0</v>
      </c>
      <c r="AX648" s="36">
        <v>0</v>
      </c>
      <c r="AY648" s="36">
        <v>0</v>
      </c>
      <c r="AZ648" s="36">
        <v>0</v>
      </c>
      <c r="BA648" s="36">
        <v>0</v>
      </c>
      <c r="BB648" s="36">
        <v>0</v>
      </c>
      <c r="BC648" s="36">
        <v>0</v>
      </c>
      <c r="BD648" s="36">
        <v>0</v>
      </c>
      <c r="BE648" s="36">
        <v>0</v>
      </c>
      <c r="BF648" s="36">
        <v>0</v>
      </c>
      <c r="BG648" s="36">
        <v>0</v>
      </c>
      <c r="BH648" s="36">
        <v>0</v>
      </c>
      <c r="BI648" s="36">
        <v>0</v>
      </c>
      <c r="BJ648" s="36">
        <v>0</v>
      </c>
      <c r="BK648" s="36">
        <v>0</v>
      </c>
      <c r="BL648" s="36">
        <v>0</v>
      </c>
      <c r="BM648" s="36">
        <v>1</v>
      </c>
      <c r="BN648" s="36">
        <v>0</v>
      </c>
      <c r="BO648" s="36">
        <v>0</v>
      </c>
      <c r="BP648" s="36">
        <v>0</v>
      </c>
      <c r="BQ648" s="36">
        <v>0</v>
      </c>
      <c r="BR648" s="36">
        <v>0</v>
      </c>
      <c r="BS648" s="36">
        <v>0</v>
      </c>
      <c r="BT648" s="36">
        <v>0</v>
      </c>
      <c r="BU648" s="36">
        <v>0</v>
      </c>
      <c r="BV648" s="36">
        <v>0</v>
      </c>
      <c r="BW648" s="36">
        <v>0</v>
      </c>
      <c r="BX648" s="36">
        <v>0</v>
      </c>
      <c r="BY648" s="36">
        <v>0</v>
      </c>
      <c r="BZ648" s="37">
        <v>0</v>
      </c>
      <c r="CA648" s="305">
        <v>0</v>
      </c>
      <c r="CB648" s="306">
        <v>0</v>
      </c>
      <c r="CC648" s="306">
        <v>0</v>
      </c>
      <c r="CD648" s="306">
        <v>0</v>
      </c>
      <c r="CE648" s="306">
        <v>0</v>
      </c>
      <c r="CF648" s="306">
        <v>0</v>
      </c>
      <c r="CG648" s="306">
        <v>0</v>
      </c>
      <c r="CH648" s="306">
        <v>0</v>
      </c>
      <c r="CI648" s="306">
        <v>0</v>
      </c>
      <c r="CJ648" s="306">
        <v>0</v>
      </c>
    </row>
    <row r="649" spans="1:88" s="3" customFormat="1" ht="18" customHeight="1" x14ac:dyDescent="0.2">
      <c r="A649" s="39">
        <v>36</v>
      </c>
      <c r="B649" s="35">
        <v>0</v>
      </c>
      <c r="C649" s="36">
        <v>-1</v>
      </c>
      <c r="D649" s="36">
        <v>-1</v>
      </c>
      <c r="E649" s="36">
        <v>-1</v>
      </c>
      <c r="F649" s="36">
        <v>0</v>
      </c>
      <c r="G649" s="36">
        <v>0</v>
      </c>
      <c r="H649" s="36">
        <v>-1</v>
      </c>
      <c r="I649" s="36">
        <v>-1</v>
      </c>
      <c r="J649" s="36">
        <v>-1</v>
      </c>
      <c r="K649" s="36">
        <v>0</v>
      </c>
      <c r="L649" s="36">
        <v>0</v>
      </c>
      <c r="M649" s="36">
        <v>0</v>
      </c>
      <c r="N649" s="36">
        <v>0</v>
      </c>
      <c r="O649" s="36">
        <v>0</v>
      </c>
      <c r="P649" s="36">
        <v>0</v>
      </c>
      <c r="Q649" s="36">
        <v>0</v>
      </c>
      <c r="R649" s="36">
        <v>-1</v>
      </c>
      <c r="S649" s="36">
        <v>0</v>
      </c>
      <c r="T649" s="36">
        <v>0</v>
      </c>
      <c r="U649" s="36">
        <v>0</v>
      </c>
      <c r="V649" s="36">
        <v>0</v>
      </c>
      <c r="W649" s="36">
        <v>0</v>
      </c>
      <c r="X649" s="36">
        <v>0</v>
      </c>
      <c r="Y649" s="36">
        <v>0</v>
      </c>
      <c r="Z649" s="36">
        <v>0</v>
      </c>
      <c r="AA649" s="36">
        <v>0</v>
      </c>
      <c r="AB649" s="36">
        <v>1</v>
      </c>
      <c r="AC649" s="36">
        <v>0</v>
      </c>
      <c r="AD649" s="36">
        <v>0</v>
      </c>
      <c r="AE649" s="36">
        <v>0</v>
      </c>
      <c r="AF649" s="36">
        <v>0</v>
      </c>
      <c r="AG649" s="36">
        <v>0</v>
      </c>
      <c r="AH649" s="36">
        <v>0</v>
      </c>
      <c r="AI649" s="36">
        <v>0</v>
      </c>
      <c r="AJ649" s="36">
        <v>0</v>
      </c>
      <c r="AK649" s="36">
        <v>0</v>
      </c>
      <c r="AL649" s="36">
        <v>0</v>
      </c>
      <c r="AM649" s="36">
        <v>0</v>
      </c>
      <c r="AN649" s="36">
        <v>0</v>
      </c>
      <c r="AO649" s="36">
        <v>0</v>
      </c>
      <c r="AP649" s="36">
        <v>0</v>
      </c>
      <c r="AQ649" s="36">
        <v>0</v>
      </c>
      <c r="AR649" s="36">
        <v>0</v>
      </c>
      <c r="AS649" s="36">
        <v>0</v>
      </c>
      <c r="AT649" s="36">
        <v>0</v>
      </c>
      <c r="AU649" s="36">
        <v>0</v>
      </c>
      <c r="AV649" s="36">
        <v>0</v>
      </c>
      <c r="AW649" s="36">
        <v>0</v>
      </c>
      <c r="AX649" s="36">
        <v>0</v>
      </c>
      <c r="AY649" s="36">
        <v>0</v>
      </c>
      <c r="AZ649" s="36">
        <v>0</v>
      </c>
      <c r="BA649" s="36">
        <v>0</v>
      </c>
      <c r="BB649" s="36">
        <v>0</v>
      </c>
      <c r="BC649" s="36">
        <v>0</v>
      </c>
      <c r="BD649" s="36">
        <v>0</v>
      </c>
      <c r="BE649" s="36">
        <v>0</v>
      </c>
      <c r="BF649" s="36">
        <v>0</v>
      </c>
      <c r="BG649" s="36">
        <v>0</v>
      </c>
      <c r="BH649" s="36">
        <v>0</v>
      </c>
      <c r="BI649" s="36">
        <v>0</v>
      </c>
      <c r="BJ649" s="36">
        <v>0</v>
      </c>
      <c r="BK649" s="36">
        <v>0</v>
      </c>
      <c r="BL649" s="36">
        <v>0</v>
      </c>
      <c r="BM649" s="36">
        <v>0</v>
      </c>
      <c r="BN649" s="36">
        <v>1</v>
      </c>
      <c r="BO649" s="36">
        <v>0</v>
      </c>
      <c r="BP649" s="36">
        <v>0</v>
      </c>
      <c r="BQ649" s="36">
        <v>0</v>
      </c>
      <c r="BR649" s="36">
        <v>0</v>
      </c>
      <c r="BS649" s="36">
        <v>0</v>
      </c>
      <c r="BT649" s="36">
        <v>0</v>
      </c>
      <c r="BU649" s="36">
        <v>0</v>
      </c>
      <c r="BV649" s="36">
        <v>0</v>
      </c>
      <c r="BW649" s="36">
        <v>0</v>
      </c>
      <c r="BX649" s="36">
        <v>0</v>
      </c>
      <c r="BY649" s="36">
        <v>0</v>
      </c>
      <c r="BZ649" s="37">
        <v>0</v>
      </c>
      <c r="CA649" s="305">
        <v>0</v>
      </c>
      <c r="CB649" s="306">
        <v>0</v>
      </c>
      <c r="CC649" s="306">
        <v>0</v>
      </c>
      <c r="CD649" s="306">
        <v>0</v>
      </c>
      <c r="CE649" s="306">
        <v>0</v>
      </c>
      <c r="CF649" s="306">
        <v>0</v>
      </c>
      <c r="CG649" s="306">
        <v>0</v>
      </c>
      <c r="CH649" s="306">
        <v>0</v>
      </c>
      <c r="CI649" s="306">
        <v>0</v>
      </c>
      <c r="CJ649" s="306">
        <v>0</v>
      </c>
    </row>
    <row r="650" spans="1:88" s="3" customFormat="1" ht="18" customHeight="1" x14ac:dyDescent="0.2">
      <c r="A650" s="39">
        <v>37</v>
      </c>
      <c r="B650" s="35">
        <v>0</v>
      </c>
      <c r="C650" s="36">
        <v>-1</v>
      </c>
      <c r="D650" s="36">
        <v>-1</v>
      </c>
      <c r="E650" s="36">
        <v>-1</v>
      </c>
      <c r="F650" s="36">
        <v>0</v>
      </c>
      <c r="G650" s="36">
        <v>0</v>
      </c>
      <c r="H650" s="36">
        <v>-1</v>
      </c>
      <c r="I650" s="36">
        <v>-1</v>
      </c>
      <c r="J650" s="36">
        <v>-1</v>
      </c>
      <c r="K650" s="36">
        <v>0</v>
      </c>
      <c r="L650" s="36">
        <v>0</v>
      </c>
      <c r="M650" s="36">
        <v>0</v>
      </c>
      <c r="N650" s="36">
        <v>0</v>
      </c>
      <c r="O650" s="36">
        <v>0</v>
      </c>
      <c r="P650" s="36">
        <v>0</v>
      </c>
      <c r="Q650" s="36">
        <v>0</v>
      </c>
      <c r="R650" s="36">
        <v>0</v>
      </c>
      <c r="S650" s="36">
        <v>-1</v>
      </c>
      <c r="T650" s="36">
        <v>0</v>
      </c>
      <c r="U650" s="36">
        <v>0</v>
      </c>
      <c r="V650" s="36">
        <v>0</v>
      </c>
      <c r="W650" s="36">
        <v>0</v>
      </c>
      <c r="X650" s="36">
        <v>0</v>
      </c>
      <c r="Y650" s="36">
        <v>0</v>
      </c>
      <c r="Z650" s="36">
        <v>0</v>
      </c>
      <c r="AA650" s="36">
        <v>0</v>
      </c>
      <c r="AB650" s="36">
        <v>0</v>
      </c>
      <c r="AC650" s="36">
        <v>1</v>
      </c>
      <c r="AD650" s="36">
        <v>0</v>
      </c>
      <c r="AE650" s="36">
        <v>0</v>
      </c>
      <c r="AF650" s="36">
        <v>0</v>
      </c>
      <c r="AG650" s="36">
        <v>0</v>
      </c>
      <c r="AH650" s="36">
        <v>0</v>
      </c>
      <c r="AI650" s="36">
        <v>0</v>
      </c>
      <c r="AJ650" s="36">
        <v>0</v>
      </c>
      <c r="AK650" s="36">
        <v>0</v>
      </c>
      <c r="AL650" s="36">
        <v>0</v>
      </c>
      <c r="AM650" s="36">
        <v>0</v>
      </c>
      <c r="AN650" s="36">
        <v>0</v>
      </c>
      <c r="AO650" s="36">
        <v>0</v>
      </c>
      <c r="AP650" s="36">
        <v>0</v>
      </c>
      <c r="AQ650" s="36">
        <v>0</v>
      </c>
      <c r="AR650" s="36">
        <v>0</v>
      </c>
      <c r="AS650" s="36">
        <v>0</v>
      </c>
      <c r="AT650" s="36">
        <v>0</v>
      </c>
      <c r="AU650" s="36">
        <v>0</v>
      </c>
      <c r="AV650" s="36">
        <v>0</v>
      </c>
      <c r="AW650" s="36">
        <v>0</v>
      </c>
      <c r="AX650" s="36">
        <v>0</v>
      </c>
      <c r="AY650" s="36">
        <v>0</v>
      </c>
      <c r="AZ650" s="36">
        <v>0</v>
      </c>
      <c r="BA650" s="36">
        <v>0</v>
      </c>
      <c r="BB650" s="36">
        <v>0</v>
      </c>
      <c r="BC650" s="36">
        <v>0</v>
      </c>
      <c r="BD650" s="36">
        <v>0</v>
      </c>
      <c r="BE650" s="36">
        <v>0</v>
      </c>
      <c r="BF650" s="36">
        <v>0</v>
      </c>
      <c r="BG650" s="36">
        <v>0</v>
      </c>
      <c r="BH650" s="36">
        <v>0</v>
      </c>
      <c r="BI650" s="36">
        <v>0</v>
      </c>
      <c r="BJ650" s="36">
        <v>0</v>
      </c>
      <c r="BK650" s="36">
        <v>0</v>
      </c>
      <c r="BL650" s="36">
        <v>0</v>
      </c>
      <c r="BM650" s="36">
        <v>0</v>
      </c>
      <c r="BN650" s="36">
        <v>0</v>
      </c>
      <c r="BO650" s="36">
        <v>1</v>
      </c>
      <c r="BP650" s="36">
        <v>0</v>
      </c>
      <c r="BQ650" s="36">
        <v>0</v>
      </c>
      <c r="BR650" s="36">
        <v>0</v>
      </c>
      <c r="BS650" s="36">
        <v>0</v>
      </c>
      <c r="BT650" s="36">
        <v>0</v>
      </c>
      <c r="BU650" s="36">
        <v>0</v>
      </c>
      <c r="BV650" s="36">
        <v>0</v>
      </c>
      <c r="BW650" s="36">
        <v>0</v>
      </c>
      <c r="BX650" s="36">
        <v>0</v>
      </c>
      <c r="BY650" s="36">
        <v>0</v>
      </c>
      <c r="BZ650" s="37">
        <v>0</v>
      </c>
      <c r="CA650" s="305">
        <v>0</v>
      </c>
      <c r="CB650" s="306">
        <v>0</v>
      </c>
      <c r="CC650" s="306">
        <v>0</v>
      </c>
      <c r="CD650" s="306">
        <v>0</v>
      </c>
      <c r="CE650" s="306">
        <v>0</v>
      </c>
      <c r="CF650" s="306">
        <v>0</v>
      </c>
      <c r="CG650" s="306">
        <v>0</v>
      </c>
      <c r="CH650" s="306">
        <v>0</v>
      </c>
      <c r="CI650" s="306">
        <v>0</v>
      </c>
      <c r="CJ650" s="306">
        <v>0</v>
      </c>
    </row>
    <row r="651" spans="1:88" s="3" customFormat="1" ht="18" customHeight="1" x14ac:dyDescent="0.2">
      <c r="A651" s="39">
        <v>38</v>
      </c>
      <c r="B651" s="35">
        <v>0</v>
      </c>
      <c r="C651" s="36">
        <v>-1</v>
      </c>
      <c r="D651" s="36">
        <v>-1</v>
      </c>
      <c r="E651" s="36">
        <v>-1</v>
      </c>
      <c r="F651" s="36">
        <v>0</v>
      </c>
      <c r="G651" s="36">
        <v>0</v>
      </c>
      <c r="H651" s="36">
        <v>-1</v>
      </c>
      <c r="I651" s="36">
        <v>-1</v>
      </c>
      <c r="J651" s="36">
        <v>-1</v>
      </c>
      <c r="K651" s="36">
        <v>0</v>
      </c>
      <c r="L651" s="36">
        <v>0</v>
      </c>
      <c r="M651" s="36">
        <v>0</v>
      </c>
      <c r="N651" s="36">
        <v>0</v>
      </c>
      <c r="O651" s="36">
        <v>0</v>
      </c>
      <c r="P651" s="36">
        <v>0</v>
      </c>
      <c r="Q651" s="36">
        <v>0</v>
      </c>
      <c r="R651" s="36">
        <v>0</v>
      </c>
      <c r="S651" s="36">
        <v>0</v>
      </c>
      <c r="T651" s="36">
        <v>-1</v>
      </c>
      <c r="U651" s="36">
        <v>0</v>
      </c>
      <c r="V651" s="36">
        <v>0</v>
      </c>
      <c r="W651" s="36">
        <v>0</v>
      </c>
      <c r="X651" s="36">
        <v>0</v>
      </c>
      <c r="Y651" s="36">
        <v>0</v>
      </c>
      <c r="Z651" s="36">
        <v>0</v>
      </c>
      <c r="AA651" s="36">
        <v>0</v>
      </c>
      <c r="AB651" s="36">
        <v>0</v>
      </c>
      <c r="AC651" s="36">
        <v>0</v>
      </c>
      <c r="AD651" s="36">
        <v>1</v>
      </c>
      <c r="AE651" s="36">
        <v>0</v>
      </c>
      <c r="AF651" s="36">
        <v>0</v>
      </c>
      <c r="AG651" s="36">
        <v>0</v>
      </c>
      <c r="AH651" s="36">
        <v>0</v>
      </c>
      <c r="AI651" s="36">
        <v>0</v>
      </c>
      <c r="AJ651" s="36">
        <v>0</v>
      </c>
      <c r="AK651" s="36">
        <v>0</v>
      </c>
      <c r="AL651" s="36">
        <v>0</v>
      </c>
      <c r="AM651" s="36">
        <v>0</v>
      </c>
      <c r="AN651" s="36">
        <v>0</v>
      </c>
      <c r="AO651" s="36">
        <v>0</v>
      </c>
      <c r="AP651" s="36">
        <v>0</v>
      </c>
      <c r="AQ651" s="36">
        <v>0</v>
      </c>
      <c r="AR651" s="36">
        <v>0</v>
      </c>
      <c r="AS651" s="36">
        <v>0</v>
      </c>
      <c r="AT651" s="36">
        <v>0</v>
      </c>
      <c r="AU651" s="36">
        <v>0</v>
      </c>
      <c r="AV651" s="36">
        <v>0</v>
      </c>
      <c r="AW651" s="36">
        <v>0</v>
      </c>
      <c r="AX651" s="36">
        <v>0</v>
      </c>
      <c r="AY651" s="36">
        <v>0</v>
      </c>
      <c r="AZ651" s="36">
        <v>0</v>
      </c>
      <c r="BA651" s="36">
        <v>0</v>
      </c>
      <c r="BB651" s="36">
        <v>0</v>
      </c>
      <c r="BC651" s="36">
        <v>0</v>
      </c>
      <c r="BD651" s="36">
        <v>0</v>
      </c>
      <c r="BE651" s="36">
        <v>0</v>
      </c>
      <c r="BF651" s="36">
        <v>0</v>
      </c>
      <c r="BG651" s="36">
        <v>0</v>
      </c>
      <c r="BH651" s="36">
        <v>0</v>
      </c>
      <c r="BI651" s="36">
        <v>0</v>
      </c>
      <c r="BJ651" s="36">
        <v>0</v>
      </c>
      <c r="BK651" s="36">
        <v>0</v>
      </c>
      <c r="BL651" s="36">
        <v>0</v>
      </c>
      <c r="BM651" s="36">
        <v>0</v>
      </c>
      <c r="BN651" s="36">
        <v>0</v>
      </c>
      <c r="BO651" s="36">
        <v>0</v>
      </c>
      <c r="BP651" s="36">
        <v>1</v>
      </c>
      <c r="BQ651" s="36">
        <v>0</v>
      </c>
      <c r="BR651" s="36">
        <v>0</v>
      </c>
      <c r="BS651" s="36">
        <v>0</v>
      </c>
      <c r="BT651" s="36">
        <v>0</v>
      </c>
      <c r="BU651" s="36">
        <v>0</v>
      </c>
      <c r="BV651" s="36">
        <v>0</v>
      </c>
      <c r="BW651" s="36">
        <v>0</v>
      </c>
      <c r="BX651" s="36">
        <v>0</v>
      </c>
      <c r="BY651" s="36">
        <v>0</v>
      </c>
      <c r="BZ651" s="37">
        <v>0</v>
      </c>
      <c r="CA651" s="305">
        <v>0</v>
      </c>
      <c r="CB651" s="306">
        <v>0</v>
      </c>
      <c r="CC651" s="306">
        <v>0</v>
      </c>
      <c r="CD651" s="306">
        <v>0</v>
      </c>
      <c r="CE651" s="306">
        <v>0</v>
      </c>
      <c r="CF651" s="306">
        <v>0</v>
      </c>
      <c r="CG651" s="306">
        <v>0</v>
      </c>
      <c r="CH651" s="306">
        <v>0</v>
      </c>
      <c r="CI651" s="306">
        <v>0</v>
      </c>
      <c r="CJ651" s="306">
        <v>0</v>
      </c>
    </row>
    <row r="652" spans="1:88" s="3" customFormat="1" ht="18" customHeight="1" x14ac:dyDescent="0.2">
      <c r="A652" s="39">
        <v>39</v>
      </c>
      <c r="B652" s="35">
        <v>0</v>
      </c>
      <c r="C652" s="36">
        <v>-1</v>
      </c>
      <c r="D652" s="36">
        <v>-1</v>
      </c>
      <c r="E652" s="36">
        <v>-1</v>
      </c>
      <c r="F652" s="36">
        <v>0</v>
      </c>
      <c r="G652" s="36">
        <v>0</v>
      </c>
      <c r="H652" s="36">
        <v>-1</v>
      </c>
      <c r="I652" s="36">
        <v>-1</v>
      </c>
      <c r="J652" s="36">
        <v>-1</v>
      </c>
      <c r="K652" s="36">
        <v>-1</v>
      </c>
      <c r="L652" s="36">
        <v>0</v>
      </c>
      <c r="M652" s="36">
        <v>0</v>
      </c>
      <c r="N652" s="36">
        <v>0</v>
      </c>
      <c r="O652" s="36">
        <v>0</v>
      </c>
      <c r="P652" s="36">
        <v>0</v>
      </c>
      <c r="Q652" s="36">
        <v>0</v>
      </c>
      <c r="R652" s="36">
        <v>0</v>
      </c>
      <c r="S652" s="36">
        <v>0</v>
      </c>
      <c r="T652" s="36">
        <v>0</v>
      </c>
      <c r="U652" s="36">
        <v>1</v>
      </c>
      <c r="V652" s="36">
        <v>0</v>
      </c>
      <c r="W652" s="36">
        <v>0</v>
      </c>
      <c r="X652" s="36">
        <v>0</v>
      </c>
      <c r="Y652" s="36">
        <v>0</v>
      </c>
      <c r="Z652" s="36">
        <v>0</v>
      </c>
      <c r="AA652" s="36">
        <v>0</v>
      </c>
      <c r="AB652" s="36">
        <v>0</v>
      </c>
      <c r="AC652" s="36">
        <v>0</v>
      </c>
      <c r="AD652" s="36">
        <v>0</v>
      </c>
      <c r="AE652" s="36">
        <v>0</v>
      </c>
      <c r="AF652" s="36">
        <v>0</v>
      </c>
      <c r="AG652" s="36">
        <v>0</v>
      </c>
      <c r="AH652" s="36">
        <v>0</v>
      </c>
      <c r="AI652" s="36">
        <v>0</v>
      </c>
      <c r="AJ652" s="36">
        <v>0</v>
      </c>
      <c r="AK652" s="36">
        <v>0</v>
      </c>
      <c r="AL652" s="36">
        <v>0</v>
      </c>
      <c r="AM652" s="36">
        <v>0</v>
      </c>
      <c r="AN652" s="36">
        <v>0</v>
      </c>
      <c r="AO652" s="36">
        <v>0</v>
      </c>
      <c r="AP652" s="36">
        <v>0</v>
      </c>
      <c r="AQ652" s="36">
        <v>0</v>
      </c>
      <c r="AR652" s="36">
        <v>0</v>
      </c>
      <c r="AS652" s="36">
        <v>0</v>
      </c>
      <c r="AT652" s="36">
        <v>0</v>
      </c>
      <c r="AU652" s="36">
        <v>0</v>
      </c>
      <c r="AV652" s="36">
        <v>0</v>
      </c>
      <c r="AW652" s="36">
        <v>0</v>
      </c>
      <c r="AX652" s="36">
        <v>0</v>
      </c>
      <c r="AY652" s="36">
        <v>0</v>
      </c>
      <c r="AZ652" s="36">
        <v>0</v>
      </c>
      <c r="BA652" s="36">
        <v>0</v>
      </c>
      <c r="BB652" s="36">
        <v>0</v>
      </c>
      <c r="BC652" s="36">
        <v>0</v>
      </c>
      <c r="BD652" s="36">
        <v>0</v>
      </c>
      <c r="BE652" s="36">
        <v>0</v>
      </c>
      <c r="BF652" s="36">
        <v>0</v>
      </c>
      <c r="BG652" s="36">
        <v>0</v>
      </c>
      <c r="BH652" s="36">
        <v>0</v>
      </c>
      <c r="BI652" s="36">
        <v>0</v>
      </c>
      <c r="BJ652" s="36">
        <v>0</v>
      </c>
      <c r="BK652" s="36">
        <v>0</v>
      </c>
      <c r="BL652" s="36">
        <v>0</v>
      </c>
      <c r="BM652" s="36">
        <v>0</v>
      </c>
      <c r="BN652" s="36">
        <v>0</v>
      </c>
      <c r="BO652" s="36">
        <v>0</v>
      </c>
      <c r="BP652" s="36">
        <v>0</v>
      </c>
      <c r="BQ652" s="36">
        <v>1</v>
      </c>
      <c r="BR652" s="36">
        <v>0</v>
      </c>
      <c r="BS652" s="36">
        <v>0</v>
      </c>
      <c r="BT652" s="36">
        <v>0</v>
      </c>
      <c r="BU652" s="36">
        <v>0</v>
      </c>
      <c r="BV652" s="36">
        <v>0</v>
      </c>
      <c r="BW652" s="36">
        <v>0</v>
      </c>
      <c r="BX652" s="36">
        <v>0</v>
      </c>
      <c r="BY652" s="36">
        <v>0</v>
      </c>
      <c r="BZ652" s="37">
        <v>0</v>
      </c>
      <c r="CA652" s="305">
        <v>0</v>
      </c>
      <c r="CB652" s="306">
        <v>0</v>
      </c>
      <c r="CC652" s="306">
        <v>0</v>
      </c>
      <c r="CD652" s="306">
        <v>0</v>
      </c>
      <c r="CE652" s="306">
        <v>0</v>
      </c>
      <c r="CF652" s="306">
        <v>0</v>
      </c>
      <c r="CG652" s="306">
        <v>0</v>
      </c>
      <c r="CH652" s="306">
        <v>0</v>
      </c>
      <c r="CI652" s="306">
        <v>0</v>
      </c>
      <c r="CJ652" s="306">
        <v>0</v>
      </c>
    </row>
    <row r="653" spans="1:88" s="3" customFormat="1" ht="18" customHeight="1" x14ac:dyDescent="0.2">
      <c r="A653" s="39">
        <v>40</v>
      </c>
      <c r="B653" s="35">
        <v>0</v>
      </c>
      <c r="C653" s="36">
        <v>-1</v>
      </c>
      <c r="D653" s="36">
        <v>-1</v>
      </c>
      <c r="E653" s="36">
        <v>-1</v>
      </c>
      <c r="F653" s="36">
        <v>0</v>
      </c>
      <c r="G653" s="36">
        <v>0</v>
      </c>
      <c r="H653" s="36">
        <v>-1</v>
      </c>
      <c r="I653" s="36">
        <v>-1</v>
      </c>
      <c r="J653" s="36">
        <v>-1</v>
      </c>
      <c r="K653" s="36">
        <v>0</v>
      </c>
      <c r="L653" s="36">
        <v>-1</v>
      </c>
      <c r="M653" s="36">
        <v>0</v>
      </c>
      <c r="N653" s="36">
        <v>0</v>
      </c>
      <c r="O653" s="36">
        <v>0</v>
      </c>
      <c r="P653" s="36">
        <v>0</v>
      </c>
      <c r="Q653" s="36">
        <v>0</v>
      </c>
      <c r="R653" s="36">
        <v>0</v>
      </c>
      <c r="S653" s="36">
        <v>0</v>
      </c>
      <c r="T653" s="36">
        <v>0</v>
      </c>
      <c r="U653" s="36">
        <v>0</v>
      </c>
      <c r="V653" s="36">
        <v>1</v>
      </c>
      <c r="W653" s="36">
        <v>0</v>
      </c>
      <c r="X653" s="36">
        <v>0</v>
      </c>
      <c r="Y653" s="36">
        <v>0</v>
      </c>
      <c r="Z653" s="36">
        <v>0</v>
      </c>
      <c r="AA653" s="36">
        <v>0</v>
      </c>
      <c r="AB653" s="36">
        <v>0</v>
      </c>
      <c r="AC653" s="36">
        <v>0</v>
      </c>
      <c r="AD653" s="36">
        <v>0</v>
      </c>
      <c r="AE653" s="36">
        <v>0</v>
      </c>
      <c r="AF653" s="36">
        <v>0</v>
      </c>
      <c r="AG653" s="36">
        <v>0</v>
      </c>
      <c r="AH653" s="36">
        <v>0</v>
      </c>
      <c r="AI653" s="36">
        <v>0</v>
      </c>
      <c r="AJ653" s="36">
        <v>0</v>
      </c>
      <c r="AK653" s="36">
        <v>0</v>
      </c>
      <c r="AL653" s="36">
        <v>0</v>
      </c>
      <c r="AM653" s="36">
        <v>0</v>
      </c>
      <c r="AN653" s="36">
        <v>0</v>
      </c>
      <c r="AO653" s="36">
        <v>0</v>
      </c>
      <c r="AP653" s="36">
        <v>0</v>
      </c>
      <c r="AQ653" s="36">
        <v>0</v>
      </c>
      <c r="AR653" s="36">
        <v>0</v>
      </c>
      <c r="AS653" s="36">
        <v>0</v>
      </c>
      <c r="AT653" s="36">
        <v>0</v>
      </c>
      <c r="AU653" s="36">
        <v>0</v>
      </c>
      <c r="AV653" s="36">
        <v>0</v>
      </c>
      <c r="AW653" s="36">
        <v>0</v>
      </c>
      <c r="AX653" s="36">
        <v>0</v>
      </c>
      <c r="AY653" s="36">
        <v>0</v>
      </c>
      <c r="AZ653" s="36">
        <v>0</v>
      </c>
      <c r="BA653" s="36">
        <v>0</v>
      </c>
      <c r="BB653" s="36">
        <v>0</v>
      </c>
      <c r="BC653" s="36">
        <v>0</v>
      </c>
      <c r="BD653" s="36">
        <v>0</v>
      </c>
      <c r="BE653" s="36">
        <v>0</v>
      </c>
      <c r="BF653" s="36">
        <v>0</v>
      </c>
      <c r="BG653" s="36">
        <v>0</v>
      </c>
      <c r="BH653" s="36">
        <v>0</v>
      </c>
      <c r="BI653" s="36">
        <v>0</v>
      </c>
      <c r="BJ653" s="36">
        <v>0</v>
      </c>
      <c r="BK653" s="36">
        <v>0</v>
      </c>
      <c r="BL653" s="36">
        <v>0</v>
      </c>
      <c r="BM653" s="36">
        <v>0</v>
      </c>
      <c r="BN653" s="36">
        <v>0</v>
      </c>
      <c r="BO653" s="36">
        <v>0</v>
      </c>
      <c r="BP653" s="36">
        <v>0</v>
      </c>
      <c r="BQ653" s="36">
        <v>0</v>
      </c>
      <c r="BR653" s="36">
        <v>1</v>
      </c>
      <c r="BS653" s="36">
        <v>0</v>
      </c>
      <c r="BT653" s="36">
        <v>0</v>
      </c>
      <c r="BU653" s="36">
        <v>0</v>
      </c>
      <c r="BV653" s="36">
        <v>0</v>
      </c>
      <c r="BW653" s="36">
        <v>0</v>
      </c>
      <c r="BX653" s="36">
        <v>0</v>
      </c>
      <c r="BY653" s="36">
        <v>0</v>
      </c>
      <c r="BZ653" s="37">
        <v>0</v>
      </c>
      <c r="CA653" s="305">
        <v>0</v>
      </c>
      <c r="CB653" s="306">
        <v>0</v>
      </c>
      <c r="CC653" s="306">
        <v>0</v>
      </c>
      <c r="CD653" s="306">
        <v>0</v>
      </c>
      <c r="CE653" s="306">
        <v>0</v>
      </c>
      <c r="CF653" s="306">
        <v>0</v>
      </c>
      <c r="CG653" s="306">
        <v>0</v>
      </c>
      <c r="CH653" s="306">
        <v>0</v>
      </c>
      <c r="CI653" s="306">
        <v>0</v>
      </c>
      <c r="CJ653" s="306">
        <v>0</v>
      </c>
    </row>
    <row r="654" spans="1:88" s="3" customFormat="1" ht="18" customHeight="1" x14ac:dyDescent="0.2">
      <c r="A654" s="39">
        <v>41</v>
      </c>
      <c r="B654" s="35">
        <v>0</v>
      </c>
      <c r="C654" s="36">
        <v>-1</v>
      </c>
      <c r="D654" s="36">
        <v>-1</v>
      </c>
      <c r="E654" s="36">
        <v>-1</v>
      </c>
      <c r="F654" s="36">
        <v>0</v>
      </c>
      <c r="G654" s="36">
        <v>0</v>
      </c>
      <c r="H654" s="36">
        <v>-1</v>
      </c>
      <c r="I654" s="36">
        <v>-1</v>
      </c>
      <c r="J654" s="36">
        <v>-1</v>
      </c>
      <c r="K654" s="36">
        <v>0</v>
      </c>
      <c r="L654" s="36">
        <v>0</v>
      </c>
      <c r="M654" s="36">
        <v>0</v>
      </c>
      <c r="N654" s="36">
        <v>-1</v>
      </c>
      <c r="O654" s="36">
        <v>0</v>
      </c>
      <c r="P654" s="36">
        <v>0</v>
      </c>
      <c r="Q654" s="36">
        <v>0</v>
      </c>
      <c r="R654" s="36">
        <v>0</v>
      </c>
      <c r="S654" s="36">
        <v>0</v>
      </c>
      <c r="T654" s="36">
        <v>0</v>
      </c>
      <c r="U654" s="36">
        <v>0</v>
      </c>
      <c r="V654" s="36">
        <v>0</v>
      </c>
      <c r="W654" s="36">
        <v>0</v>
      </c>
      <c r="X654" s="36">
        <v>1</v>
      </c>
      <c r="Y654" s="36">
        <v>0</v>
      </c>
      <c r="Z654" s="36">
        <v>0</v>
      </c>
      <c r="AA654" s="36">
        <v>0</v>
      </c>
      <c r="AB654" s="36">
        <v>0</v>
      </c>
      <c r="AC654" s="36">
        <v>0</v>
      </c>
      <c r="AD654" s="36">
        <v>0</v>
      </c>
      <c r="AE654" s="36">
        <v>0</v>
      </c>
      <c r="AF654" s="36">
        <v>0</v>
      </c>
      <c r="AG654" s="36">
        <v>0</v>
      </c>
      <c r="AH654" s="36">
        <v>0</v>
      </c>
      <c r="AI654" s="36">
        <v>0</v>
      </c>
      <c r="AJ654" s="36">
        <v>0</v>
      </c>
      <c r="AK654" s="36">
        <v>0</v>
      </c>
      <c r="AL654" s="36">
        <v>0</v>
      </c>
      <c r="AM654" s="36">
        <v>0</v>
      </c>
      <c r="AN654" s="36">
        <v>0</v>
      </c>
      <c r="AO654" s="36">
        <v>0</v>
      </c>
      <c r="AP654" s="36">
        <v>0</v>
      </c>
      <c r="AQ654" s="36">
        <v>0</v>
      </c>
      <c r="AR654" s="36">
        <v>0</v>
      </c>
      <c r="AS654" s="36">
        <v>0</v>
      </c>
      <c r="AT654" s="36">
        <v>0</v>
      </c>
      <c r="AU654" s="36">
        <v>0</v>
      </c>
      <c r="AV654" s="36">
        <v>0</v>
      </c>
      <c r="AW654" s="36">
        <v>0</v>
      </c>
      <c r="AX654" s="36">
        <v>0</v>
      </c>
      <c r="AY654" s="36">
        <v>0</v>
      </c>
      <c r="AZ654" s="36">
        <v>0</v>
      </c>
      <c r="BA654" s="36">
        <v>0</v>
      </c>
      <c r="BB654" s="36">
        <v>0</v>
      </c>
      <c r="BC654" s="36">
        <v>0</v>
      </c>
      <c r="BD654" s="36">
        <v>0</v>
      </c>
      <c r="BE654" s="36">
        <v>0</v>
      </c>
      <c r="BF654" s="36">
        <v>0</v>
      </c>
      <c r="BG654" s="36">
        <v>0</v>
      </c>
      <c r="BH654" s="36">
        <v>0</v>
      </c>
      <c r="BI654" s="36">
        <v>0</v>
      </c>
      <c r="BJ654" s="36">
        <v>0</v>
      </c>
      <c r="BK654" s="36">
        <v>0</v>
      </c>
      <c r="BL654" s="36">
        <v>0</v>
      </c>
      <c r="BM654" s="36">
        <v>0</v>
      </c>
      <c r="BN654" s="36">
        <v>0</v>
      </c>
      <c r="BO654" s="36">
        <v>0</v>
      </c>
      <c r="BP654" s="36">
        <v>0</v>
      </c>
      <c r="BQ654" s="36">
        <v>0</v>
      </c>
      <c r="BR654" s="36">
        <v>0</v>
      </c>
      <c r="BS654" s="36">
        <v>1</v>
      </c>
      <c r="BT654" s="36">
        <v>0</v>
      </c>
      <c r="BU654" s="36">
        <v>0</v>
      </c>
      <c r="BV654" s="36">
        <v>0</v>
      </c>
      <c r="BW654" s="36">
        <v>0</v>
      </c>
      <c r="BX654" s="36">
        <v>0</v>
      </c>
      <c r="BY654" s="36">
        <v>0</v>
      </c>
      <c r="BZ654" s="37">
        <v>0</v>
      </c>
      <c r="CA654" s="305">
        <v>0</v>
      </c>
      <c r="CB654" s="306">
        <v>0</v>
      </c>
      <c r="CC654" s="306">
        <v>0</v>
      </c>
      <c r="CD654" s="306">
        <v>0</v>
      </c>
      <c r="CE654" s="306">
        <v>0</v>
      </c>
      <c r="CF654" s="306">
        <v>0</v>
      </c>
      <c r="CG654" s="306">
        <v>0</v>
      </c>
      <c r="CH654" s="306">
        <v>0</v>
      </c>
      <c r="CI654" s="306">
        <v>0</v>
      </c>
      <c r="CJ654" s="306">
        <v>0</v>
      </c>
    </row>
    <row r="655" spans="1:88" s="3" customFormat="1" ht="18" customHeight="1" x14ac:dyDescent="0.2">
      <c r="A655" s="39">
        <v>42</v>
      </c>
      <c r="B655" s="35">
        <v>0</v>
      </c>
      <c r="C655" s="36">
        <v>-1</v>
      </c>
      <c r="D655" s="36">
        <v>-1</v>
      </c>
      <c r="E655" s="36">
        <v>-1</v>
      </c>
      <c r="F655" s="36">
        <v>0</v>
      </c>
      <c r="G655" s="36">
        <v>0</v>
      </c>
      <c r="H655" s="36">
        <v>-1</v>
      </c>
      <c r="I655" s="36">
        <v>-1</v>
      </c>
      <c r="J655" s="36">
        <v>-1</v>
      </c>
      <c r="K655" s="36">
        <v>0</v>
      </c>
      <c r="L655" s="36">
        <v>0</v>
      </c>
      <c r="M655" s="36">
        <v>0</v>
      </c>
      <c r="N655" s="36">
        <v>0</v>
      </c>
      <c r="O655" s="36">
        <v>0</v>
      </c>
      <c r="P655" s="36">
        <v>0</v>
      </c>
      <c r="Q655" s="36">
        <v>-1</v>
      </c>
      <c r="R655" s="36">
        <v>0</v>
      </c>
      <c r="S655" s="36">
        <v>0</v>
      </c>
      <c r="T655" s="36">
        <v>0</v>
      </c>
      <c r="U655" s="36">
        <v>0</v>
      </c>
      <c r="V655" s="36">
        <v>0</v>
      </c>
      <c r="W655" s="36">
        <v>0</v>
      </c>
      <c r="X655" s="36">
        <v>0</v>
      </c>
      <c r="Y655" s="36">
        <v>0</v>
      </c>
      <c r="Z655" s="36">
        <v>0</v>
      </c>
      <c r="AA655" s="36">
        <v>1</v>
      </c>
      <c r="AB655" s="36">
        <v>0</v>
      </c>
      <c r="AC655" s="36">
        <v>0</v>
      </c>
      <c r="AD655" s="36">
        <v>0</v>
      </c>
      <c r="AE655" s="36">
        <v>0</v>
      </c>
      <c r="AF655" s="36">
        <v>0</v>
      </c>
      <c r="AG655" s="36">
        <v>0</v>
      </c>
      <c r="AH655" s="36">
        <v>0</v>
      </c>
      <c r="AI655" s="36">
        <v>0</v>
      </c>
      <c r="AJ655" s="36">
        <v>0</v>
      </c>
      <c r="AK655" s="36">
        <v>0</v>
      </c>
      <c r="AL655" s="36">
        <v>0</v>
      </c>
      <c r="AM655" s="36">
        <v>0</v>
      </c>
      <c r="AN655" s="36">
        <v>0</v>
      </c>
      <c r="AO655" s="36">
        <v>0</v>
      </c>
      <c r="AP655" s="36">
        <v>0</v>
      </c>
      <c r="AQ655" s="36">
        <v>0</v>
      </c>
      <c r="AR655" s="36">
        <v>0</v>
      </c>
      <c r="AS655" s="36">
        <v>0</v>
      </c>
      <c r="AT655" s="36">
        <v>0</v>
      </c>
      <c r="AU655" s="36">
        <v>0</v>
      </c>
      <c r="AV655" s="36">
        <v>0</v>
      </c>
      <c r="AW655" s="36">
        <v>0</v>
      </c>
      <c r="AX655" s="36">
        <v>0</v>
      </c>
      <c r="AY655" s="36">
        <v>0</v>
      </c>
      <c r="AZ655" s="36">
        <v>0</v>
      </c>
      <c r="BA655" s="36">
        <v>0</v>
      </c>
      <c r="BB655" s="36">
        <v>0</v>
      </c>
      <c r="BC655" s="36">
        <v>0</v>
      </c>
      <c r="BD655" s="36">
        <v>0</v>
      </c>
      <c r="BE655" s="36">
        <v>0</v>
      </c>
      <c r="BF655" s="36">
        <v>0</v>
      </c>
      <c r="BG655" s="36">
        <v>0</v>
      </c>
      <c r="BH655" s="36">
        <v>0</v>
      </c>
      <c r="BI655" s="36">
        <v>0</v>
      </c>
      <c r="BJ655" s="36">
        <v>0</v>
      </c>
      <c r="BK655" s="36">
        <v>0</v>
      </c>
      <c r="BL655" s="36">
        <v>0</v>
      </c>
      <c r="BM655" s="36">
        <v>0</v>
      </c>
      <c r="BN655" s="36">
        <v>0</v>
      </c>
      <c r="BO655" s="36">
        <v>0</v>
      </c>
      <c r="BP655" s="36">
        <v>0</v>
      </c>
      <c r="BQ655" s="36">
        <v>0</v>
      </c>
      <c r="BR655" s="36">
        <v>0</v>
      </c>
      <c r="BS655" s="36">
        <v>0</v>
      </c>
      <c r="BT655" s="36">
        <v>1</v>
      </c>
      <c r="BU655" s="36">
        <v>0</v>
      </c>
      <c r="BV655" s="36">
        <v>0</v>
      </c>
      <c r="BW655" s="36">
        <v>0</v>
      </c>
      <c r="BX655" s="36">
        <v>0</v>
      </c>
      <c r="BY655" s="36">
        <v>0</v>
      </c>
      <c r="BZ655" s="37">
        <v>0</v>
      </c>
      <c r="CA655" s="305">
        <v>1</v>
      </c>
      <c r="CB655" s="306">
        <v>0</v>
      </c>
      <c r="CC655" s="306">
        <v>0</v>
      </c>
      <c r="CD655" s="306">
        <v>0</v>
      </c>
      <c r="CE655" s="306">
        <v>0</v>
      </c>
      <c r="CF655" s="306">
        <v>0</v>
      </c>
      <c r="CG655" s="306">
        <v>0</v>
      </c>
      <c r="CH655" s="306">
        <v>0</v>
      </c>
      <c r="CI655" s="306">
        <v>0</v>
      </c>
      <c r="CJ655" s="306">
        <v>0</v>
      </c>
    </row>
    <row r="656" spans="1:88" s="3" customFormat="1" ht="18" customHeight="1" x14ac:dyDescent="0.2">
      <c r="A656" s="39">
        <v>43</v>
      </c>
      <c r="B656" s="35">
        <v>0</v>
      </c>
      <c r="C656" s="36">
        <v>-1</v>
      </c>
      <c r="D656" s="36">
        <v>-1</v>
      </c>
      <c r="E656" s="36">
        <v>-1</v>
      </c>
      <c r="F656" s="36">
        <v>0</v>
      </c>
      <c r="G656" s="36">
        <v>0</v>
      </c>
      <c r="H656" s="36">
        <v>-1</v>
      </c>
      <c r="I656" s="36">
        <v>-1</v>
      </c>
      <c r="J656" s="36">
        <v>-1</v>
      </c>
      <c r="K656" s="36">
        <v>0</v>
      </c>
      <c r="L656" s="36">
        <v>0</v>
      </c>
      <c r="M656" s="36">
        <v>0</v>
      </c>
      <c r="N656" s="36">
        <v>0</v>
      </c>
      <c r="O656" s="36">
        <v>0</v>
      </c>
      <c r="P656" s="36">
        <v>0</v>
      </c>
      <c r="Q656" s="36">
        <v>0</v>
      </c>
      <c r="R656" s="36">
        <v>0</v>
      </c>
      <c r="S656" s="36">
        <v>-1</v>
      </c>
      <c r="T656" s="36">
        <v>0</v>
      </c>
      <c r="U656" s="36">
        <v>0</v>
      </c>
      <c r="V656" s="36">
        <v>0</v>
      </c>
      <c r="W656" s="36">
        <v>0</v>
      </c>
      <c r="X656" s="36">
        <v>0</v>
      </c>
      <c r="Y656" s="36">
        <v>0</v>
      </c>
      <c r="Z656" s="36">
        <v>0</v>
      </c>
      <c r="AA656" s="36">
        <v>0</v>
      </c>
      <c r="AB656" s="36">
        <v>0</v>
      </c>
      <c r="AC656" s="36">
        <v>1</v>
      </c>
      <c r="AD656" s="36">
        <v>0</v>
      </c>
      <c r="AE656" s="36">
        <v>0</v>
      </c>
      <c r="AF656" s="36">
        <v>0</v>
      </c>
      <c r="AG656" s="36">
        <v>0</v>
      </c>
      <c r="AH656" s="36">
        <v>0</v>
      </c>
      <c r="AI656" s="36">
        <v>0</v>
      </c>
      <c r="AJ656" s="36">
        <v>0</v>
      </c>
      <c r="AK656" s="36">
        <v>0</v>
      </c>
      <c r="AL656" s="36">
        <v>0</v>
      </c>
      <c r="AM656" s="36">
        <v>0</v>
      </c>
      <c r="AN656" s="36">
        <v>0</v>
      </c>
      <c r="AO656" s="36">
        <v>0</v>
      </c>
      <c r="AP656" s="36">
        <v>0</v>
      </c>
      <c r="AQ656" s="36">
        <v>0</v>
      </c>
      <c r="AR656" s="36">
        <v>0</v>
      </c>
      <c r="AS656" s="36">
        <v>0</v>
      </c>
      <c r="AT656" s="36">
        <v>0</v>
      </c>
      <c r="AU656" s="36">
        <v>0</v>
      </c>
      <c r="AV656" s="36">
        <v>0</v>
      </c>
      <c r="AW656" s="36">
        <v>0</v>
      </c>
      <c r="AX656" s="36">
        <v>0</v>
      </c>
      <c r="AY656" s="36">
        <v>0</v>
      </c>
      <c r="AZ656" s="36">
        <v>0</v>
      </c>
      <c r="BA656" s="36">
        <v>0</v>
      </c>
      <c r="BB656" s="36">
        <v>0</v>
      </c>
      <c r="BC656" s="36">
        <v>0</v>
      </c>
      <c r="BD656" s="36">
        <v>0</v>
      </c>
      <c r="BE656" s="36">
        <v>0</v>
      </c>
      <c r="BF656" s="36">
        <v>0</v>
      </c>
      <c r="BG656" s="36">
        <v>0</v>
      </c>
      <c r="BH656" s="36">
        <v>0</v>
      </c>
      <c r="BI656" s="36">
        <v>0</v>
      </c>
      <c r="BJ656" s="36">
        <v>0</v>
      </c>
      <c r="BK656" s="36">
        <v>0</v>
      </c>
      <c r="BL656" s="36">
        <v>0</v>
      </c>
      <c r="BM656" s="36">
        <v>0</v>
      </c>
      <c r="BN656" s="36">
        <v>0</v>
      </c>
      <c r="BO656" s="36">
        <v>0</v>
      </c>
      <c r="BP656" s="36">
        <v>0</v>
      </c>
      <c r="BQ656" s="36">
        <v>0</v>
      </c>
      <c r="BR656" s="36">
        <v>0</v>
      </c>
      <c r="BS656" s="36">
        <v>0</v>
      </c>
      <c r="BT656" s="36">
        <v>0</v>
      </c>
      <c r="BU656" s="36">
        <v>1</v>
      </c>
      <c r="BV656" s="36">
        <v>0</v>
      </c>
      <c r="BW656" s="36">
        <v>0</v>
      </c>
      <c r="BX656" s="36">
        <v>0</v>
      </c>
      <c r="BY656" s="36">
        <v>0</v>
      </c>
      <c r="BZ656" s="37">
        <v>0</v>
      </c>
      <c r="CA656" s="305">
        <v>0</v>
      </c>
      <c r="CB656" s="306">
        <v>1</v>
      </c>
      <c r="CC656" s="306">
        <v>0</v>
      </c>
      <c r="CD656" s="306">
        <v>0</v>
      </c>
      <c r="CE656" s="306">
        <v>0</v>
      </c>
      <c r="CF656" s="306">
        <v>0</v>
      </c>
      <c r="CG656" s="306">
        <v>0</v>
      </c>
      <c r="CH656" s="306">
        <v>0</v>
      </c>
      <c r="CI656" s="306">
        <v>0</v>
      </c>
      <c r="CJ656" s="306">
        <v>0</v>
      </c>
    </row>
    <row r="657" spans="1:88" s="3" customFormat="1" ht="18" customHeight="1" x14ac:dyDescent="0.2">
      <c r="A657" s="39">
        <v>44</v>
      </c>
      <c r="B657" s="35">
        <v>-1</v>
      </c>
      <c r="C657" s="36">
        <v>-1</v>
      </c>
      <c r="D657" s="36">
        <v>-1</v>
      </c>
      <c r="E657" s="36">
        <v>0</v>
      </c>
      <c r="F657" s="36">
        <v>0</v>
      </c>
      <c r="G657" s="36">
        <v>0</v>
      </c>
      <c r="H657" s="36">
        <v>-1</v>
      </c>
      <c r="I657" s="36">
        <v>-1</v>
      </c>
      <c r="J657" s="36">
        <v>-1</v>
      </c>
      <c r="K657" s="36">
        <v>0</v>
      </c>
      <c r="L657" s="36">
        <v>0</v>
      </c>
      <c r="M657" s="36">
        <v>0</v>
      </c>
      <c r="N657" s="36">
        <v>-1</v>
      </c>
      <c r="O657" s="36">
        <v>0</v>
      </c>
      <c r="P657" s="36">
        <v>0</v>
      </c>
      <c r="Q657" s="36">
        <v>0</v>
      </c>
      <c r="R657" s="36">
        <v>0</v>
      </c>
      <c r="S657" s="36">
        <v>0</v>
      </c>
      <c r="T657" s="36">
        <v>0</v>
      </c>
      <c r="U657" s="36">
        <v>0</v>
      </c>
      <c r="V657" s="36">
        <v>0</v>
      </c>
      <c r="W657" s="36">
        <v>0</v>
      </c>
      <c r="X657" s="36">
        <v>1</v>
      </c>
      <c r="Y657" s="36">
        <v>0</v>
      </c>
      <c r="Z657" s="36">
        <v>0</v>
      </c>
      <c r="AA657" s="36">
        <v>0</v>
      </c>
      <c r="AB657" s="36">
        <v>0</v>
      </c>
      <c r="AC657" s="36">
        <v>0</v>
      </c>
      <c r="AD657" s="36">
        <v>0</v>
      </c>
      <c r="AE657" s="36">
        <v>0</v>
      </c>
      <c r="AF657" s="36">
        <v>0</v>
      </c>
      <c r="AG657" s="36">
        <v>0</v>
      </c>
      <c r="AH657" s="36">
        <v>0</v>
      </c>
      <c r="AI657" s="36">
        <v>0</v>
      </c>
      <c r="AJ657" s="36">
        <v>0</v>
      </c>
      <c r="AK657" s="36">
        <v>0</v>
      </c>
      <c r="AL657" s="36">
        <v>0</v>
      </c>
      <c r="AM657" s="36">
        <v>0</v>
      </c>
      <c r="AN657" s="36">
        <v>0</v>
      </c>
      <c r="AO657" s="36">
        <v>0</v>
      </c>
      <c r="AP657" s="36">
        <v>0</v>
      </c>
      <c r="AQ657" s="36">
        <v>0</v>
      </c>
      <c r="AR657" s="36">
        <v>0</v>
      </c>
      <c r="AS657" s="36">
        <v>0</v>
      </c>
      <c r="AT657" s="36">
        <v>0</v>
      </c>
      <c r="AU657" s="36">
        <v>0</v>
      </c>
      <c r="AV657" s="36">
        <v>0</v>
      </c>
      <c r="AW657" s="36">
        <v>0</v>
      </c>
      <c r="AX657" s="36">
        <v>0</v>
      </c>
      <c r="AY657" s="36">
        <v>0</v>
      </c>
      <c r="AZ657" s="36">
        <v>0</v>
      </c>
      <c r="BA657" s="36">
        <v>0</v>
      </c>
      <c r="BB657" s="36">
        <v>0</v>
      </c>
      <c r="BC657" s="36">
        <v>0</v>
      </c>
      <c r="BD657" s="36">
        <v>0</v>
      </c>
      <c r="BE657" s="36">
        <v>0</v>
      </c>
      <c r="BF657" s="36">
        <v>0</v>
      </c>
      <c r="BG657" s="36">
        <v>0</v>
      </c>
      <c r="BH657" s="36">
        <v>0</v>
      </c>
      <c r="BI657" s="36">
        <v>0</v>
      </c>
      <c r="BJ657" s="36">
        <v>0</v>
      </c>
      <c r="BK657" s="36">
        <v>0</v>
      </c>
      <c r="BL657" s="36">
        <v>0</v>
      </c>
      <c r="BM657" s="36">
        <v>0</v>
      </c>
      <c r="BN657" s="36">
        <v>0</v>
      </c>
      <c r="BO657" s="36">
        <v>0</v>
      </c>
      <c r="BP657" s="36">
        <v>0</v>
      </c>
      <c r="BQ657" s="36">
        <v>0</v>
      </c>
      <c r="BR657" s="36">
        <v>0</v>
      </c>
      <c r="BS657" s="36">
        <v>0</v>
      </c>
      <c r="BT657" s="36">
        <v>0</v>
      </c>
      <c r="BU657" s="36">
        <v>0</v>
      </c>
      <c r="BV657" s="36">
        <v>1</v>
      </c>
      <c r="BW657" s="36">
        <v>0</v>
      </c>
      <c r="BX657" s="36">
        <v>0</v>
      </c>
      <c r="BY657" s="36">
        <v>0</v>
      </c>
      <c r="BZ657" s="37">
        <v>0</v>
      </c>
      <c r="CA657" s="305">
        <v>0</v>
      </c>
      <c r="CB657" s="306">
        <v>0</v>
      </c>
      <c r="CC657" s="306">
        <v>1</v>
      </c>
      <c r="CD657" s="306">
        <v>0</v>
      </c>
      <c r="CE657" s="306">
        <v>0</v>
      </c>
      <c r="CF657" s="306">
        <v>0</v>
      </c>
      <c r="CG657" s="306">
        <v>0</v>
      </c>
      <c r="CH657" s="306">
        <v>0</v>
      </c>
      <c r="CI657" s="306">
        <v>0</v>
      </c>
      <c r="CJ657" s="306">
        <v>0</v>
      </c>
    </row>
    <row r="658" spans="1:88" s="3" customFormat="1" ht="18" customHeight="1" x14ac:dyDescent="0.2">
      <c r="A658" s="39">
        <v>45</v>
      </c>
      <c r="B658" s="35">
        <v>0</v>
      </c>
      <c r="C658" s="36">
        <v>-1</v>
      </c>
      <c r="D658" s="36">
        <v>-1</v>
      </c>
      <c r="E658" s="36">
        <v>-1</v>
      </c>
      <c r="F658" s="36">
        <v>0</v>
      </c>
      <c r="G658" s="36">
        <v>0</v>
      </c>
      <c r="H658" s="36">
        <v>-1</v>
      </c>
      <c r="I658" s="36">
        <v>-1</v>
      </c>
      <c r="J658" s="36">
        <v>-1</v>
      </c>
      <c r="K658" s="36">
        <v>0</v>
      </c>
      <c r="L658" s="36">
        <v>0</v>
      </c>
      <c r="M658" s="36">
        <v>0</v>
      </c>
      <c r="N658" s="36">
        <v>-1</v>
      </c>
      <c r="O658" s="36">
        <v>0</v>
      </c>
      <c r="P658" s="36">
        <v>0</v>
      </c>
      <c r="Q658" s="36">
        <v>0</v>
      </c>
      <c r="R658" s="36">
        <v>0</v>
      </c>
      <c r="S658" s="36">
        <v>0</v>
      </c>
      <c r="T658" s="36">
        <v>0</v>
      </c>
      <c r="U658" s="36">
        <v>0</v>
      </c>
      <c r="V658" s="36">
        <v>0</v>
      </c>
      <c r="W658" s="36">
        <v>0</v>
      </c>
      <c r="X658" s="36">
        <v>1</v>
      </c>
      <c r="Y658" s="36">
        <v>0</v>
      </c>
      <c r="Z658" s="36">
        <v>0</v>
      </c>
      <c r="AA658" s="36">
        <v>0</v>
      </c>
      <c r="AB658" s="36">
        <v>0</v>
      </c>
      <c r="AC658" s="36">
        <v>0</v>
      </c>
      <c r="AD658" s="36">
        <v>0</v>
      </c>
      <c r="AE658" s="36">
        <v>0</v>
      </c>
      <c r="AF658" s="36">
        <v>0</v>
      </c>
      <c r="AG658" s="36">
        <v>0</v>
      </c>
      <c r="AH658" s="36">
        <v>0</v>
      </c>
      <c r="AI658" s="36">
        <v>0</v>
      </c>
      <c r="AJ658" s="36">
        <v>0</v>
      </c>
      <c r="AK658" s="36">
        <v>0</v>
      </c>
      <c r="AL658" s="36">
        <v>0</v>
      </c>
      <c r="AM658" s="36">
        <v>0</v>
      </c>
      <c r="AN658" s="36">
        <v>0</v>
      </c>
      <c r="AO658" s="36">
        <v>0</v>
      </c>
      <c r="AP658" s="36">
        <v>0</v>
      </c>
      <c r="AQ658" s="36">
        <v>0</v>
      </c>
      <c r="AR658" s="36">
        <v>0</v>
      </c>
      <c r="AS658" s="36">
        <v>0</v>
      </c>
      <c r="AT658" s="36">
        <v>0</v>
      </c>
      <c r="AU658" s="36">
        <v>0</v>
      </c>
      <c r="AV658" s="36">
        <v>0</v>
      </c>
      <c r="AW658" s="36">
        <v>0</v>
      </c>
      <c r="AX658" s="36">
        <v>0</v>
      </c>
      <c r="AY658" s="36">
        <v>0</v>
      </c>
      <c r="AZ658" s="36">
        <v>0</v>
      </c>
      <c r="BA658" s="36">
        <v>0</v>
      </c>
      <c r="BB658" s="36">
        <v>0</v>
      </c>
      <c r="BC658" s="36">
        <v>0</v>
      </c>
      <c r="BD658" s="36">
        <v>0</v>
      </c>
      <c r="BE658" s="36">
        <v>0</v>
      </c>
      <c r="BF658" s="36">
        <v>0</v>
      </c>
      <c r="BG658" s="36">
        <v>0</v>
      </c>
      <c r="BH658" s="36">
        <v>0</v>
      </c>
      <c r="BI658" s="36">
        <v>0</v>
      </c>
      <c r="BJ658" s="36">
        <v>0</v>
      </c>
      <c r="BK658" s="36">
        <v>0</v>
      </c>
      <c r="BL658" s="36">
        <v>0</v>
      </c>
      <c r="BM658" s="36">
        <v>0</v>
      </c>
      <c r="BN658" s="36">
        <v>0</v>
      </c>
      <c r="BO658" s="36">
        <v>0</v>
      </c>
      <c r="BP658" s="36">
        <v>0</v>
      </c>
      <c r="BQ658" s="36">
        <v>0</v>
      </c>
      <c r="BR658" s="36">
        <v>0</v>
      </c>
      <c r="BS658" s="36">
        <v>0</v>
      </c>
      <c r="BT658" s="36">
        <v>0</v>
      </c>
      <c r="BU658" s="36">
        <v>0</v>
      </c>
      <c r="BV658" s="36">
        <v>0</v>
      </c>
      <c r="BW658" s="36">
        <v>1</v>
      </c>
      <c r="BX658" s="36">
        <v>0</v>
      </c>
      <c r="BY658" s="36">
        <v>0</v>
      </c>
      <c r="BZ658" s="37">
        <v>0</v>
      </c>
      <c r="CA658" s="305">
        <v>0</v>
      </c>
      <c r="CB658" s="306">
        <v>0</v>
      </c>
      <c r="CC658" s="306">
        <v>0</v>
      </c>
      <c r="CD658" s="306">
        <v>1</v>
      </c>
      <c r="CE658" s="306">
        <v>0</v>
      </c>
      <c r="CF658" s="306">
        <v>0</v>
      </c>
      <c r="CG658" s="306">
        <v>0</v>
      </c>
      <c r="CH658" s="306">
        <v>0</v>
      </c>
      <c r="CI658" s="306">
        <v>0</v>
      </c>
      <c r="CJ658" s="306">
        <v>0</v>
      </c>
    </row>
    <row r="659" spans="1:88" s="3" customFormat="1" ht="18" customHeight="1" x14ac:dyDescent="0.2">
      <c r="A659" s="39">
        <v>46</v>
      </c>
      <c r="B659" s="35">
        <v>0</v>
      </c>
      <c r="C659" s="36">
        <v>-1</v>
      </c>
      <c r="D659" s="36">
        <v>-1</v>
      </c>
      <c r="E659" s="36">
        <v>-1</v>
      </c>
      <c r="F659" s="36">
        <v>0</v>
      </c>
      <c r="G659" s="36">
        <v>0</v>
      </c>
      <c r="H659" s="36">
        <v>-1</v>
      </c>
      <c r="I659" s="36">
        <v>-1</v>
      </c>
      <c r="J659" s="36">
        <v>-1</v>
      </c>
      <c r="K659" s="36">
        <v>0</v>
      </c>
      <c r="L659" s="36">
        <v>0</v>
      </c>
      <c r="M659" s="36">
        <v>0</v>
      </c>
      <c r="N659" s="36">
        <v>0</v>
      </c>
      <c r="O659" s="36">
        <v>0</v>
      </c>
      <c r="P659" s="36">
        <v>0</v>
      </c>
      <c r="Q659" s="36">
        <v>-1</v>
      </c>
      <c r="R659" s="36">
        <v>0</v>
      </c>
      <c r="S659" s="36">
        <v>0</v>
      </c>
      <c r="T659" s="36">
        <v>0</v>
      </c>
      <c r="U659" s="36">
        <v>0</v>
      </c>
      <c r="V659" s="36">
        <v>0</v>
      </c>
      <c r="W659" s="36">
        <v>0</v>
      </c>
      <c r="X659" s="36">
        <v>0</v>
      </c>
      <c r="Y659" s="36">
        <v>0</v>
      </c>
      <c r="Z659" s="36">
        <v>0</v>
      </c>
      <c r="AA659" s="36">
        <v>1</v>
      </c>
      <c r="AB659" s="36">
        <v>0</v>
      </c>
      <c r="AC659" s="36">
        <v>0</v>
      </c>
      <c r="AD659" s="36">
        <v>0</v>
      </c>
      <c r="AE659" s="36">
        <v>0</v>
      </c>
      <c r="AF659" s="36">
        <v>0</v>
      </c>
      <c r="AG659" s="36">
        <v>0</v>
      </c>
      <c r="AH659" s="36">
        <v>0</v>
      </c>
      <c r="AI659" s="36">
        <v>0</v>
      </c>
      <c r="AJ659" s="36">
        <v>0</v>
      </c>
      <c r="AK659" s="36">
        <v>0</v>
      </c>
      <c r="AL659" s="36">
        <v>0</v>
      </c>
      <c r="AM659" s="36">
        <v>0</v>
      </c>
      <c r="AN659" s="36">
        <v>0</v>
      </c>
      <c r="AO659" s="36">
        <v>0</v>
      </c>
      <c r="AP659" s="36">
        <v>0</v>
      </c>
      <c r="AQ659" s="36">
        <v>0</v>
      </c>
      <c r="AR659" s="36">
        <v>0</v>
      </c>
      <c r="AS659" s="36">
        <v>0</v>
      </c>
      <c r="AT659" s="36">
        <v>0</v>
      </c>
      <c r="AU659" s="36">
        <v>0</v>
      </c>
      <c r="AV659" s="36">
        <v>0</v>
      </c>
      <c r="AW659" s="36">
        <v>0</v>
      </c>
      <c r="AX659" s="36">
        <v>0</v>
      </c>
      <c r="AY659" s="36">
        <v>0</v>
      </c>
      <c r="AZ659" s="36">
        <v>0</v>
      </c>
      <c r="BA659" s="36">
        <v>0</v>
      </c>
      <c r="BB659" s="36">
        <v>0</v>
      </c>
      <c r="BC659" s="36">
        <v>0</v>
      </c>
      <c r="BD659" s="36">
        <v>0</v>
      </c>
      <c r="BE659" s="36">
        <v>0</v>
      </c>
      <c r="BF659" s="36">
        <v>0</v>
      </c>
      <c r="BG659" s="36">
        <v>0</v>
      </c>
      <c r="BH659" s="36">
        <v>0</v>
      </c>
      <c r="BI659" s="36">
        <v>0</v>
      </c>
      <c r="BJ659" s="36">
        <v>0</v>
      </c>
      <c r="BK659" s="36">
        <v>0</v>
      </c>
      <c r="BL659" s="36">
        <v>0</v>
      </c>
      <c r="BM659" s="36">
        <v>0</v>
      </c>
      <c r="BN659" s="36">
        <v>0</v>
      </c>
      <c r="BO659" s="36">
        <v>0</v>
      </c>
      <c r="BP659" s="36">
        <v>0</v>
      </c>
      <c r="BQ659" s="36">
        <v>0</v>
      </c>
      <c r="BR659" s="36">
        <v>0</v>
      </c>
      <c r="BS659" s="36">
        <v>0</v>
      </c>
      <c r="BT659" s="36">
        <v>0</v>
      </c>
      <c r="BU659" s="36">
        <v>0</v>
      </c>
      <c r="BV659" s="36">
        <v>0</v>
      </c>
      <c r="BW659" s="36">
        <v>0</v>
      </c>
      <c r="BX659" s="36">
        <v>1</v>
      </c>
      <c r="BY659" s="36">
        <v>0</v>
      </c>
      <c r="BZ659" s="37">
        <v>0</v>
      </c>
      <c r="CA659" s="305">
        <v>0</v>
      </c>
      <c r="CB659" s="306">
        <v>0</v>
      </c>
      <c r="CC659" s="306">
        <v>0</v>
      </c>
      <c r="CD659" s="306">
        <v>0</v>
      </c>
      <c r="CE659" s="306">
        <v>1</v>
      </c>
      <c r="CF659" s="306">
        <v>0</v>
      </c>
      <c r="CG659" s="306">
        <v>0</v>
      </c>
      <c r="CH659" s="306">
        <v>0</v>
      </c>
      <c r="CI659" s="306">
        <v>0</v>
      </c>
      <c r="CJ659" s="306">
        <v>0</v>
      </c>
    </row>
    <row r="660" spans="1:88" s="3" customFormat="1" ht="18" customHeight="1" x14ac:dyDescent="0.2">
      <c r="A660" s="39">
        <v>47</v>
      </c>
      <c r="B660" s="35">
        <v>0</v>
      </c>
      <c r="C660" s="36">
        <v>-1</v>
      </c>
      <c r="D660" s="36">
        <v>-1</v>
      </c>
      <c r="E660" s="36">
        <v>-1</v>
      </c>
      <c r="F660" s="36">
        <v>0</v>
      </c>
      <c r="G660" s="36">
        <v>0</v>
      </c>
      <c r="H660" s="36">
        <v>-1</v>
      </c>
      <c r="I660" s="36">
        <v>-1</v>
      </c>
      <c r="J660" s="36">
        <v>-1</v>
      </c>
      <c r="K660" s="36">
        <v>0</v>
      </c>
      <c r="L660" s="36">
        <v>0</v>
      </c>
      <c r="M660" s="36">
        <v>0</v>
      </c>
      <c r="N660" s="36">
        <v>0</v>
      </c>
      <c r="O660" s="36">
        <v>0</v>
      </c>
      <c r="P660" s="36">
        <v>0</v>
      </c>
      <c r="Q660" s="36">
        <v>0</v>
      </c>
      <c r="R660" s="36">
        <v>0</v>
      </c>
      <c r="S660" s="36">
        <v>-1</v>
      </c>
      <c r="T660" s="36">
        <v>0</v>
      </c>
      <c r="U660" s="36">
        <v>0</v>
      </c>
      <c r="V660" s="36">
        <v>0</v>
      </c>
      <c r="W660" s="36">
        <v>0</v>
      </c>
      <c r="X660" s="36">
        <v>0</v>
      </c>
      <c r="Y660" s="36">
        <v>0</v>
      </c>
      <c r="Z660" s="36">
        <v>0</v>
      </c>
      <c r="AA660" s="36">
        <v>0</v>
      </c>
      <c r="AB660" s="36">
        <v>0</v>
      </c>
      <c r="AC660" s="36">
        <v>1</v>
      </c>
      <c r="AD660" s="36">
        <v>0</v>
      </c>
      <c r="AE660" s="36">
        <v>0</v>
      </c>
      <c r="AF660" s="36">
        <v>0</v>
      </c>
      <c r="AG660" s="36">
        <v>0</v>
      </c>
      <c r="AH660" s="36">
        <v>0</v>
      </c>
      <c r="AI660" s="36">
        <v>0</v>
      </c>
      <c r="AJ660" s="36">
        <v>0</v>
      </c>
      <c r="AK660" s="36">
        <v>0</v>
      </c>
      <c r="AL660" s="36">
        <v>0</v>
      </c>
      <c r="AM660" s="36">
        <v>0</v>
      </c>
      <c r="AN660" s="36">
        <v>0</v>
      </c>
      <c r="AO660" s="36">
        <v>0</v>
      </c>
      <c r="AP660" s="36">
        <v>0</v>
      </c>
      <c r="AQ660" s="36">
        <v>0</v>
      </c>
      <c r="AR660" s="36">
        <v>0</v>
      </c>
      <c r="AS660" s="36">
        <v>0</v>
      </c>
      <c r="AT660" s="36">
        <v>0</v>
      </c>
      <c r="AU660" s="36">
        <v>0</v>
      </c>
      <c r="AV660" s="36">
        <v>0</v>
      </c>
      <c r="AW660" s="36">
        <v>0</v>
      </c>
      <c r="AX660" s="36">
        <v>0</v>
      </c>
      <c r="AY660" s="36">
        <v>0</v>
      </c>
      <c r="AZ660" s="36">
        <v>0</v>
      </c>
      <c r="BA660" s="36">
        <v>0</v>
      </c>
      <c r="BB660" s="36">
        <v>0</v>
      </c>
      <c r="BC660" s="36">
        <v>0</v>
      </c>
      <c r="BD660" s="36">
        <v>0</v>
      </c>
      <c r="BE660" s="36">
        <v>0</v>
      </c>
      <c r="BF660" s="36">
        <v>0</v>
      </c>
      <c r="BG660" s="36">
        <v>0</v>
      </c>
      <c r="BH660" s="36">
        <v>0</v>
      </c>
      <c r="BI660" s="36">
        <v>0</v>
      </c>
      <c r="BJ660" s="36">
        <v>0</v>
      </c>
      <c r="BK660" s="36">
        <v>0</v>
      </c>
      <c r="BL660" s="36">
        <v>0</v>
      </c>
      <c r="BM660" s="36">
        <v>0</v>
      </c>
      <c r="BN660" s="36">
        <v>0</v>
      </c>
      <c r="BO660" s="36">
        <v>0</v>
      </c>
      <c r="BP660" s="36">
        <v>0</v>
      </c>
      <c r="BQ660" s="36">
        <v>0</v>
      </c>
      <c r="BR660" s="36">
        <v>0</v>
      </c>
      <c r="BS660" s="36">
        <v>0</v>
      </c>
      <c r="BT660" s="36">
        <v>0</v>
      </c>
      <c r="BU660" s="36">
        <v>0</v>
      </c>
      <c r="BV660" s="36">
        <v>0</v>
      </c>
      <c r="BW660" s="36">
        <v>0</v>
      </c>
      <c r="BX660" s="36">
        <v>0</v>
      </c>
      <c r="BY660" s="36">
        <v>1</v>
      </c>
      <c r="BZ660" s="37">
        <v>0</v>
      </c>
      <c r="CA660" s="305">
        <v>0</v>
      </c>
      <c r="CB660" s="306">
        <v>0</v>
      </c>
      <c r="CC660" s="306">
        <v>0</v>
      </c>
      <c r="CD660" s="306">
        <v>0</v>
      </c>
      <c r="CE660" s="306">
        <v>0</v>
      </c>
      <c r="CF660" s="306">
        <v>1</v>
      </c>
      <c r="CG660" s="306">
        <v>0</v>
      </c>
      <c r="CH660" s="306">
        <v>0</v>
      </c>
      <c r="CI660" s="306">
        <v>0</v>
      </c>
      <c r="CJ660" s="306">
        <v>0</v>
      </c>
    </row>
    <row r="661" spans="1:88" s="3" customFormat="1" ht="18.5" customHeight="1" x14ac:dyDescent="0.2">
      <c r="A661" s="56">
        <v>48</v>
      </c>
      <c r="B661" s="32">
        <v>0</v>
      </c>
      <c r="C661" s="33">
        <v>-1</v>
      </c>
      <c r="D661" s="33">
        <v>-1</v>
      </c>
      <c r="E661" s="33">
        <v>-1</v>
      </c>
      <c r="F661" s="33">
        <v>0</v>
      </c>
      <c r="G661" s="33">
        <v>0</v>
      </c>
      <c r="H661" s="33">
        <v>-1</v>
      </c>
      <c r="I661" s="33">
        <v>-1</v>
      </c>
      <c r="J661" s="33">
        <v>-1</v>
      </c>
      <c r="K661" s="33">
        <v>0</v>
      </c>
      <c r="L661" s="33">
        <v>0</v>
      </c>
      <c r="M661" s="33">
        <v>0</v>
      </c>
      <c r="N661" s="33">
        <v>-1</v>
      </c>
      <c r="O661" s="33">
        <v>0</v>
      </c>
      <c r="P661" s="33">
        <v>0</v>
      </c>
      <c r="Q661" s="33">
        <v>0</v>
      </c>
      <c r="R661" s="33">
        <v>0</v>
      </c>
      <c r="S661" s="33">
        <v>0</v>
      </c>
      <c r="T661" s="33">
        <v>0</v>
      </c>
      <c r="U661" s="33">
        <v>0</v>
      </c>
      <c r="V661" s="33">
        <v>0</v>
      </c>
      <c r="W661" s="33">
        <v>0</v>
      </c>
      <c r="X661" s="33">
        <v>1</v>
      </c>
      <c r="Y661" s="33">
        <v>0</v>
      </c>
      <c r="Z661" s="33">
        <v>0</v>
      </c>
      <c r="AA661" s="33">
        <v>0</v>
      </c>
      <c r="AB661" s="33">
        <v>0</v>
      </c>
      <c r="AC661" s="33">
        <v>0</v>
      </c>
      <c r="AD661" s="33">
        <v>0</v>
      </c>
      <c r="AE661" s="33">
        <v>0</v>
      </c>
      <c r="AF661" s="33">
        <v>0</v>
      </c>
      <c r="AG661" s="33">
        <v>0</v>
      </c>
      <c r="AH661" s="33">
        <v>0</v>
      </c>
      <c r="AI661" s="33">
        <v>0</v>
      </c>
      <c r="AJ661" s="33">
        <v>0</v>
      </c>
      <c r="AK661" s="33">
        <v>0</v>
      </c>
      <c r="AL661" s="33">
        <v>0</v>
      </c>
      <c r="AM661" s="33">
        <v>0</v>
      </c>
      <c r="AN661" s="33">
        <v>0</v>
      </c>
      <c r="AO661" s="33">
        <v>0</v>
      </c>
      <c r="AP661" s="33">
        <v>0</v>
      </c>
      <c r="AQ661" s="33">
        <v>0</v>
      </c>
      <c r="AR661" s="33">
        <v>0</v>
      </c>
      <c r="AS661" s="33">
        <v>0</v>
      </c>
      <c r="AT661" s="33">
        <v>0</v>
      </c>
      <c r="AU661" s="33">
        <v>0</v>
      </c>
      <c r="AV661" s="33">
        <v>0</v>
      </c>
      <c r="AW661" s="33">
        <v>0</v>
      </c>
      <c r="AX661" s="33">
        <v>0</v>
      </c>
      <c r="AY661" s="33">
        <v>0</v>
      </c>
      <c r="AZ661" s="33">
        <v>0</v>
      </c>
      <c r="BA661" s="33">
        <v>0</v>
      </c>
      <c r="BB661" s="33">
        <v>0</v>
      </c>
      <c r="BC661" s="33">
        <v>0</v>
      </c>
      <c r="BD661" s="33">
        <v>0</v>
      </c>
      <c r="BE661" s="33">
        <v>0</v>
      </c>
      <c r="BF661" s="33">
        <v>0</v>
      </c>
      <c r="BG661" s="33">
        <v>0</v>
      </c>
      <c r="BH661" s="33">
        <v>0</v>
      </c>
      <c r="BI661" s="33">
        <v>0</v>
      </c>
      <c r="BJ661" s="33">
        <v>0</v>
      </c>
      <c r="BK661" s="33">
        <v>0</v>
      </c>
      <c r="BL661" s="33">
        <v>0</v>
      </c>
      <c r="BM661" s="33">
        <v>0</v>
      </c>
      <c r="BN661" s="33">
        <v>0</v>
      </c>
      <c r="BO661" s="33">
        <v>0</v>
      </c>
      <c r="BP661" s="33">
        <v>0</v>
      </c>
      <c r="BQ661" s="33">
        <v>0</v>
      </c>
      <c r="BR661" s="33">
        <v>0</v>
      </c>
      <c r="BS661" s="33">
        <v>0</v>
      </c>
      <c r="BT661" s="33">
        <v>0</v>
      </c>
      <c r="BU661" s="33">
        <v>0</v>
      </c>
      <c r="BV661" s="33">
        <v>0</v>
      </c>
      <c r="BW661" s="33">
        <v>0</v>
      </c>
      <c r="BX661" s="33">
        <v>0</v>
      </c>
      <c r="BY661" s="33">
        <v>0</v>
      </c>
      <c r="BZ661" s="34">
        <v>1</v>
      </c>
      <c r="CA661" s="305">
        <v>0</v>
      </c>
      <c r="CB661" s="306">
        <v>0</v>
      </c>
      <c r="CC661" s="306">
        <v>0</v>
      </c>
      <c r="CD661" s="306">
        <v>0</v>
      </c>
      <c r="CE661" s="306">
        <v>0</v>
      </c>
      <c r="CF661" s="306">
        <v>0</v>
      </c>
      <c r="CG661" s="306">
        <v>1</v>
      </c>
      <c r="CH661" s="306">
        <v>0</v>
      </c>
      <c r="CI661" s="306">
        <v>0</v>
      </c>
      <c r="CJ661" s="306">
        <v>0</v>
      </c>
    </row>
    <row r="666" spans="1:88" s="3" customFormat="1" ht="13.75" customHeight="1" x14ac:dyDescent="0.15">
      <c r="H666" s="307"/>
    </row>
    <row r="667" spans="1:88" s="3" customFormat="1" ht="13.75" customHeight="1" x14ac:dyDescent="0.15">
      <c r="H667" s="307"/>
    </row>
    <row r="668" spans="1:88" s="3" customFormat="1" ht="13.75" customHeight="1" x14ac:dyDescent="0.15">
      <c r="G668" s="308"/>
      <c r="H668" s="307"/>
    </row>
    <row r="669" spans="1:88" s="3" customFormat="1" ht="14.25" customHeight="1" x14ac:dyDescent="0.15">
      <c r="H669" s="307"/>
      <c r="I669" s="309" t="s">
        <v>261</v>
      </c>
    </row>
    <row r="670" spans="1:88" s="3" customFormat="1" ht="35" customHeight="1" x14ac:dyDescent="0.2">
      <c r="G670" s="310" t="s">
        <v>262</v>
      </c>
      <c r="H670" s="311"/>
      <c r="I670" s="9">
        <v>1</v>
      </c>
      <c r="J670" s="10">
        <v>2</v>
      </c>
      <c r="K670" s="10">
        <v>3</v>
      </c>
      <c r="L670" s="10">
        <v>4</v>
      </c>
      <c r="M670" s="10">
        <v>5</v>
      </c>
      <c r="N670" s="10">
        <v>6</v>
      </c>
      <c r="O670" s="10">
        <v>7</v>
      </c>
      <c r="P670" s="10">
        <v>8</v>
      </c>
      <c r="Q670" s="10">
        <v>9</v>
      </c>
      <c r="R670" s="10">
        <v>10</v>
      </c>
      <c r="S670" s="10">
        <v>11</v>
      </c>
      <c r="T670" s="10">
        <v>12</v>
      </c>
      <c r="U670" s="10">
        <v>13</v>
      </c>
      <c r="V670" s="10">
        <v>14</v>
      </c>
      <c r="W670" s="10">
        <v>15</v>
      </c>
      <c r="X670" s="10">
        <v>16</v>
      </c>
      <c r="Y670" s="10">
        <v>17</v>
      </c>
      <c r="Z670" s="10">
        <v>18</v>
      </c>
      <c r="AA670" s="10">
        <v>19</v>
      </c>
      <c r="AB670" s="10">
        <v>20</v>
      </c>
      <c r="AC670" s="10">
        <v>21</v>
      </c>
      <c r="AD670" s="10">
        <v>22</v>
      </c>
      <c r="AE670" s="10">
        <v>23</v>
      </c>
      <c r="AF670" s="10">
        <v>24</v>
      </c>
      <c r="AG670" s="10">
        <v>25</v>
      </c>
      <c r="AH670" s="10">
        <v>26</v>
      </c>
      <c r="AI670" s="10">
        <v>27</v>
      </c>
      <c r="AJ670" s="10">
        <v>28</v>
      </c>
      <c r="AK670" s="10">
        <v>29</v>
      </c>
      <c r="AL670" s="10">
        <v>30</v>
      </c>
      <c r="AM670" s="10">
        <v>31</v>
      </c>
      <c r="AN670" s="10">
        <v>32</v>
      </c>
      <c r="AO670" s="10">
        <v>33</v>
      </c>
      <c r="AP670" s="10">
        <v>34</v>
      </c>
      <c r="AQ670" s="10">
        <v>35</v>
      </c>
      <c r="AR670" s="10">
        <v>36</v>
      </c>
      <c r="AS670" s="10">
        <v>37</v>
      </c>
      <c r="AT670" s="10">
        <v>38</v>
      </c>
      <c r="AU670" s="10">
        <v>39</v>
      </c>
      <c r="AV670" s="10">
        <v>40</v>
      </c>
      <c r="AW670" s="10">
        <v>41</v>
      </c>
      <c r="AX670" s="10">
        <v>42</v>
      </c>
      <c r="AY670" s="10">
        <v>43</v>
      </c>
      <c r="AZ670" s="10">
        <v>44</v>
      </c>
      <c r="BA670" s="10">
        <v>45</v>
      </c>
      <c r="BB670" s="10">
        <v>46</v>
      </c>
      <c r="BC670" s="10">
        <v>47</v>
      </c>
      <c r="BD670" s="11">
        <v>48</v>
      </c>
    </row>
    <row r="671" spans="1:88" s="3" customFormat="1" ht="51" customHeight="1" x14ac:dyDescent="0.2">
      <c r="E671" s="312" t="s">
        <v>263</v>
      </c>
      <c r="G671" s="310" t="s">
        <v>264</v>
      </c>
      <c r="H671" s="311"/>
      <c r="I671" s="9">
        <v>0</v>
      </c>
      <c r="J671" s="10">
        <v>0</v>
      </c>
      <c r="K671" s="10">
        <v>0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10">
        <v>0</v>
      </c>
      <c r="AG671" s="10">
        <v>0</v>
      </c>
      <c r="AH671" s="10">
        <v>0</v>
      </c>
      <c r="AI671" s="10">
        <v>0</v>
      </c>
      <c r="AJ671" s="10">
        <v>0</v>
      </c>
      <c r="AK671" s="10">
        <v>0</v>
      </c>
      <c r="AL671" s="10">
        <v>0</v>
      </c>
      <c r="AM671" s="10">
        <v>0</v>
      </c>
      <c r="AN671" s="10">
        <v>0</v>
      </c>
      <c r="AO671" s="10">
        <v>0</v>
      </c>
      <c r="AP671" s="10">
        <v>0</v>
      </c>
      <c r="AQ671" s="10">
        <v>0</v>
      </c>
      <c r="AR671" s="10">
        <v>0</v>
      </c>
      <c r="AS671" s="10">
        <v>0</v>
      </c>
      <c r="AT671" s="10">
        <v>0</v>
      </c>
      <c r="AU671" s="10">
        <v>0</v>
      </c>
      <c r="AV671" s="10">
        <v>0</v>
      </c>
      <c r="AW671" s="10">
        <v>0</v>
      </c>
      <c r="AX671" s="10">
        <v>0</v>
      </c>
      <c r="AY671" s="10">
        <v>0</v>
      </c>
      <c r="AZ671" s="10">
        <v>0</v>
      </c>
      <c r="BA671" s="10">
        <v>0</v>
      </c>
      <c r="BB671" s="10">
        <v>0</v>
      </c>
      <c r="BC671" s="10">
        <v>0</v>
      </c>
      <c r="BD671" s="11">
        <v>0</v>
      </c>
    </row>
    <row r="672" spans="1:88" s="3" customFormat="1" ht="83" customHeight="1" x14ac:dyDescent="0.15">
      <c r="E672" s="312" t="s">
        <v>265</v>
      </c>
      <c r="G672" s="312" t="s">
        <v>266</v>
      </c>
      <c r="H672" s="307"/>
    </row>
    <row r="673" spans="1:159" s="3" customFormat="1" ht="69" customHeight="1" x14ac:dyDescent="0.2">
      <c r="A673" s="313" t="s">
        <v>267</v>
      </c>
      <c r="B673" s="363" t="s">
        <v>268</v>
      </c>
      <c r="C673" s="364"/>
      <c r="D673" s="315"/>
      <c r="E673" s="316" t="s">
        <v>269</v>
      </c>
      <c r="G673" s="316" t="s">
        <v>270</v>
      </c>
      <c r="H673" s="317"/>
      <c r="J673" s="314" t="s">
        <v>271</v>
      </c>
      <c r="N673" s="313" t="s">
        <v>272</v>
      </c>
      <c r="O673" s="363" t="s">
        <v>273</v>
      </c>
      <c r="P673" s="364"/>
      <c r="Q673" s="318"/>
      <c r="U673" s="365" t="s">
        <v>274</v>
      </c>
      <c r="V673" s="366"/>
      <c r="W673" s="366"/>
      <c r="Z673" s="313" t="s">
        <v>275</v>
      </c>
      <c r="AA673" s="363" t="s">
        <v>276</v>
      </c>
      <c r="AB673" s="364"/>
      <c r="AC673" s="364"/>
      <c r="AD673" s="364"/>
      <c r="AE673" s="364"/>
      <c r="AF673" s="364"/>
      <c r="AG673" s="364"/>
      <c r="AH673" s="364"/>
      <c r="AI673" s="364"/>
    </row>
    <row r="674" spans="1:159" s="3" customFormat="1" ht="67" customHeight="1" x14ac:dyDescent="0.15">
      <c r="A674" s="314" t="s">
        <v>105</v>
      </c>
      <c r="B674" s="314" t="s">
        <v>277</v>
      </c>
      <c r="C674" s="319"/>
      <c r="E674" s="314" t="s">
        <v>278</v>
      </c>
      <c r="G674" s="314" t="s">
        <v>94</v>
      </c>
      <c r="H674" s="314" t="s">
        <v>279</v>
      </c>
      <c r="J674" s="314" t="s">
        <v>279</v>
      </c>
      <c r="K674" s="314" t="s">
        <v>94</v>
      </c>
      <c r="L674" s="314" t="s">
        <v>280</v>
      </c>
      <c r="N674" s="314" t="s">
        <v>105</v>
      </c>
      <c r="O674" s="320" t="s">
        <v>279</v>
      </c>
      <c r="P674" s="265" t="s">
        <v>94</v>
      </c>
      <c r="Q674" s="321" t="s">
        <v>280</v>
      </c>
      <c r="T674" s="314" t="s">
        <v>105</v>
      </c>
      <c r="U674" s="314" t="s">
        <v>279</v>
      </c>
      <c r="V674" s="314" t="s">
        <v>94</v>
      </c>
      <c r="W674" s="314" t="s">
        <v>281</v>
      </c>
      <c r="Z674" s="314" t="s">
        <v>279</v>
      </c>
      <c r="AA674" s="322">
        <v>1</v>
      </c>
      <c r="AB674" s="323">
        <v>2</v>
      </c>
      <c r="AC674" s="323">
        <v>3</v>
      </c>
      <c r="AD674" s="323">
        <v>4</v>
      </c>
      <c r="AE674" s="323">
        <v>5</v>
      </c>
      <c r="AF674" s="323">
        <v>6</v>
      </c>
      <c r="AG674" s="323">
        <v>7</v>
      </c>
      <c r="AH674" s="323">
        <v>8</v>
      </c>
      <c r="AI674" s="323">
        <v>9</v>
      </c>
      <c r="AJ674" s="323">
        <v>10</v>
      </c>
      <c r="AK674" s="323">
        <v>11</v>
      </c>
      <c r="AL674" s="323">
        <v>12</v>
      </c>
      <c r="AM674" s="323">
        <v>13</v>
      </c>
      <c r="AN674" s="323">
        <v>14</v>
      </c>
      <c r="AO674" s="323">
        <v>15</v>
      </c>
      <c r="AP674" s="323">
        <v>16</v>
      </c>
      <c r="AQ674" s="323">
        <v>17</v>
      </c>
      <c r="AR674" s="323">
        <v>18</v>
      </c>
      <c r="AS674" s="323">
        <v>19</v>
      </c>
      <c r="AT674" s="323">
        <v>20</v>
      </c>
      <c r="AU674" s="323">
        <v>21</v>
      </c>
      <c r="AV674" s="323">
        <v>22</v>
      </c>
      <c r="AW674" s="323">
        <v>23</v>
      </c>
      <c r="AX674" s="323">
        <v>24</v>
      </c>
      <c r="AY674" s="323">
        <v>25</v>
      </c>
      <c r="AZ674" s="323">
        <v>26</v>
      </c>
      <c r="BA674" s="323">
        <v>27</v>
      </c>
      <c r="BB674" s="323">
        <v>28</v>
      </c>
      <c r="BC674" s="323">
        <v>29</v>
      </c>
      <c r="BD674" s="323">
        <v>30</v>
      </c>
      <c r="BE674" s="323">
        <v>31</v>
      </c>
      <c r="BF674" s="323">
        <v>32</v>
      </c>
      <c r="BG674" s="323">
        <v>33</v>
      </c>
      <c r="BH674" s="323">
        <v>34</v>
      </c>
      <c r="BI674" s="323">
        <v>35</v>
      </c>
      <c r="BJ674" s="323">
        <v>36</v>
      </c>
      <c r="BK674" s="323">
        <v>37</v>
      </c>
      <c r="BL674" s="323">
        <v>38</v>
      </c>
      <c r="BM674" s="323">
        <v>39</v>
      </c>
      <c r="BN674" s="323">
        <v>40</v>
      </c>
      <c r="BO674" s="323">
        <v>41</v>
      </c>
      <c r="BP674" s="323">
        <v>42</v>
      </c>
      <c r="BQ674" s="323">
        <v>43</v>
      </c>
      <c r="BR674" s="323">
        <v>44</v>
      </c>
      <c r="BS674" s="323">
        <v>45</v>
      </c>
      <c r="BT674" s="323">
        <v>46</v>
      </c>
      <c r="BU674" s="323">
        <v>47</v>
      </c>
      <c r="BV674" s="323">
        <v>48</v>
      </c>
      <c r="BW674" s="323">
        <v>49</v>
      </c>
      <c r="BX674" s="323">
        <v>50</v>
      </c>
      <c r="BY674" s="323">
        <v>51</v>
      </c>
      <c r="BZ674" s="323">
        <v>52</v>
      </c>
      <c r="CA674" s="323">
        <v>53</v>
      </c>
      <c r="CB674" s="323">
        <v>54</v>
      </c>
      <c r="CC674" s="323">
        <v>55</v>
      </c>
      <c r="CD674" s="323">
        <v>56</v>
      </c>
      <c r="CE674" s="323">
        <v>57</v>
      </c>
      <c r="CF674" s="323">
        <v>58</v>
      </c>
      <c r="CG674" s="323">
        <v>59</v>
      </c>
      <c r="CH674" s="323">
        <v>60</v>
      </c>
      <c r="CI674" s="323">
        <v>61</v>
      </c>
      <c r="CJ674" s="323">
        <v>62</v>
      </c>
      <c r="CK674" s="323">
        <v>63</v>
      </c>
      <c r="CL674" s="323">
        <v>64</v>
      </c>
      <c r="CM674" s="323">
        <v>65</v>
      </c>
      <c r="CN674" s="323">
        <v>66</v>
      </c>
      <c r="CO674" s="323">
        <v>67</v>
      </c>
      <c r="CP674" s="323">
        <v>68</v>
      </c>
      <c r="CQ674" s="323">
        <v>69</v>
      </c>
      <c r="CR674" s="323">
        <v>70</v>
      </c>
      <c r="CS674" s="323">
        <v>71</v>
      </c>
      <c r="CT674" s="323">
        <v>72</v>
      </c>
      <c r="CU674" s="323">
        <v>73</v>
      </c>
      <c r="CV674" s="323">
        <v>74</v>
      </c>
      <c r="CW674" s="323">
        <v>75</v>
      </c>
      <c r="CX674" s="323">
        <v>76</v>
      </c>
      <c r="CY674" s="323">
        <v>77</v>
      </c>
      <c r="CZ674" s="323">
        <v>78</v>
      </c>
      <c r="DA674" s="323">
        <v>79</v>
      </c>
      <c r="DB674" s="323">
        <v>80</v>
      </c>
      <c r="DC674" s="323">
        <v>81</v>
      </c>
      <c r="DD674" s="323">
        <v>82</v>
      </c>
      <c r="DE674" s="323">
        <v>83</v>
      </c>
      <c r="DF674" s="323">
        <v>84</v>
      </c>
      <c r="DG674" s="323">
        <v>85</v>
      </c>
      <c r="DH674" s="323">
        <v>86</v>
      </c>
      <c r="DI674" s="323">
        <v>87</v>
      </c>
      <c r="DJ674" s="323">
        <v>88</v>
      </c>
      <c r="DK674" s="323">
        <v>89</v>
      </c>
      <c r="DL674" s="323">
        <v>90</v>
      </c>
      <c r="DM674" s="323">
        <v>91</v>
      </c>
      <c r="DN674" s="323">
        <v>92</v>
      </c>
      <c r="DO674" s="323">
        <v>93</v>
      </c>
      <c r="DP674" s="323">
        <v>94</v>
      </c>
      <c r="DQ674" s="323">
        <v>95</v>
      </c>
      <c r="DR674" s="323">
        <v>96</v>
      </c>
      <c r="DS674" s="323">
        <v>97</v>
      </c>
      <c r="DT674" s="323">
        <v>98</v>
      </c>
      <c r="DU674" s="323">
        <v>99</v>
      </c>
      <c r="DV674" s="323">
        <v>100</v>
      </c>
      <c r="DW674" s="323">
        <v>101</v>
      </c>
      <c r="DX674" s="323">
        <v>102</v>
      </c>
      <c r="DY674" s="323">
        <v>103</v>
      </c>
      <c r="DZ674" s="323">
        <v>104</v>
      </c>
      <c r="EA674" s="323">
        <v>105</v>
      </c>
      <c r="EB674" s="323">
        <v>106</v>
      </c>
      <c r="EC674" s="323">
        <v>107</v>
      </c>
      <c r="ED674" s="323">
        <v>108</v>
      </c>
      <c r="EE674" s="323">
        <v>109</v>
      </c>
      <c r="EF674" s="323">
        <v>110</v>
      </c>
      <c r="EG674" s="323">
        <v>111</v>
      </c>
      <c r="EH674" s="323">
        <v>112</v>
      </c>
      <c r="EI674" s="323">
        <v>113</v>
      </c>
      <c r="EJ674" s="323">
        <v>114</v>
      </c>
      <c r="EK674" s="323">
        <v>115</v>
      </c>
      <c r="EL674" s="323">
        <v>116</v>
      </c>
      <c r="EM674" s="323">
        <v>117</v>
      </c>
      <c r="EN674" s="323">
        <v>118</v>
      </c>
      <c r="EO674" s="323">
        <v>119</v>
      </c>
      <c r="EP674" s="323">
        <v>120</v>
      </c>
      <c r="EQ674" s="323">
        <v>121</v>
      </c>
      <c r="ER674" s="323">
        <v>122</v>
      </c>
      <c r="ES674" s="323">
        <v>123</v>
      </c>
      <c r="ET674" s="323">
        <v>124</v>
      </c>
      <c r="EU674" s="323">
        <v>125</v>
      </c>
      <c r="EV674" s="323">
        <v>126</v>
      </c>
      <c r="EW674" s="323">
        <v>127</v>
      </c>
      <c r="EX674" s="323">
        <v>128</v>
      </c>
      <c r="EY674" s="323">
        <v>129</v>
      </c>
      <c r="EZ674" s="323">
        <v>130</v>
      </c>
      <c r="FA674" s="323">
        <v>131</v>
      </c>
      <c r="FB674" s="323">
        <v>132</v>
      </c>
      <c r="FC674" s="324">
        <v>133</v>
      </c>
    </row>
    <row r="675" spans="1:159" s="3" customFormat="1" ht="18.5" customHeight="1" x14ac:dyDescent="0.2">
      <c r="A675" s="128">
        <v>1</v>
      </c>
      <c r="B675" s="262">
        <v>0.86837032106029499</v>
      </c>
      <c r="C675" s="325"/>
      <c r="D675" s="38"/>
      <c r="E675" s="28">
        <v>0</v>
      </c>
      <c r="G675" s="28">
        <v>1</v>
      </c>
      <c r="H675" s="28">
        <v>1</v>
      </c>
      <c r="J675" s="28">
        <v>1</v>
      </c>
      <c r="K675" s="28">
        <v>1</v>
      </c>
      <c r="L675" s="28">
        <v>0</v>
      </c>
      <c r="N675" s="28">
        <v>1</v>
      </c>
      <c r="O675" s="23">
        <v>1</v>
      </c>
      <c r="P675" s="24">
        <v>1</v>
      </c>
      <c r="Q675" s="25">
        <v>0</v>
      </c>
      <c r="T675" s="202">
        <v>1</v>
      </c>
      <c r="U675" s="28">
        <v>1</v>
      </c>
      <c r="V675" s="28">
        <v>3</v>
      </c>
      <c r="W675" s="28">
        <v>1</v>
      </c>
      <c r="Z675" s="28">
        <v>1</v>
      </c>
      <c r="AA675" s="23">
        <v>1</v>
      </c>
      <c r="AB675" s="24">
        <v>1</v>
      </c>
      <c r="AC675" s="24">
        <v>0</v>
      </c>
      <c r="AD675" s="24">
        <v>0</v>
      </c>
      <c r="AE675" s="24">
        <v>0</v>
      </c>
      <c r="AF675" s="24">
        <v>0</v>
      </c>
      <c r="AG675" s="24">
        <v>0</v>
      </c>
      <c r="AH675" s="24">
        <v>0</v>
      </c>
      <c r="AI675" s="24">
        <v>0</v>
      </c>
      <c r="AJ675" s="24">
        <v>0</v>
      </c>
      <c r="AK675" s="24">
        <v>0</v>
      </c>
      <c r="AL675" s="24">
        <v>0</v>
      </c>
      <c r="AM675" s="24">
        <v>0</v>
      </c>
      <c r="AN675" s="24">
        <v>0</v>
      </c>
      <c r="AO675" s="24">
        <v>0</v>
      </c>
      <c r="AP675" s="24">
        <v>0</v>
      </c>
      <c r="AQ675" s="24">
        <v>0</v>
      </c>
      <c r="AR675" s="24">
        <v>0</v>
      </c>
      <c r="AS675" s="24">
        <v>0</v>
      </c>
      <c r="AT675" s="24">
        <v>0</v>
      </c>
      <c r="AU675" s="24">
        <v>0</v>
      </c>
      <c r="AV675" s="24">
        <v>0</v>
      </c>
      <c r="AW675" s="24">
        <v>0</v>
      </c>
      <c r="AX675" s="24">
        <v>0</v>
      </c>
      <c r="AY675" s="24">
        <v>0</v>
      </c>
      <c r="AZ675" s="24">
        <v>0</v>
      </c>
      <c r="BA675" s="24">
        <v>0</v>
      </c>
      <c r="BB675" s="24">
        <v>0</v>
      </c>
      <c r="BC675" s="24">
        <v>0</v>
      </c>
      <c r="BD675" s="24">
        <v>0</v>
      </c>
      <c r="BE675" s="24">
        <v>0</v>
      </c>
      <c r="BF675" s="24">
        <v>0</v>
      </c>
      <c r="BG675" s="24">
        <v>0</v>
      </c>
      <c r="BH675" s="24">
        <v>0</v>
      </c>
      <c r="BI675" s="24">
        <v>0</v>
      </c>
      <c r="BJ675" s="24">
        <v>0</v>
      </c>
      <c r="BK675" s="24">
        <v>0</v>
      </c>
      <c r="BL675" s="24">
        <v>0</v>
      </c>
      <c r="BM675" s="24">
        <v>0</v>
      </c>
      <c r="BN675" s="24">
        <v>0</v>
      </c>
      <c r="BO675" s="24">
        <v>0</v>
      </c>
      <c r="BP675" s="24">
        <v>0</v>
      </c>
      <c r="BQ675" s="24">
        <v>0</v>
      </c>
      <c r="BR675" s="24">
        <v>0</v>
      </c>
      <c r="BS675" s="24">
        <v>0</v>
      </c>
      <c r="BT675" s="24">
        <v>0</v>
      </c>
      <c r="BU675" s="24">
        <v>0</v>
      </c>
      <c r="BV675" s="24">
        <v>0</v>
      </c>
      <c r="BW675" s="24">
        <v>0</v>
      </c>
      <c r="BX675" s="24">
        <v>0</v>
      </c>
      <c r="BY675" s="24">
        <v>0</v>
      </c>
      <c r="BZ675" s="24">
        <v>0</v>
      </c>
      <c r="CA675" s="24">
        <v>0</v>
      </c>
      <c r="CB675" s="24">
        <v>0</v>
      </c>
      <c r="CC675" s="24">
        <v>0</v>
      </c>
      <c r="CD675" s="24">
        <v>0</v>
      </c>
      <c r="CE675" s="24">
        <v>0</v>
      </c>
      <c r="CF675" s="24">
        <v>0</v>
      </c>
      <c r="CG675" s="24">
        <v>0</v>
      </c>
      <c r="CH675" s="24">
        <v>0</v>
      </c>
      <c r="CI675" s="24">
        <v>0</v>
      </c>
      <c r="CJ675" s="24">
        <v>0</v>
      </c>
      <c r="CK675" s="24">
        <v>0</v>
      </c>
      <c r="CL675" s="24">
        <v>0</v>
      </c>
      <c r="CM675" s="24">
        <v>0</v>
      </c>
      <c r="CN675" s="24">
        <v>0</v>
      </c>
      <c r="CO675" s="24">
        <v>0</v>
      </c>
      <c r="CP675" s="24">
        <v>0</v>
      </c>
      <c r="CQ675" s="24">
        <v>0</v>
      </c>
      <c r="CR675" s="24">
        <v>0</v>
      </c>
      <c r="CS675" s="24">
        <v>0</v>
      </c>
      <c r="CT675" s="24">
        <v>0</v>
      </c>
      <c r="CU675" s="24">
        <v>0</v>
      </c>
      <c r="CV675" s="24">
        <v>0</v>
      </c>
      <c r="CW675" s="24">
        <v>0</v>
      </c>
      <c r="CX675" s="24">
        <v>0</v>
      </c>
      <c r="CY675" s="24">
        <v>0</v>
      </c>
      <c r="CZ675" s="24">
        <v>0</v>
      </c>
      <c r="DA675" s="24">
        <v>0</v>
      </c>
      <c r="DB675" s="24">
        <v>0</v>
      </c>
      <c r="DC675" s="24">
        <v>0</v>
      </c>
      <c r="DD675" s="24">
        <v>0</v>
      </c>
      <c r="DE675" s="24">
        <v>0</v>
      </c>
      <c r="DF675" s="24">
        <v>0</v>
      </c>
      <c r="DG675" s="24">
        <v>0</v>
      </c>
      <c r="DH675" s="24">
        <v>0</v>
      </c>
      <c r="DI675" s="24">
        <v>0</v>
      </c>
      <c r="DJ675" s="24">
        <v>0</v>
      </c>
      <c r="DK675" s="24">
        <v>0</v>
      </c>
      <c r="DL675" s="24">
        <v>0</v>
      </c>
      <c r="DM675" s="24">
        <v>0</v>
      </c>
      <c r="DN675" s="24">
        <v>0</v>
      </c>
      <c r="DO675" s="24">
        <v>0</v>
      </c>
      <c r="DP675" s="24">
        <v>0</v>
      </c>
      <c r="DQ675" s="24">
        <v>0</v>
      </c>
      <c r="DR675" s="24">
        <v>0</v>
      </c>
      <c r="DS675" s="24">
        <v>0</v>
      </c>
      <c r="DT675" s="24">
        <v>0</v>
      </c>
      <c r="DU675" s="24">
        <v>0</v>
      </c>
      <c r="DV675" s="24">
        <v>0</v>
      </c>
      <c r="DW675" s="24">
        <v>0</v>
      </c>
      <c r="DX675" s="24">
        <v>0</v>
      </c>
      <c r="DY675" s="24">
        <v>0</v>
      </c>
      <c r="DZ675" s="24">
        <v>0</v>
      </c>
      <c r="EA675" s="24">
        <v>0</v>
      </c>
      <c r="EB675" s="24">
        <v>0</v>
      </c>
      <c r="EC675" s="24">
        <v>0</v>
      </c>
      <c r="ED675" s="24">
        <v>0</v>
      </c>
      <c r="EE675" s="24">
        <v>0</v>
      </c>
      <c r="EF675" s="24">
        <v>0</v>
      </c>
      <c r="EG675" s="24">
        <v>0</v>
      </c>
      <c r="EH675" s="24">
        <v>0</v>
      </c>
      <c r="EI675" s="24">
        <v>0</v>
      </c>
      <c r="EJ675" s="24">
        <v>0</v>
      </c>
      <c r="EK675" s="24">
        <v>0</v>
      </c>
      <c r="EL675" s="24">
        <v>0</v>
      </c>
      <c r="EM675" s="24">
        <v>0</v>
      </c>
      <c r="EN675" s="24">
        <v>0</v>
      </c>
      <c r="EO675" s="24">
        <v>0</v>
      </c>
      <c r="EP675" s="24">
        <v>0</v>
      </c>
      <c r="EQ675" s="24">
        <v>0</v>
      </c>
      <c r="ER675" s="24">
        <v>0</v>
      </c>
      <c r="ES675" s="24">
        <v>0</v>
      </c>
      <c r="ET675" s="24">
        <v>0</v>
      </c>
      <c r="EU675" s="24">
        <v>0</v>
      </c>
      <c r="EV675" s="24">
        <v>0</v>
      </c>
      <c r="EW675" s="24">
        <v>0</v>
      </c>
      <c r="EX675" s="24">
        <v>0</v>
      </c>
      <c r="EY675" s="24">
        <v>0</v>
      </c>
      <c r="EZ675" s="24">
        <v>0</v>
      </c>
      <c r="FA675" s="24">
        <v>0</v>
      </c>
      <c r="FB675" s="24">
        <v>0</v>
      </c>
      <c r="FC675" s="25">
        <v>0</v>
      </c>
    </row>
    <row r="676" spans="1:159" s="3" customFormat="1" ht="18" customHeight="1" x14ac:dyDescent="0.2">
      <c r="A676" s="140">
        <v>2</v>
      </c>
      <c r="B676" s="263">
        <v>0.86615548163823497</v>
      </c>
      <c r="C676" s="325"/>
      <c r="D676" s="38"/>
      <c r="E676" s="39">
        <v>0</v>
      </c>
      <c r="G676" s="39">
        <v>2</v>
      </c>
      <c r="H676" s="39">
        <v>1</v>
      </c>
      <c r="J676" s="39">
        <v>1</v>
      </c>
      <c r="K676" s="39">
        <v>2</v>
      </c>
      <c r="L676" s="39">
        <v>0</v>
      </c>
      <c r="N676" s="39">
        <v>2</v>
      </c>
      <c r="O676" s="35">
        <v>1</v>
      </c>
      <c r="P676" s="36">
        <v>2</v>
      </c>
      <c r="Q676" s="37">
        <v>0</v>
      </c>
      <c r="T676" s="39">
        <v>2</v>
      </c>
      <c r="U676" s="39">
        <v>1</v>
      </c>
      <c r="V676" s="39">
        <v>4</v>
      </c>
      <c r="W676" s="39">
        <v>1</v>
      </c>
      <c r="Z676" s="39">
        <v>2</v>
      </c>
      <c r="AA676" s="35">
        <v>0</v>
      </c>
      <c r="AB676" s="36">
        <v>0</v>
      </c>
      <c r="AC676" s="36">
        <v>1</v>
      </c>
      <c r="AD676" s="36">
        <v>1</v>
      </c>
      <c r="AE676" s="36">
        <v>0</v>
      </c>
      <c r="AF676" s="36">
        <v>0</v>
      </c>
      <c r="AG676" s="36">
        <v>0</v>
      </c>
      <c r="AH676" s="36">
        <v>0</v>
      </c>
      <c r="AI676" s="36">
        <v>0</v>
      </c>
      <c r="AJ676" s="36">
        <v>0</v>
      </c>
      <c r="AK676" s="36">
        <v>0</v>
      </c>
      <c r="AL676" s="36">
        <v>0</v>
      </c>
      <c r="AM676" s="36">
        <v>0</v>
      </c>
      <c r="AN676" s="36">
        <v>0</v>
      </c>
      <c r="AO676" s="36">
        <v>0</v>
      </c>
      <c r="AP676" s="36">
        <v>0</v>
      </c>
      <c r="AQ676" s="36">
        <v>0</v>
      </c>
      <c r="AR676" s="36">
        <v>0</v>
      </c>
      <c r="AS676" s="36">
        <v>0</v>
      </c>
      <c r="AT676" s="36">
        <v>0</v>
      </c>
      <c r="AU676" s="36">
        <v>0</v>
      </c>
      <c r="AV676" s="36">
        <v>0</v>
      </c>
      <c r="AW676" s="36">
        <v>0</v>
      </c>
      <c r="AX676" s="36">
        <v>0</v>
      </c>
      <c r="AY676" s="36">
        <v>0</v>
      </c>
      <c r="AZ676" s="36">
        <v>0</v>
      </c>
      <c r="BA676" s="36">
        <v>0</v>
      </c>
      <c r="BB676" s="36">
        <v>0</v>
      </c>
      <c r="BC676" s="36">
        <v>0</v>
      </c>
      <c r="BD676" s="36">
        <v>0</v>
      </c>
      <c r="BE676" s="36">
        <v>0</v>
      </c>
      <c r="BF676" s="36">
        <v>0</v>
      </c>
      <c r="BG676" s="36">
        <v>0</v>
      </c>
      <c r="BH676" s="36">
        <v>0</v>
      </c>
      <c r="BI676" s="36">
        <v>0</v>
      </c>
      <c r="BJ676" s="36">
        <v>0</v>
      </c>
      <c r="BK676" s="36">
        <v>0</v>
      </c>
      <c r="BL676" s="36">
        <v>0</v>
      </c>
      <c r="BM676" s="36">
        <v>0</v>
      </c>
      <c r="BN676" s="36">
        <v>0</v>
      </c>
      <c r="BO676" s="36">
        <v>0</v>
      </c>
      <c r="BP676" s="36">
        <v>0</v>
      </c>
      <c r="BQ676" s="36">
        <v>0</v>
      </c>
      <c r="BR676" s="36">
        <v>0</v>
      </c>
      <c r="BS676" s="36">
        <v>0</v>
      </c>
      <c r="BT676" s="36">
        <v>0</v>
      </c>
      <c r="BU676" s="36">
        <v>0</v>
      </c>
      <c r="BV676" s="36">
        <v>0</v>
      </c>
      <c r="BW676" s="36">
        <v>0</v>
      </c>
      <c r="BX676" s="36">
        <v>0</v>
      </c>
      <c r="BY676" s="36">
        <v>0</v>
      </c>
      <c r="BZ676" s="36">
        <v>0</v>
      </c>
      <c r="CA676" s="36">
        <v>0</v>
      </c>
      <c r="CB676" s="36">
        <v>0</v>
      </c>
      <c r="CC676" s="36">
        <v>0</v>
      </c>
      <c r="CD676" s="36">
        <v>0</v>
      </c>
      <c r="CE676" s="36">
        <v>0</v>
      </c>
      <c r="CF676" s="36">
        <v>0</v>
      </c>
      <c r="CG676" s="36">
        <v>0</v>
      </c>
      <c r="CH676" s="36">
        <v>0</v>
      </c>
      <c r="CI676" s="36">
        <v>0</v>
      </c>
      <c r="CJ676" s="36">
        <v>0</v>
      </c>
      <c r="CK676" s="36">
        <v>0</v>
      </c>
      <c r="CL676" s="36">
        <v>0</v>
      </c>
      <c r="CM676" s="36">
        <v>0</v>
      </c>
      <c r="CN676" s="36">
        <v>0</v>
      </c>
      <c r="CO676" s="36">
        <v>0</v>
      </c>
      <c r="CP676" s="36">
        <v>0</v>
      </c>
      <c r="CQ676" s="36">
        <v>0</v>
      </c>
      <c r="CR676" s="36">
        <v>0</v>
      </c>
      <c r="CS676" s="36">
        <v>0</v>
      </c>
      <c r="CT676" s="36">
        <v>0</v>
      </c>
      <c r="CU676" s="36">
        <v>0</v>
      </c>
      <c r="CV676" s="36">
        <v>0</v>
      </c>
      <c r="CW676" s="36">
        <v>0</v>
      </c>
      <c r="CX676" s="36">
        <v>0</v>
      </c>
      <c r="CY676" s="36">
        <v>0</v>
      </c>
      <c r="CZ676" s="36">
        <v>0</v>
      </c>
      <c r="DA676" s="36">
        <v>0</v>
      </c>
      <c r="DB676" s="36">
        <v>0</v>
      </c>
      <c r="DC676" s="36">
        <v>0</v>
      </c>
      <c r="DD676" s="36">
        <v>0</v>
      </c>
      <c r="DE676" s="36">
        <v>0</v>
      </c>
      <c r="DF676" s="36">
        <v>0</v>
      </c>
      <c r="DG676" s="36">
        <v>0</v>
      </c>
      <c r="DH676" s="36">
        <v>0</v>
      </c>
      <c r="DI676" s="36">
        <v>0</v>
      </c>
      <c r="DJ676" s="36">
        <v>0</v>
      </c>
      <c r="DK676" s="36">
        <v>0</v>
      </c>
      <c r="DL676" s="36">
        <v>0</v>
      </c>
      <c r="DM676" s="36">
        <v>0</v>
      </c>
      <c r="DN676" s="36">
        <v>0</v>
      </c>
      <c r="DO676" s="36">
        <v>0</v>
      </c>
      <c r="DP676" s="36">
        <v>0</v>
      </c>
      <c r="DQ676" s="36">
        <v>0</v>
      </c>
      <c r="DR676" s="36">
        <v>0</v>
      </c>
      <c r="DS676" s="36">
        <v>0</v>
      </c>
      <c r="DT676" s="36">
        <v>0</v>
      </c>
      <c r="DU676" s="36">
        <v>0</v>
      </c>
      <c r="DV676" s="36">
        <v>0</v>
      </c>
      <c r="DW676" s="36">
        <v>0</v>
      </c>
      <c r="DX676" s="36">
        <v>0</v>
      </c>
      <c r="DY676" s="36">
        <v>0</v>
      </c>
      <c r="DZ676" s="36">
        <v>0</v>
      </c>
      <c r="EA676" s="36">
        <v>0</v>
      </c>
      <c r="EB676" s="36">
        <v>0</v>
      </c>
      <c r="EC676" s="36">
        <v>0</v>
      </c>
      <c r="ED676" s="36">
        <v>0</v>
      </c>
      <c r="EE676" s="36">
        <v>0</v>
      </c>
      <c r="EF676" s="36">
        <v>0</v>
      </c>
      <c r="EG676" s="36">
        <v>0</v>
      </c>
      <c r="EH676" s="36">
        <v>0</v>
      </c>
      <c r="EI676" s="36">
        <v>0</v>
      </c>
      <c r="EJ676" s="36">
        <v>0</v>
      </c>
      <c r="EK676" s="36">
        <v>0</v>
      </c>
      <c r="EL676" s="36">
        <v>0</v>
      </c>
      <c r="EM676" s="36">
        <v>0</v>
      </c>
      <c r="EN676" s="36">
        <v>0</v>
      </c>
      <c r="EO676" s="36">
        <v>0</v>
      </c>
      <c r="EP676" s="36">
        <v>0</v>
      </c>
      <c r="EQ676" s="36">
        <v>0</v>
      </c>
      <c r="ER676" s="36">
        <v>0</v>
      </c>
      <c r="ES676" s="36">
        <v>0</v>
      </c>
      <c r="ET676" s="36">
        <v>0</v>
      </c>
      <c r="EU676" s="36">
        <v>0</v>
      </c>
      <c r="EV676" s="36">
        <v>0</v>
      </c>
      <c r="EW676" s="36">
        <v>0</v>
      </c>
      <c r="EX676" s="36">
        <v>0</v>
      </c>
      <c r="EY676" s="36">
        <v>0</v>
      </c>
      <c r="EZ676" s="36">
        <v>0</v>
      </c>
      <c r="FA676" s="36">
        <v>0</v>
      </c>
      <c r="FB676" s="36">
        <v>0</v>
      </c>
      <c r="FC676" s="37">
        <v>0</v>
      </c>
    </row>
    <row r="677" spans="1:159" s="3" customFormat="1" ht="18" customHeight="1" x14ac:dyDescent="0.2">
      <c r="A677" s="140">
        <v>3</v>
      </c>
      <c r="B677" s="263">
        <v>0.86713973412174195</v>
      </c>
      <c r="C677" s="325"/>
      <c r="D677" s="38"/>
      <c r="E677" s="39">
        <v>1</v>
      </c>
      <c r="G677" s="39">
        <v>3</v>
      </c>
      <c r="H677" s="39">
        <v>1</v>
      </c>
      <c r="J677" s="39">
        <v>1</v>
      </c>
      <c r="K677" s="39">
        <v>3</v>
      </c>
      <c r="L677" s="39">
        <v>1</v>
      </c>
      <c r="N677" s="39">
        <v>3</v>
      </c>
      <c r="O677" s="35">
        <v>1</v>
      </c>
      <c r="P677" s="36">
        <v>3</v>
      </c>
      <c r="Q677" s="37">
        <v>1</v>
      </c>
      <c r="T677" s="39">
        <v>3</v>
      </c>
      <c r="U677" s="39">
        <v>2</v>
      </c>
      <c r="V677" s="39">
        <v>3</v>
      </c>
      <c r="W677" s="39">
        <v>1</v>
      </c>
      <c r="Z677" s="39">
        <v>3</v>
      </c>
      <c r="AA677" s="35">
        <v>0</v>
      </c>
      <c r="AB677" s="36">
        <v>0</v>
      </c>
      <c r="AC677" s="36">
        <v>0</v>
      </c>
      <c r="AD677" s="36">
        <v>0</v>
      </c>
      <c r="AE677" s="36">
        <v>1</v>
      </c>
      <c r="AF677" s="36">
        <v>1</v>
      </c>
      <c r="AG677" s="36">
        <v>0</v>
      </c>
      <c r="AH677" s="36">
        <v>0</v>
      </c>
      <c r="AI677" s="36">
        <v>0</v>
      </c>
      <c r="AJ677" s="36">
        <v>0</v>
      </c>
      <c r="AK677" s="36">
        <v>0</v>
      </c>
      <c r="AL677" s="36">
        <v>0</v>
      </c>
      <c r="AM677" s="36">
        <v>0</v>
      </c>
      <c r="AN677" s="36">
        <v>0</v>
      </c>
      <c r="AO677" s="36">
        <v>0</v>
      </c>
      <c r="AP677" s="36">
        <v>0</v>
      </c>
      <c r="AQ677" s="36">
        <v>0</v>
      </c>
      <c r="AR677" s="36">
        <v>0</v>
      </c>
      <c r="AS677" s="36">
        <v>0</v>
      </c>
      <c r="AT677" s="36">
        <v>0</v>
      </c>
      <c r="AU677" s="36">
        <v>0</v>
      </c>
      <c r="AV677" s="36">
        <v>0</v>
      </c>
      <c r="AW677" s="36">
        <v>0</v>
      </c>
      <c r="AX677" s="36">
        <v>0</v>
      </c>
      <c r="AY677" s="36">
        <v>0</v>
      </c>
      <c r="AZ677" s="36">
        <v>0</v>
      </c>
      <c r="BA677" s="36">
        <v>0</v>
      </c>
      <c r="BB677" s="36">
        <v>0</v>
      </c>
      <c r="BC677" s="36">
        <v>0</v>
      </c>
      <c r="BD677" s="36">
        <v>0</v>
      </c>
      <c r="BE677" s="36">
        <v>0</v>
      </c>
      <c r="BF677" s="36">
        <v>0</v>
      </c>
      <c r="BG677" s="36">
        <v>0</v>
      </c>
      <c r="BH677" s="36">
        <v>0</v>
      </c>
      <c r="BI677" s="36">
        <v>0</v>
      </c>
      <c r="BJ677" s="36">
        <v>0</v>
      </c>
      <c r="BK677" s="36">
        <v>0</v>
      </c>
      <c r="BL677" s="36">
        <v>0</v>
      </c>
      <c r="BM677" s="36">
        <v>0</v>
      </c>
      <c r="BN677" s="36">
        <v>0</v>
      </c>
      <c r="BO677" s="36">
        <v>0</v>
      </c>
      <c r="BP677" s="36">
        <v>0</v>
      </c>
      <c r="BQ677" s="36">
        <v>0</v>
      </c>
      <c r="BR677" s="36">
        <v>0</v>
      </c>
      <c r="BS677" s="36">
        <v>0</v>
      </c>
      <c r="BT677" s="36">
        <v>0</v>
      </c>
      <c r="BU677" s="36">
        <v>0</v>
      </c>
      <c r="BV677" s="36">
        <v>0</v>
      </c>
      <c r="BW677" s="36">
        <v>0</v>
      </c>
      <c r="BX677" s="36">
        <v>0</v>
      </c>
      <c r="BY677" s="36">
        <v>0</v>
      </c>
      <c r="BZ677" s="36">
        <v>0</v>
      </c>
      <c r="CA677" s="36">
        <v>0</v>
      </c>
      <c r="CB677" s="36">
        <v>0</v>
      </c>
      <c r="CC677" s="36">
        <v>0</v>
      </c>
      <c r="CD677" s="36">
        <v>0</v>
      </c>
      <c r="CE677" s="36">
        <v>0</v>
      </c>
      <c r="CF677" s="36">
        <v>0</v>
      </c>
      <c r="CG677" s="36">
        <v>0</v>
      </c>
      <c r="CH677" s="36">
        <v>0</v>
      </c>
      <c r="CI677" s="36">
        <v>0</v>
      </c>
      <c r="CJ677" s="36">
        <v>0</v>
      </c>
      <c r="CK677" s="36">
        <v>0</v>
      </c>
      <c r="CL677" s="36">
        <v>0</v>
      </c>
      <c r="CM677" s="36">
        <v>0</v>
      </c>
      <c r="CN677" s="36">
        <v>0</v>
      </c>
      <c r="CO677" s="36">
        <v>0</v>
      </c>
      <c r="CP677" s="36">
        <v>0</v>
      </c>
      <c r="CQ677" s="36">
        <v>0</v>
      </c>
      <c r="CR677" s="36">
        <v>0</v>
      </c>
      <c r="CS677" s="36">
        <v>0</v>
      </c>
      <c r="CT677" s="36">
        <v>0</v>
      </c>
      <c r="CU677" s="36">
        <v>0</v>
      </c>
      <c r="CV677" s="36">
        <v>0</v>
      </c>
      <c r="CW677" s="36">
        <v>0</v>
      </c>
      <c r="CX677" s="36">
        <v>0</v>
      </c>
      <c r="CY677" s="36">
        <v>0</v>
      </c>
      <c r="CZ677" s="36">
        <v>0</v>
      </c>
      <c r="DA677" s="36">
        <v>0</v>
      </c>
      <c r="DB677" s="36">
        <v>0</v>
      </c>
      <c r="DC677" s="36">
        <v>0</v>
      </c>
      <c r="DD677" s="36">
        <v>0</v>
      </c>
      <c r="DE677" s="36">
        <v>0</v>
      </c>
      <c r="DF677" s="36">
        <v>0</v>
      </c>
      <c r="DG677" s="36">
        <v>0</v>
      </c>
      <c r="DH677" s="36">
        <v>0</v>
      </c>
      <c r="DI677" s="36">
        <v>0</v>
      </c>
      <c r="DJ677" s="36">
        <v>0</v>
      </c>
      <c r="DK677" s="36">
        <v>0</v>
      </c>
      <c r="DL677" s="36">
        <v>0</v>
      </c>
      <c r="DM677" s="36">
        <v>0</v>
      </c>
      <c r="DN677" s="36">
        <v>0</v>
      </c>
      <c r="DO677" s="36">
        <v>0</v>
      </c>
      <c r="DP677" s="36">
        <v>0</v>
      </c>
      <c r="DQ677" s="36">
        <v>0</v>
      </c>
      <c r="DR677" s="36">
        <v>0</v>
      </c>
      <c r="DS677" s="36">
        <v>0</v>
      </c>
      <c r="DT677" s="36">
        <v>0</v>
      </c>
      <c r="DU677" s="36">
        <v>0</v>
      </c>
      <c r="DV677" s="36">
        <v>0</v>
      </c>
      <c r="DW677" s="36">
        <v>0</v>
      </c>
      <c r="DX677" s="36">
        <v>0</v>
      </c>
      <c r="DY677" s="36">
        <v>0</v>
      </c>
      <c r="DZ677" s="36">
        <v>0</v>
      </c>
      <c r="EA677" s="36">
        <v>0</v>
      </c>
      <c r="EB677" s="36">
        <v>0</v>
      </c>
      <c r="EC677" s="36">
        <v>0</v>
      </c>
      <c r="ED677" s="36">
        <v>0</v>
      </c>
      <c r="EE677" s="36">
        <v>0</v>
      </c>
      <c r="EF677" s="36">
        <v>0</v>
      </c>
      <c r="EG677" s="36">
        <v>0</v>
      </c>
      <c r="EH677" s="36">
        <v>0</v>
      </c>
      <c r="EI677" s="36">
        <v>0</v>
      </c>
      <c r="EJ677" s="36">
        <v>0</v>
      </c>
      <c r="EK677" s="36">
        <v>0</v>
      </c>
      <c r="EL677" s="36">
        <v>0</v>
      </c>
      <c r="EM677" s="36">
        <v>0</v>
      </c>
      <c r="EN677" s="36">
        <v>0</v>
      </c>
      <c r="EO677" s="36">
        <v>0</v>
      </c>
      <c r="EP677" s="36">
        <v>0</v>
      </c>
      <c r="EQ677" s="36">
        <v>0</v>
      </c>
      <c r="ER677" s="36">
        <v>0</v>
      </c>
      <c r="ES677" s="36">
        <v>0</v>
      </c>
      <c r="ET677" s="36">
        <v>0</v>
      </c>
      <c r="EU677" s="36">
        <v>0</v>
      </c>
      <c r="EV677" s="36">
        <v>0</v>
      </c>
      <c r="EW677" s="36">
        <v>0</v>
      </c>
      <c r="EX677" s="36">
        <v>0</v>
      </c>
      <c r="EY677" s="36">
        <v>0</v>
      </c>
      <c r="EZ677" s="36">
        <v>0</v>
      </c>
      <c r="FA677" s="36">
        <v>0</v>
      </c>
      <c r="FB677" s="36">
        <v>0</v>
      </c>
      <c r="FC677" s="37">
        <v>0</v>
      </c>
    </row>
    <row r="678" spans="1:159" s="3" customFormat="1" ht="18" customHeight="1" x14ac:dyDescent="0.2">
      <c r="A678" s="140">
        <v>4</v>
      </c>
      <c r="B678" s="263">
        <v>0.86601528489184099</v>
      </c>
      <c r="C678" s="325"/>
      <c r="D678" s="38"/>
      <c r="E678" s="39">
        <v>1</v>
      </c>
      <c r="G678" s="39">
        <v>4</v>
      </c>
      <c r="H678" s="39">
        <v>1</v>
      </c>
      <c r="J678" s="39">
        <v>1</v>
      </c>
      <c r="K678" s="39">
        <v>4</v>
      </c>
      <c r="L678" s="39">
        <v>1</v>
      </c>
      <c r="N678" s="39">
        <v>4</v>
      </c>
      <c r="O678" s="35">
        <v>1</v>
      </c>
      <c r="P678" s="36">
        <v>4</v>
      </c>
      <c r="Q678" s="37">
        <v>1</v>
      </c>
      <c r="T678" s="39">
        <v>4</v>
      </c>
      <c r="U678" s="39">
        <v>2</v>
      </c>
      <c r="V678" s="39">
        <v>4</v>
      </c>
      <c r="W678" s="39">
        <v>1</v>
      </c>
      <c r="Z678" s="39">
        <v>4</v>
      </c>
      <c r="AA678" s="35">
        <v>0</v>
      </c>
      <c r="AB678" s="36">
        <v>0</v>
      </c>
      <c r="AC678" s="36">
        <v>0</v>
      </c>
      <c r="AD678" s="36">
        <v>0</v>
      </c>
      <c r="AE678" s="36">
        <v>0</v>
      </c>
      <c r="AF678" s="36">
        <v>0</v>
      </c>
      <c r="AG678" s="36">
        <v>1</v>
      </c>
      <c r="AH678" s="36">
        <v>1</v>
      </c>
      <c r="AI678" s="36">
        <v>0</v>
      </c>
      <c r="AJ678" s="36">
        <v>0</v>
      </c>
      <c r="AK678" s="36">
        <v>0</v>
      </c>
      <c r="AL678" s="36">
        <v>0</v>
      </c>
      <c r="AM678" s="36">
        <v>0</v>
      </c>
      <c r="AN678" s="36">
        <v>0</v>
      </c>
      <c r="AO678" s="36">
        <v>0</v>
      </c>
      <c r="AP678" s="36">
        <v>0</v>
      </c>
      <c r="AQ678" s="36">
        <v>0</v>
      </c>
      <c r="AR678" s="36">
        <v>0</v>
      </c>
      <c r="AS678" s="36">
        <v>0</v>
      </c>
      <c r="AT678" s="36">
        <v>0</v>
      </c>
      <c r="AU678" s="36">
        <v>0</v>
      </c>
      <c r="AV678" s="36">
        <v>0</v>
      </c>
      <c r="AW678" s="36">
        <v>0</v>
      </c>
      <c r="AX678" s="36">
        <v>0</v>
      </c>
      <c r="AY678" s="36">
        <v>0</v>
      </c>
      <c r="AZ678" s="36">
        <v>0</v>
      </c>
      <c r="BA678" s="36">
        <v>0</v>
      </c>
      <c r="BB678" s="36">
        <v>0</v>
      </c>
      <c r="BC678" s="36">
        <v>0</v>
      </c>
      <c r="BD678" s="36">
        <v>0</v>
      </c>
      <c r="BE678" s="36">
        <v>0</v>
      </c>
      <c r="BF678" s="36">
        <v>0</v>
      </c>
      <c r="BG678" s="36">
        <v>0</v>
      </c>
      <c r="BH678" s="36">
        <v>0</v>
      </c>
      <c r="BI678" s="36">
        <v>0</v>
      </c>
      <c r="BJ678" s="36">
        <v>0</v>
      </c>
      <c r="BK678" s="36">
        <v>0</v>
      </c>
      <c r="BL678" s="36">
        <v>0</v>
      </c>
      <c r="BM678" s="36">
        <v>0</v>
      </c>
      <c r="BN678" s="36">
        <v>0</v>
      </c>
      <c r="BO678" s="36">
        <v>0</v>
      </c>
      <c r="BP678" s="36">
        <v>0</v>
      </c>
      <c r="BQ678" s="36">
        <v>0</v>
      </c>
      <c r="BR678" s="36">
        <v>0</v>
      </c>
      <c r="BS678" s="36">
        <v>0</v>
      </c>
      <c r="BT678" s="36">
        <v>0</v>
      </c>
      <c r="BU678" s="36">
        <v>0</v>
      </c>
      <c r="BV678" s="36">
        <v>0</v>
      </c>
      <c r="BW678" s="36">
        <v>0</v>
      </c>
      <c r="BX678" s="36">
        <v>0</v>
      </c>
      <c r="BY678" s="36">
        <v>0</v>
      </c>
      <c r="BZ678" s="36">
        <v>0</v>
      </c>
      <c r="CA678" s="36">
        <v>0</v>
      </c>
      <c r="CB678" s="36">
        <v>0</v>
      </c>
      <c r="CC678" s="36">
        <v>0</v>
      </c>
      <c r="CD678" s="36">
        <v>0</v>
      </c>
      <c r="CE678" s="36">
        <v>0</v>
      </c>
      <c r="CF678" s="36">
        <v>0</v>
      </c>
      <c r="CG678" s="36">
        <v>0</v>
      </c>
      <c r="CH678" s="36">
        <v>0</v>
      </c>
      <c r="CI678" s="36">
        <v>0</v>
      </c>
      <c r="CJ678" s="36">
        <v>0</v>
      </c>
      <c r="CK678" s="36">
        <v>0</v>
      </c>
      <c r="CL678" s="36">
        <v>0</v>
      </c>
      <c r="CM678" s="36">
        <v>0</v>
      </c>
      <c r="CN678" s="36">
        <v>0</v>
      </c>
      <c r="CO678" s="36">
        <v>0</v>
      </c>
      <c r="CP678" s="36">
        <v>0</v>
      </c>
      <c r="CQ678" s="36">
        <v>0</v>
      </c>
      <c r="CR678" s="36">
        <v>0</v>
      </c>
      <c r="CS678" s="36">
        <v>0</v>
      </c>
      <c r="CT678" s="36">
        <v>0</v>
      </c>
      <c r="CU678" s="36">
        <v>0</v>
      </c>
      <c r="CV678" s="36">
        <v>0</v>
      </c>
      <c r="CW678" s="36">
        <v>0</v>
      </c>
      <c r="CX678" s="36">
        <v>0</v>
      </c>
      <c r="CY678" s="36">
        <v>0</v>
      </c>
      <c r="CZ678" s="36">
        <v>0</v>
      </c>
      <c r="DA678" s="36">
        <v>0</v>
      </c>
      <c r="DB678" s="36">
        <v>0</v>
      </c>
      <c r="DC678" s="36">
        <v>0</v>
      </c>
      <c r="DD678" s="36">
        <v>0</v>
      </c>
      <c r="DE678" s="36">
        <v>0</v>
      </c>
      <c r="DF678" s="36">
        <v>0</v>
      </c>
      <c r="DG678" s="36">
        <v>0</v>
      </c>
      <c r="DH678" s="36">
        <v>0</v>
      </c>
      <c r="DI678" s="36">
        <v>0</v>
      </c>
      <c r="DJ678" s="36">
        <v>0</v>
      </c>
      <c r="DK678" s="36">
        <v>0</v>
      </c>
      <c r="DL678" s="36">
        <v>0</v>
      </c>
      <c r="DM678" s="36">
        <v>0</v>
      </c>
      <c r="DN678" s="36">
        <v>0</v>
      </c>
      <c r="DO678" s="36">
        <v>0</v>
      </c>
      <c r="DP678" s="36">
        <v>0</v>
      </c>
      <c r="DQ678" s="36">
        <v>0</v>
      </c>
      <c r="DR678" s="36">
        <v>0</v>
      </c>
      <c r="DS678" s="36">
        <v>0</v>
      </c>
      <c r="DT678" s="36">
        <v>0</v>
      </c>
      <c r="DU678" s="36">
        <v>0</v>
      </c>
      <c r="DV678" s="36">
        <v>0</v>
      </c>
      <c r="DW678" s="36">
        <v>0</v>
      </c>
      <c r="DX678" s="36">
        <v>0</v>
      </c>
      <c r="DY678" s="36">
        <v>0</v>
      </c>
      <c r="DZ678" s="36">
        <v>0</v>
      </c>
      <c r="EA678" s="36">
        <v>0</v>
      </c>
      <c r="EB678" s="36">
        <v>0</v>
      </c>
      <c r="EC678" s="36">
        <v>0</v>
      </c>
      <c r="ED678" s="36">
        <v>0</v>
      </c>
      <c r="EE678" s="36">
        <v>0</v>
      </c>
      <c r="EF678" s="36">
        <v>0</v>
      </c>
      <c r="EG678" s="36">
        <v>0</v>
      </c>
      <c r="EH678" s="36">
        <v>0</v>
      </c>
      <c r="EI678" s="36">
        <v>0</v>
      </c>
      <c r="EJ678" s="36">
        <v>0</v>
      </c>
      <c r="EK678" s="36">
        <v>0</v>
      </c>
      <c r="EL678" s="36">
        <v>0</v>
      </c>
      <c r="EM678" s="36">
        <v>0</v>
      </c>
      <c r="EN678" s="36">
        <v>0</v>
      </c>
      <c r="EO678" s="36">
        <v>0</v>
      </c>
      <c r="EP678" s="36">
        <v>0</v>
      </c>
      <c r="EQ678" s="36">
        <v>0</v>
      </c>
      <c r="ER678" s="36">
        <v>0</v>
      </c>
      <c r="ES678" s="36">
        <v>0</v>
      </c>
      <c r="ET678" s="36">
        <v>0</v>
      </c>
      <c r="EU678" s="36">
        <v>0</v>
      </c>
      <c r="EV678" s="36">
        <v>0</v>
      </c>
      <c r="EW678" s="36">
        <v>0</v>
      </c>
      <c r="EX678" s="36">
        <v>0</v>
      </c>
      <c r="EY678" s="36">
        <v>0</v>
      </c>
      <c r="EZ678" s="36">
        <v>0</v>
      </c>
      <c r="FA678" s="36">
        <v>0</v>
      </c>
      <c r="FB678" s="36">
        <v>0</v>
      </c>
      <c r="FC678" s="37">
        <v>0</v>
      </c>
    </row>
    <row r="679" spans="1:159" s="3" customFormat="1" ht="18" customHeight="1" x14ac:dyDescent="0.2">
      <c r="A679" s="140">
        <v>5</v>
      </c>
      <c r="B679" s="263">
        <v>0.86796755761411204</v>
      </c>
      <c r="C679" s="325"/>
      <c r="D679" s="38"/>
      <c r="E679" s="39">
        <v>0</v>
      </c>
      <c r="G679" s="39">
        <v>1</v>
      </c>
      <c r="H679" s="39">
        <v>2</v>
      </c>
      <c r="J679" s="39">
        <v>2</v>
      </c>
      <c r="K679" s="39">
        <v>1</v>
      </c>
      <c r="L679" s="39">
        <v>0</v>
      </c>
      <c r="N679" s="39">
        <v>5</v>
      </c>
      <c r="O679" s="35">
        <v>2</v>
      </c>
      <c r="P679" s="36">
        <v>1</v>
      </c>
      <c r="Q679" s="37">
        <v>0</v>
      </c>
      <c r="T679" s="39">
        <v>5</v>
      </c>
      <c r="U679" s="39">
        <v>3</v>
      </c>
      <c r="V679" s="39">
        <v>3</v>
      </c>
      <c r="W679" s="39">
        <v>1</v>
      </c>
      <c r="Z679" s="39">
        <v>5</v>
      </c>
      <c r="AA679" s="35">
        <v>0</v>
      </c>
      <c r="AB679" s="36">
        <v>0</v>
      </c>
      <c r="AC679" s="36">
        <v>0</v>
      </c>
      <c r="AD679" s="36">
        <v>0</v>
      </c>
      <c r="AE679" s="36">
        <v>0</v>
      </c>
      <c r="AF679" s="36">
        <v>0</v>
      </c>
      <c r="AG679" s="36">
        <v>0</v>
      </c>
      <c r="AH679" s="36">
        <v>0</v>
      </c>
      <c r="AI679" s="36">
        <v>1</v>
      </c>
      <c r="AJ679" s="36">
        <v>1</v>
      </c>
      <c r="AK679" s="36">
        <v>0</v>
      </c>
      <c r="AL679" s="36">
        <v>0</v>
      </c>
      <c r="AM679" s="36">
        <v>0</v>
      </c>
      <c r="AN679" s="36">
        <v>0</v>
      </c>
      <c r="AO679" s="36">
        <v>0</v>
      </c>
      <c r="AP679" s="36">
        <v>0</v>
      </c>
      <c r="AQ679" s="36">
        <v>0</v>
      </c>
      <c r="AR679" s="36">
        <v>0</v>
      </c>
      <c r="AS679" s="36">
        <v>0</v>
      </c>
      <c r="AT679" s="36">
        <v>0</v>
      </c>
      <c r="AU679" s="36">
        <v>0</v>
      </c>
      <c r="AV679" s="36">
        <v>0</v>
      </c>
      <c r="AW679" s="36">
        <v>0</v>
      </c>
      <c r="AX679" s="36">
        <v>0</v>
      </c>
      <c r="AY679" s="36">
        <v>0</v>
      </c>
      <c r="AZ679" s="36">
        <v>0</v>
      </c>
      <c r="BA679" s="36">
        <v>0</v>
      </c>
      <c r="BB679" s="36">
        <v>0</v>
      </c>
      <c r="BC679" s="36">
        <v>0</v>
      </c>
      <c r="BD679" s="36">
        <v>0</v>
      </c>
      <c r="BE679" s="36">
        <v>0</v>
      </c>
      <c r="BF679" s="36">
        <v>0</v>
      </c>
      <c r="BG679" s="36">
        <v>0</v>
      </c>
      <c r="BH679" s="36">
        <v>0</v>
      </c>
      <c r="BI679" s="36">
        <v>0</v>
      </c>
      <c r="BJ679" s="36">
        <v>0</v>
      </c>
      <c r="BK679" s="36">
        <v>0</v>
      </c>
      <c r="BL679" s="36">
        <v>0</v>
      </c>
      <c r="BM679" s="36">
        <v>0</v>
      </c>
      <c r="BN679" s="36">
        <v>0</v>
      </c>
      <c r="BO679" s="36">
        <v>0</v>
      </c>
      <c r="BP679" s="36">
        <v>0</v>
      </c>
      <c r="BQ679" s="36">
        <v>0</v>
      </c>
      <c r="BR679" s="36">
        <v>0</v>
      </c>
      <c r="BS679" s="36">
        <v>0</v>
      </c>
      <c r="BT679" s="36">
        <v>0</v>
      </c>
      <c r="BU679" s="36">
        <v>0</v>
      </c>
      <c r="BV679" s="36">
        <v>0</v>
      </c>
      <c r="BW679" s="36">
        <v>0</v>
      </c>
      <c r="BX679" s="36">
        <v>0</v>
      </c>
      <c r="BY679" s="36">
        <v>0</v>
      </c>
      <c r="BZ679" s="36">
        <v>0</v>
      </c>
      <c r="CA679" s="36">
        <v>0</v>
      </c>
      <c r="CB679" s="36">
        <v>0</v>
      </c>
      <c r="CC679" s="36">
        <v>0</v>
      </c>
      <c r="CD679" s="36">
        <v>0</v>
      </c>
      <c r="CE679" s="36">
        <v>0</v>
      </c>
      <c r="CF679" s="36">
        <v>0</v>
      </c>
      <c r="CG679" s="36">
        <v>0</v>
      </c>
      <c r="CH679" s="36">
        <v>0</v>
      </c>
      <c r="CI679" s="36">
        <v>0</v>
      </c>
      <c r="CJ679" s="36">
        <v>0</v>
      </c>
      <c r="CK679" s="36">
        <v>0</v>
      </c>
      <c r="CL679" s="36">
        <v>0</v>
      </c>
      <c r="CM679" s="36">
        <v>0</v>
      </c>
      <c r="CN679" s="36">
        <v>0</v>
      </c>
      <c r="CO679" s="36">
        <v>0</v>
      </c>
      <c r="CP679" s="36">
        <v>0</v>
      </c>
      <c r="CQ679" s="36">
        <v>0</v>
      </c>
      <c r="CR679" s="36">
        <v>0</v>
      </c>
      <c r="CS679" s="36">
        <v>0</v>
      </c>
      <c r="CT679" s="36">
        <v>0</v>
      </c>
      <c r="CU679" s="36">
        <v>0</v>
      </c>
      <c r="CV679" s="36">
        <v>0</v>
      </c>
      <c r="CW679" s="36">
        <v>0</v>
      </c>
      <c r="CX679" s="36">
        <v>0</v>
      </c>
      <c r="CY679" s="36">
        <v>0</v>
      </c>
      <c r="CZ679" s="36">
        <v>0</v>
      </c>
      <c r="DA679" s="36">
        <v>0</v>
      </c>
      <c r="DB679" s="36">
        <v>0</v>
      </c>
      <c r="DC679" s="36">
        <v>0</v>
      </c>
      <c r="DD679" s="36">
        <v>0</v>
      </c>
      <c r="DE679" s="36">
        <v>0</v>
      </c>
      <c r="DF679" s="36">
        <v>0</v>
      </c>
      <c r="DG679" s="36">
        <v>0</v>
      </c>
      <c r="DH679" s="36">
        <v>0</v>
      </c>
      <c r="DI679" s="36">
        <v>0</v>
      </c>
      <c r="DJ679" s="36">
        <v>0</v>
      </c>
      <c r="DK679" s="36">
        <v>0</v>
      </c>
      <c r="DL679" s="36">
        <v>0</v>
      </c>
      <c r="DM679" s="36">
        <v>0</v>
      </c>
      <c r="DN679" s="36">
        <v>0</v>
      </c>
      <c r="DO679" s="36">
        <v>0</v>
      </c>
      <c r="DP679" s="36">
        <v>0</v>
      </c>
      <c r="DQ679" s="36">
        <v>0</v>
      </c>
      <c r="DR679" s="36">
        <v>0</v>
      </c>
      <c r="DS679" s="36">
        <v>0</v>
      </c>
      <c r="DT679" s="36">
        <v>0</v>
      </c>
      <c r="DU679" s="36">
        <v>0</v>
      </c>
      <c r="DV679" s="36">
        <v>0</v>
      </c>
      <c r="DW679" s="36">
        <v>0</v>
      </c>
      <c r="DX679" s="36">
        <v>0</v>
      </c>
      <c r="DY679" s="36">
        <v>0</v>
      </c>
      <c r="DZ679" s="36">
        <v>0</v>
      </c>
      <c r="EA679" s="36">
        <v>0</v>
      </c>
      <c r="EB679" s="36">
        <v>0</v>
      </c>
      <c r="EC679" s="36">
        <v>0</v>
      </c>
      <c r="ED679" s="36">
        <v>0</v>
      </c>
      <c r="EE679" s="36">
        <v>0</v>
      </c>
      <c r="EF679" s="36">
        <v>0</v>
      </c>
      <c r="EG679" s="36">
        <v>0</v>
      </c>
      <c r="EH679" s="36">
        <v>0</v>
      </c>
      <c r="EI679" s="36">
        <v>0</v>
      </c>
      <c r="EJ679" s="36">
        <v>0</v>
      </c>
      <c r="EK679" s="36">
        <v>0</v>
      </c>
      <c r="EL679" s="36">
        <v>0</v>
      </c>
      <c r="EM679" s="36">
        <v>0</v>
      </c>
      <c r="EN679" s="36">
        <v>0</v>
      </c>
      <c r="EO679" s="36">
        <v>0</v>
      </c>
      <c r="EP679" s="36">
        <v>0</v>
      </c>
      <c r="EQ679" s="36">
        <v>0</v>
      </c>
      <c r="ER679" s="36">
        <v>0</v>
      </c>
      <c r="ES679" s="36">
        <v>0</v>
      </c>
      <c r="ET679" s="36">
        <v>0</v>
      </c>
      <c r="EU679" s="36">
        <v>0</v>
      </c>
      <c r="EV679" s="36">
        <v>0</v>
      </c>
      <c r="EW679" s="36">
        <v>0</v>
      </c>
      <c r="EX679" s="36">
        <v>0</v>
      </c>
      <c r="EY679" s="36">
        <v>0</v>
      </c>
      <c r="EZ679" s="36">
        <v>0</v>
      </c>
      <c r="FA679" s="36">
        <v>0</v>
      </c>
      <c r="FB679" s="36">
        <v>0</v>
      </c>
      <c r="FC679" s="37">
        <v>0</v>
      </c>
    </row>
    <row r="680" spans="1:159" s="3" customFormat="1" ht="18" customHeight="1" x14ac:dyDescent="0.2">
      <c r="A680" s="140">
        <v>6</v>
      </c>
      <c r="B680" s="263">
        <v>0.86279971341695805</v>
      </c>
      <c r="C680" s="325"/>
      <c r="D680" s="38"/>
      <c r="E680" s="39">
        <v>0</v>
      </c>
      <c r="G680" s="39">
        <v>2</v>
      </c>
      <c r="H680" s="39">
        <v>2</v>
      </c>
      <c r="J680" s="39">
        <v>2</v>
      </c>
      <c r="K680" s="39">
        <v>2</v>
      </c>
      <c r="L680" s="39">
        <v>0</v>
      </c>
      <c r="N680" s="39">
        <v>6</v>
      </c>
      <c r="O680" s="35">
        <v>2</v>
      </c>
      <c r="P680" s="36">
        <v>2</v>
      </c>
      <c r="Q680" s="37">
        <v>0</v>
      </c>
      <c r="T680" s="39">
        <v>6</v>
      </c>
      <c r="U680" s="39">
        <v>3</v>
      </c>
      <c r="V680" s="39">
        <v>4</v>
      </c>
      <c r="W680" s="39">
        <v>1</v>
      </c>
      <c r="Z680" s="39">
        <v>6</v>
      </c>
      <c r="AA680" s="35">
        <v>0</v>
      </c>
      <c r="AB680" s="36">
        <v>0</v>
      </c>
      <c r="AC680" s="36">
        <v>0</v>
      </c>
      <c r="AD680" s="36">
        <v>0</v>
      </c>
      <c r="AE680" s="36">
        <v>0</v>
      </c>
      <c r="AF680" s="36">
        <v>0</v>
      </c>
      <c r="AG680" s="36">
        <v>0</v>
      </c>
      <c r="AH680" s="36">
        <v>0</v>
      </c>
      <c r="AI680" s="36">
        <v>0</v>
      </c>
      <c r="AJ680" s="36">
        <v>0</v>
      </c>
      <c r="AK680" s="36">
        <v>1</v>
      </c>
      <c r="AL680" s="36">
        <v>1</v>
      </c>
      <c r="AM680" s="36">
        <v>0</v>
      </c>
      <c r="AN680" s="36">
        <v>0</v>
      </c>
      <c r="AO680" s="36">
        <v>0</v>
      </c>
      <c r="AP680" s="36">
        <v>0</v>
      </c>
      <c r="AQ680" s="36">
        <v>0</v>
      </c>
      <c r="AR680" s="36">
        <v>0</v>
      </c>
      <c r="AS680" s="36">
        <v>0</v>
      </c>
      <c r="AT680" s="36">
        <v>0</v>
      </c>
      <c r="AU680" s="36">
        <v>0</v>
      </c>
      <c r="AV680" s="36">
        <v>0</v>
      </c>
      <c r="AW680" s="36">
        <v>0</v>
      </c>
      <c r="AX680" s="36">
        <v>0</v>
      </c>
      <c r="AY680" s="36">
        <v>0</v>
      </c>
      <c r="AZ680" s="36">
        <v>0</v>
      </c>
      <c r="BA680" s="36">
        <v>0</v>
      </c>
      <c r="BB680" s="36">
        <v>0</v>
      </c>
      <c r="BC680" s="36">
        <v>0</v>
      </c>
      <c r="BD680" s="36">
        <v>0</v>
      </c>
      <c r="BE680" s="36">
        <v>0</v>
      </c>
      <c r="BF680" s="36">
        <v>0</v>
      </c>
      <c r="BG680" s="36">
        <v>0</v>
      </c>
      <c r="BH680" s="36">
        <v>0</v>
      </c>
      <c r="BI680" s="36">
        <v>0</v>
      </c>
      <c r="BJ680" s="36">
        <v>0</v>
      </c>
      <c r="BK680" s="36">
        <v>0</v>
      </c>
      <c r="BL680" s="36">
        <v>0</v>
      </c>
      <c r="BM680" s="36">
        <v>0</v>
      </c>
      <c r="BN680" s="36">
        <v>0</v>
      </c>
      <c r="BO680" s="36">
        <v>0</v>
      </c>
      <c r="BP680" s="36">
        <v>0</v>
      </c>
      <c r="BQ680" s="36">
        <v>0</v>
      </c>
      <c r="BR680" s="36">
        <v>0</v>
      </c>
      <c r="BS680" s="36">
        <v>0</v>
      </c>
      <c r="BT680" s="36">
        <v>0</v>
      </c>
      <c r="BU680" s="36">
        <v>0</v>
      </c>
      <c r="BV680" s="36">
        <v>0</v>
      </c>
      <c r="BW680" s="36">
        <v>0</v>
      </c>
      <c r="BX680" s="36">
        <v>0</v>
      </c>
      <c r="BY680" s="36">
        <v>0</v>
      </c>
      <c r="BZ680" s="36">
        <v>0</v>
      </c>
      <c r="CA680" s="36">
        <v>0</v>
      </c>
      <c r="CB680" s="36">
        <v>0</v>
      </c>
      <c r="CC680" s="36">
        <v>0</v>
      </c>
      <c r="CD680" s="36">
        <v>0</v>
      </c>
      <c r="CE680" s="36">
        <v>0</v>
      </c>
      <c r="CF680" s="36">
        <v>0</v>
      </c>
      <c r="CG680" s="36">
        <v>0</v>
      </c>
      <c r="CH680" s="36">
        <v>0</v>
      </c>
      <c r="CI680" s="36">
        <v>0</v>
      </c>
      <c r="CJ680" s="36">
        <v>0</v>
      </c>
      <c r="CK680" s="36">
        <v>0</v>
      </c>
      <c r="CL680" s="36">
        <v>0</v>
      </c>
      <c r="CM680" s="36">
        <v>0</v>
      </c>
      <c r="CN680" s="36">
        <v>0</v>
      </c>
      <c r="CO680" s="36">
        <v>0</v>
      </c>
      <c r="CP680" s="36">
        <v>0</v>
      </c>
      <c r="CQ680" s="36">
        <v>0</v>
      </c>
      <c r="CR680" s="36">
        <v>0</v>
      </c>
      <c r="CS680" s="36">
        <v>0</v>
      </c>
      <c r="CT680" s="36">
        <v>0</v>
      </c>
      <c r="CU680" s="36">
        <v>0</v>
      </c>
      <c r="CV680" s="36">
        <v>0</v>
      </c>
      <c r="CW680" s="36">
        <v>0</v>
      </c>
      <c r="CX680" s="36">
        <v>0</v>
      </c>
      <c r="CY680" s="36">
        <v>0</v>
      </c>
      <c r="CZ680" s="36">
        <v>0</v>
      </c>
      <c r="DA680" s="36">
        <v>0</v>
      </c>
      <c r="DB680" s="36">
        <v>0</v>
      </c>
      <c r="DC680" s="36">
        <v>0</v>
      </c>
      <c r="DD680" s="36">
        <v>0</v>
      </c>
      <c r="DE680" s="36">
        <v>0</v>
      </c>
      <c r="DF680" s="36">
        <v>0</v>
      </c>
      <c r="DG680" s="36">
        <v>0</v>
      </c>
      <c r="DH680" s="36">
        <v>0</v>
      </c>
      <c r="DI680" s="36">
        <v>0</v>
      </c>
      <c r="DJ680" s="36">
        <v>0</v>
      </c>
      <c r="DK680" s="36">
        <v>0</v>
      </c>
      <c r="DL680" s="36">
        <v>0</v>
      </c>
      <c r="DM680" s="36">
        <v>0</v>
      </c>
      <c r="DN680" s="36">
        <v>0</v>
      </c>
      <c r="DO680" s="36">
        <v>0</v>
      </c>
      <c r="DP680" s="36">
        <v>0</v>
      </c>
      <c r="DQ680" s="36">
        <v>0</v>
      </c>
      <c r="DR680" s="36">
        <v>0</v>
      </c>
      <c r="DS680" s="36">
        <v>0</v>
      </c>
      <c r="DT680" s="36">
        <v>0</v>
      </c>
      <c r="DU680" s="36">
        <v>0</v>
      </c>
      <c r="DV680" s="36">
        <v>0</v>
      </c>
      <c r="DW680" s="36">
        <v>0</v>
      </c>
      <c r="DX680" s="36">
        <v>0</v>
      </c>
      <c r="DY680" s="36">
        <v>0</v>
      </c>
      <c r="DZ680" s="36">
        <v>0</v>
      </c>
      <c r="EA680" s="36">
        <v>0</v>
      </c>
      <c r="EB680" s="36">
        <v>0</v>
      </c>
      <c r="EC680" s="36">
        <v>0</v>
      </c>
      <c r="ED680" s="36">
        <v>0</v>
      </c>
      <c r="EE680" s="36">
        <v>0</v>
      </c>
      <c r="EF680" s="36">
        <v>0</v>
      </c>
      <c r="EG680" s="36">
        <v>0</v>
      </c>
      <c r="EH680" s="36">
        <v>0</v>
      </c>
      <c r="EI680" s="36">
        <v>0</v>
      </c>
      <c r="EJ680" s="36">
        <v>0</v>
      </c>
      <c r="EK680" s="36">
        <v>0</v>
      </c>
      <c r="EL680" s="36">
        <v>0</v>
      </c>
      <c r="EM680" s="36">
        <v>0</v>
      </c>
      <c r="EN680" s="36">
        <v>0</v>
      </c>
      <c r="EO680" s="36">
        <v>0</v>
      </c>
      <c r="EP680" s="36">
        <v>0</v>
      </c>
      <c r="EQ680" s="36">
        <v>0</v>
      </c>
      <c r="ER680" s="36">
        <v>0</v>
      </c>
      <c r="ES680" s="36">
        <v>0</v>
      </c>
      <c r="ET680" s="36">
        <v>0</v>
      </c>
      <c r="EU680" s="36">
        <v>0</v>
      </c>
      <c r="EV680" s="36">
        <v>0</v>
      </c>
      <c r="EW680" s="36">
        <v>0</v>
      </c>
      <c r="EX680" s="36">
        <v>0</v>
      </c>
      <c r="EY680" s="36">
        <v>0</v>
      </c>
      <c r="EZ680" s="36">
        <v>0</v>
      </c>
      <c r="FA680" s="36">
        <v>0</v>
      </c>
      <c r="FB680" s="36">
        <v>0</v>
      </c>
      <c r="FC680" s="37">
        <v>0</v>
      </c>
    </row>
    <row r="681" spans="1:159" s="3" customFormat="1" ht="18" customHeight="1" x14ac:dyDescent="0.2">
      <c r="A681" s="140">
        <v>7</v>
      </c>
      <c r="B681" s="263">
        <v>0.30345500120392299</v>
      </c>
      <c r="C681" s="325"/>
      <c r="D681" s="38"/>
      <c r="E681" s="39">
        <v>1</v>
      </c>
      <c r="G681" s="39">
        <v>3</v>
      </c>
      <c r="H681" s="39">
        <v>2</v>
      </c>
      <c r="J681" s="39">
        <v>2</v>
      </c>
      <c r="K681" s="39">
        <v>3</v>
      </c>
      <c r="L681" s="39">
        <v>1</v>
      </c>
      <c r="N681" s="39">
        <v>7</v>
      </c>
      <c r="O681" s="35">
        <v>2</v>
      </c>
      <c r="P681" s="36">
        <v>3</v>
      </c>
      <c r="Q681" s="37">
        <v>1</v>
      </c>
      <c r="T681" s="39">
        <v>7</v>
      </c>
      <c r="U681" s="39">
        <v>4</v>
      </c>
      <c r="V681" s="39">
        <v>3</v>
      </c>
      <c r="W681" s="39">
        <v>1</v>
      </c>
      <c r="Z681" s="39">
        <v>7</v>
      </c>
      <c r="AA681" s="35">
        <v>0</v>
      </c>
      <c r="AB681" s="36">
        <v>0</v>
      </c>
      <c r="AC681" s="36">
        <v>0</v>
      </c>
      <c r="AD681" s="36">
        <v>0</v>
      </c>
      <c r="AE681" s="36">
        <v>0</v>
      </c>
      <c r="AF681" s="36">
        <v>0</v>
      </c>
      <c r="AG681" s="36">
        <v>0</v>
      </c>
      <c r="AH681" s="36">
        <v>0</v>
      </c>
      <c r="AI681" s="36">
        <v>0</v>
      </c>
      <c r="AJ681" s="36">
        <v>0</v>
      </c>
      <c r="AK681" s="36">
        <v>0</v>
      </c>
      <c r="AL681" s="36">
        <v>0</v>
      </c>
      <c r="AM681" s="36">
        <v>1</v>
      </c>
      <c r="AN681" s="36">
        <v>1</v>
      </c>
      <c r="AO681" s="36">
        <v>1</v>
      </c>
      <c r="AP681" s="36">
        <v>0</v>
      </c>
      <c r="AQ681" s="36">
        <v>0</v>
      </c>
      <c r="AR681" s="36">
        <v>0</v>
      </c>
      <c r="AS681" s="36">
        <v>0</v>
      </c>
      <c r="AT681" s="36">
        <v>0</v>
      </c>
      <c r="AU681" s="36">
        <v>0</v>
      </c>
      <c r="AV681" s="36">
        <v>0</v>
      </c>
      <c r="AW681" s="36">
        <v>0</v>
      </c>
      <c r="AX681" s="36">
        <v>0</v>
      </c>
      <c r="AY681" s="36">
        <v>0</v>
      </c>
      <c r="AZ681" s="36">
        <v>0</v>
      </c>
      <c r="BA681" s="36">
        <v>0</v>
      </c>
      <c r="BB681" s="36">
        <v>0</v>
      </c>
      <c r="BC681" s="36">
        <v>0</v>
      </c>
      <c r="BD681" s="36">
        <v>0</v>
      </c>
      <c r="BE681" s="36">
        <v>0</v>
      </c>
      <c r="BF681" s="36">
        <v>0</v>
      </c>
      <c r="BG681" s="36">
        <v>0</v>
      </c>
      <c r="BH681" s="36">
        <v>0</v>
      </c>
      <c r="BI681" s="36">
        <v>0</v>
      </c>
      <c r="BJ681" s="36">
        <v>0</v>
      </c>
      <c r="BK681" s="36">
        <v>0</v>
      </c>
      <c r="BL681" s="36">
        <v>0</v>
      </c>
      <c r="BM681" s="36">
        <v>0</v>
      </c>
      <c r="BN681" s="36">
        <v>0</v>
      </c>
      <c r="BO681" s="36">
        <v>0</v>
      </c>
      <c r="BP681" s="36">
        <v>0</v>
      </c>
      <c r="BQ681" s="36">
        <v>0</v>
      </c>
      <c r="BR681" s="36">
        <v>0</v>
      </c>
      <c r="BS681" s="36">
        <v>0</v>
      </c>
      <c r="BT681" s="36">
        <v>0</v>
      </c>
      <c r="BU681" s="36">
        <v>0</v>
      </c>
      <c r="BV681" s="36">
        <v>0</v>
      </c>
      <c r="BW681" s="36">
        <v>0</v>
      </c>
      <c r="BX681" s="36">
        <v>0</v>
      </c>
      <c r="BY681" s="36">
        <v>0</v>
      </c>
      <c r="BZ681" s="36">
        <v>0</v>
      </c>
      <c r="CA681" s="36">
        <v>0</v>
      </c>
      <c r="CB681" s="36">
        <v>0</v>
      </c>
      <c r="CC681" s="36">
        <v>0</v>
      </c>
      <c r="CD681" s="36">
        <v>0</v>
      </c>
      <c r="CE681" s="36">
        <v>0</v>
      </c>
      <c r="CF681" s="36">
        <v>0</v>
      </c>
      <c r="CG681" s="36">
        <v>0</v>
      </c>
      <c r="CH681" s="36">
        <v>0</v>
      </c>
      <c r="CI681" s="36">
        <v>0</v>
      </c>
      <c r="CJ681" s="36">
        <v>0</v>
      </c>
      <c r="CK681" s="36">
        <v>0</v>
      </c>
      <c r="CL681" s="36">
        <v>0</v>
      </c>
      <c r="CM681" s="36">
        <v>0</v>
      </c>
      <c r="CN681" s="36">
        <v>0</v>
      </c>
      <c r="CO681" s="36">
        <v>0</v>
      </c>
      <c r="CP681" s="36">
        <v>0</v>
      </c>
      <c r="CQ681" s="36">
        <v>0</v>
      </c>
      <c r="CR681" s="36">
        <v>0</v>
      </c>
      <c r="CS681" s="36">
        <v>0</v>
      </c>
      <c r="CT681" s="36">
        <v>0</v>
      </c>
      <c r="CU681" s="36">
        <v>0</v>
      </c>
      <c r="CV681" s="36">
        <v>0</v>
      </c>
      <c r="CW681" s="36">
        <v>0</v>
      </c>
      <c r="CX681" s="36">
        <v>0</v>
      </c>
      <c r="CY681" s="36">
        <v>0</v>
      </c>
      <c r="CZ681" s="36">
        <v>0</v>
      </c>
      <c r="DA681" s="36">
        <v>0</v>
      </c>
      <c r="DB681" s="36">
        <v>0</v>
      </c>
      <c r="DC681" s="36">
        <v>0</v>
      </c>
      <c r="DD681" s="36">
        <v>0</v>
      </c>
      <c r="DE681" s="36">
        <v>0</v>
      </c>
      <c r="DF681" s="36">
        <v>0</v>
      </c>
      <c r="DG681" s="36">
        <v>0</v>
      </c>
      <c r="DH681" s="36">
        <v>0</v>
      </c>
      <c r="DI681" s="36">
        <v>0</v>
      </c>
      <c r="DJ681" s="36">
        <v>0</v>
      </c>
      <c r="DK681" s="36">
        <v>0</v>
      </c>
      <c r="DL681" s="36">
        <v>0</v>
      </c>
      <c r="DM681" s="36">
        <v>0</v>
      </c>
      <c r="DN681" s="36">
        <v>0</v>
      </c>
      <c r="DO681" s="36">
        <v>0</v>
      </c>
      <c r="DP681" s="36">
        <v>0</v>
      </c>
      <c r="DQ681" s="36">
        <v>0</v>
      </c>
      <c r="DR681" s="36">
        <v>0</v>
      </c>
      <c r="DS681" s="36">
        <v>0</v>
      </c>
      <c r="DT681" s="36">
        <v>0</v>
      </c>
      <c r="DU681" s="36">
        <v>0</v>
      </c>
      <c r="DV681" s="36">
        <v>0</v>
      </c>
      <c r="DW681" s="36">
        <v>0</v>
      </c>
      <c r="DX681" s="36">
        <v>0</v>
      </c>
      <c r="DY681" s="36">
        <v>0</v>
      </c>
      <c r="DZ681" s="36">
        <v>0</v>
      </c>
      <c r="EA681" s="36">
        <v>0</v>
      </c>
      <c r="EB681" s="36">
        <v>0</v>
      </c>
      <c r="EC681" s="36">
        <v>0</v>
      </c>
      <c r="ED681" s="36">
        <v>0</v>
      </c>
      <c r="EE681" s="36">
        <v>0</v>
      </c>
      <c r="EF681" s="36">
        <v>0</v>
      </c>
      <c r="EG681" s="36">
        <v>0</v>
      </c>
      <c r="EH681" s="36">
        <v>0</v>
      </c>
      <c r="EI681" s="36">
        <v>0</v>
      </c>
      <c r="EJ681" s="36">
        <v>0</v>
      </c>
      <c r="EK681" s="36">
        <v>0</v>
      </c>
      <c r="EL681" s="36">
        <v>0</v>
      </c>
      <c r="EM681" s="36">
        <v>0</v>
      </c>
      <c r="EN681" s="36">
        <v>0</v>
      </c>
      <c r="EO681" s="36">
        <v>0</v>
      </c>
      <c r="EP681" s="36">
        <v>0</v>
      </c>
      <c r="EQ681" s="36">
        <v>0</v>
      </c>
      <c r="ER681" s="36">
        <v>0</v>
      </c>
      <c r="ES681" s="36">
        <v>0</v>
      </c>
      <c r="ET681" s="36">
        <v>0</v>
      </c>
      <c r="EU681" s="36">
        <v>0</v>
      </c>
      <c r="EV681" s="36">
        <v>0</v>
      </c>
      <c r="EW681" s="36">
        <v>0</v>
      </c>
      <c r="EX681" s="36">
        <v>0</v>
      </c>
      <c r="EY681" s="36">
        <v>0</v>
      </c>
      <c r="EZ681" s="36">
        <v>0</v>
      </c>
      <c r="FA681" s="36">
        <v>0</v>
      </c>
      <c r="FB681" s="36">
        <v>0</v>
      </c>
      <c r="FC681" s="37">
        <v>0</v>
      </c>
    </row>
    <row r="682" spans="1:159" s="3" customFormat="1" ht="18" customHeight="1" x14ac:dyDescent="0.2">
      <c r="A682" s="140">
        <v>8</v>
      </c>
      <c r="B682" s="263">
        <v>0.30362056590227998</v>
      </c>
      <c r="C682" s="325"/>
      <c r="D682" s="38"/>
      <c r="E682" s="39">
        <v>1</v>
      </c>
      <c r="G682" s="39">
        <v>4</v>
      </c>
      <c r="H682" s="39">
        <v>2</v>
      </c>
      <c r="J682" s="39">
        <v>2</v>
      </c>
      <c r="K682" s="39">
        <v>4</v>
      </c>
      <c r="L682" s="39">
        <v>1</v>
      </c>
      <c r="N682" s="39">
        <v>8</v>
      </c>
      <c r="O682" s="35">
        <v>2</v>
      </c>
      <c r="P682" s="36">
        <v>4</v>
      </c>
      <c r="Q682" s="37">
        <v>1</v>
      </c>
      <c r="T682" s="39">
        <v>8</v>
      </c>
      <c r="U682" s="39">
        <v>4</v>
      </c>
      <c r="V682" s="39">
        <v>4</v>
      </c>
      <c r="W682" s="39">
        <v>1</v>
      </c>
      <c r="Z682" s="39">
        <v>8</v>
      </c>
      <c r="AA682" s="35">
        <v>0</v>
      </c>
      <c r="AB682" s="36">
        <v>0</v>
      </c>
      <c r="AC682" s="36">
        <v>0</v>
      </c>
      <c r="AD682" s="36">
        <v>0</v>
      </c>
      <c r="AE682" s="36">
        <v>0</v>
      </c>
      <c r="AF682" s="36">
        <v>0</v>
      </c>
      <c r="AG682" s="36">
        <v>0</v>
      </c>
      <c r="AH682" s="36">
        <v>0</v>
      </c>
      <c r="AI682" s="36">
        <v>0</v>
      </c>
      <c r="AJ682" s="36">
        <v>0</v>
      </c>
      <c r="AK682" s="36">
        <v>0</v>
      </c>
      <c r="AL682" s="36">
        <v>0</v>
      </c>
      <c r="AM682" s="36">
        <v>0</v>
      </c>
      <c r="AN682" s="36">
        <v>0</v>
      </c>
      <c r="AO682" s="36">
        <v>0</v>
      </c>
      <c r="AP682" s="36">
        <v>1</v>
      </c>
      <c r="AQ682" s="36">
        <v>1</v>
      </c>
      <c r="AR682" s="36">
        <v>1</v>
      </c>
      <c r="AS682" s="36">
        <v>0</v>
      </c>
      <c r="AT682" s="36">
        <v>0</v>
      </c>
      <c r="AU682" s="36">
        <v>0</v>
      </c>
      <c r="AV682" s="36">
        <v>0</v>
      </c>
      <c r="AW682" s="36">
        <v>0</v>
      </c>
      <c r="AX682" s="36">
        <v>0</v>
      </c>
      <c r="AY682" s="36">
        <v>0</v>
      </c>
      <c r="AZ682" s="36">
        <v>0</v>
      </c>
      <c r="BA682" s="36">
        <v>0</v>
      </c>
      <c r="BB682" s="36">
        <v>0</v>
      </c>
      <c r="BC682" s="36">
        <v>0</v>
      </c>
      <c r="BD682" s="36">
        <v>0</v>
      </c>
      <c r="BE682" s="36">
        <v>0</v>
      </c>
      <c r="BF682" s="36">
        <v>0</v>
      </c>
      <c r="BG682" s="36">
        <v>0</v>
      </c>
      <c r="BH682" s="36">
        <v>0</v>
      </c>
      <c r="BI682" s="36">
        <v>0</v>
      </c>
      <c r="BJ682" s="36">
        <v>0</v>
      </c>
      <c r="BK682" s="36">
        <v>0</v>
      </c>
      <c r="BL682" s="36">
        <v>0</v>
      </c>
      <c r="BM682" s="36">
        <v>0</v>
      </c>
      <c r="BN682" s="36">
        <v>0</v>
      </c>
      <c r="BO682" s="36">
        <v>0</v>
      </c>
      <c r="BP682" s="36">
        <v>0</v>
      </c>
      <c r="BQ682" s="36">
        <v>0</v>
      </c>
      <c r="BR682" s="36">
        <v>0</v>
      </c>
      <c r="BS682" s="36">
        <v>0</v>
      </c>
      <c r="BT682" s="36">
        <v>0</v>
      </c>
      <c r="BU682" s="36">
        <v>0</v>
      </c>
      <c r="BV682" s="36">
        <v>0</v>
      </c>
      <c r="BW682" s="36">
        <v>0</v>
      </c>
      <c r="BX682" s="36">
        <v>0</v>
      </c>
      <c r="BY682" s="36">
        <v>0</v>
      </c>
      <c r="BZ682" s="36">
        <v>0</v>
      </c>
      <c r="CA682" s="36">
        <v>0</v>
      </c>
      <c r="CB682" s="36">
        <v>0</v>
      </c>
      <c r="CC682" s="36">
        <v>0</v>
      </c>
      <c r="CD682" s="36">
        <v>0</v>
      </c>
      <c r="CE682" s="36">
        <v>0</v>
      </c>
      <c r="CF682" s="36">
        <v>0</v>
      </c>
      <c r="CG682" s="36">
        <v>0</v>
      </c>
      <c r="CH682" s="36">
        <v>0</v>
      </c>
      <c r="CI682" s="36">
        <v>0</v>
      </c>
      <c r="CJ682" s="36">
        <v>0</v>
      </c>
      <c r="CK682" s="36">
        <v>0</v>
      </c>
      <c r="CL682" s="36">
        <v>0</v>
      </c>
      <c r="CM682" s="36">
        <v>0</v>
      </c>
      <c r="CN682" s="36">
        <v>0</v>
      </c>
      <c r="CO682" s="36">
        <v>0</v>
      </c>
      <c r="CP682" s="36">
        <v>0</v>
      </c>
      <c r="CQ682" s="36">
        <v>0</v>
      </c>
      <c r="CR682" s="36">
        <v>0</v>
      </c>
      <c r="CS682" s="36">
        <v>0</v>
      </c>
      <c r="CT682" s="36">
        <v>0</v>
      </c>
      <c r="CU682" s="36">
        <v>0</v>
      </c>
      <c r="CV682" s="36">
        <v>0</v>
      </c>
      <c r="CW682" s="36">
        <v>0</v>
      </c>
      <c r="CX682" s="36">
        <v>0</v>
      </c>
      <c r="CY682" s="36">
        <v>0</v>
      </c>
      <c r="CZ682" s="36">
        <v>0</v>
      </c>
      <c r="DA682" s="36">
        <v>0</v>
      </c>
      <c r="DB682" s="36">
        <v>0</v>
      </c>
      <c r="DC682" s="36">
        <v>0</v>
      </c>
      <c r="DD682" s="36">
        <v>0</v>
      </c>
      <c r="DE682" s="36">
        <v>0</v>
      </c>
      <c r="DF682" s="36">
        <v>0</v>
      </c>
      <c r="DG682" s="36">
        <v>0</v>
      </c>
      <c r="DH682" s="36">
        <v>0</v>
      </c>
      <c r="DI682" s="36">
        <v>0</v>
      </c>
      <c r="DJ682" s="36">
        <v>0</v>
      </c>
      <c r="DK682" s="36">
        <v>0</v>
      </c>
      <c r="DL682" s="36">
        <v>0</v>
      </c>
      <c r="DM682" s="36">
        <v>0</v>
      </c>
      <c r="DN682" s="36">
        <v>0</v>
      </c>
      <c r="DO682" s="36">
        <v>0</v>
      </c>
      <c r="DP682" s="36">
        <v>0</v>
      </c>
      <c r="DQ682" s="36">
        <v>0</v>
      </c>
      <c r="DR682" s="36">
        <v>0</v>
      </c>
      <c r="DS682" s="36">
        <v>0</v>
      </c>
      <c r="DT682" s="36">
        <v>0</v>
      </c>
      <c r="DU682" s="36">
        <v>0</v>
      </c>
      <c r="DV682" s="36">
        <v>0</v>
      </c>
      <c r="DW682" s="36">
        <v>0</v>
      </c>
      <c r="DX682" s="36">
        <v>0</v>
      </c>
      <c r="DY682" s="36">
        <v>0</v>
      </c>
      <c r="DZ682" s="36">
        <v>0</v>
      </c>
      <c r="EA682" s="36">
        <v>0</v>
      </c>
      <c r="EB682" s="36">
        <v>0</v>
      </c>
      <c r="EC682" s="36">
        <v>0</v>
      </c>
      <c r="ED682" s="36">
        <v>0</v>
      </c>
      <c r="EE682" s="36">
        <v>0</v>
      </c>
      <c r="EF682" s="36">
        <v>0</v>
      </c>
      <c r="EG682" s="36">
        <v>0</v>
      </c>
      <c r="EH682" s="36">
        <v>0</v>
      </c>
      <c r="EI682" s="36">
        <v>0</v>
      </c>
      <c r="EJ682" s="36">
        <v>0</v>
      </c>
      <c r="EK682" s="36">
        <v>0</v>
      </c>
      <c r="EL682" s="36">
        <v>0</v>
      </c>
      <c r="EM682" s="36">
        <v>0</v>
      </c>
      <c r="EN682" s="36">
        <v>0</v>
      </c>
      <c r="EO682" s="36">
        <v>0</v>
      </c>
      <c r="EP682" s="36">
        <v>0</v>
      </c>
      <c r="EQ682" s="36">
        <v>0</v>
      </c>
      <c r="ER682" s="36">
        <v>0</v>
      </c>
      <c r="ES682" s="36">
        <v>0</v>
      </c>
      <c r="ET682" s="36">
        <v>0</v>
      </c>
      <c r="EU682" s="36">
        <v>0</v>
      </c>
      <c r="EV682" s="36">
        <v>0</v>
      </c>
      <c r="EW682" s="36">
        <v>0</v>
      </c>
      <c r="EX682" s="36">
        <v>0</v>
      </c>
      <c r="EY682" s="36">
        <v>0</v>
      </c>
      <c r="EZ682" s="36">
        <v>0</v>
      </c>
      <c r="FA682" s="36">
        <v>0</v>
      </c>
      <c r="FB682" s="36">
        <v>0</v>
      </c>
      <c r="FC682" s="37">
        <v>0</v>
      </c>
    </row>
    <row r="683" spans="1:159" s="3" customFormat="1" ht="18" customHeight="1" x14ac:dyDescent="0.2">
      <c r="A683" s="140">
        <v>9</v>
      </c>
      <c r="B683" s="263">
        <v>0.30258699706326497</v>
      </c>
      <c r="C683" s="325"/>
      <c r="D683" s="38"/>
      <c r="E683" s="39">
        <v>0</v>
      </c>
      <c r="G683" s="39">
        <v>1</v>
      </c>
      <c r="H683" s="39">
        <v>3</v>
      </c>
      <c r="J683" s="39">
        <v>3</v>
      </c>
      <c r="K683" s="39">
        <v>1</v>
      </c>
      <c r="L683" s="39">
        <v>0</v>
      </c>
      <c r="N683" s="39">
        <v>9</v>
      </c>
      <c r="O683" s="35">
        <v>3</v>
      </c>
      <c r="P683" s="36">
        <v>1</v>
      </c>
      <c r="Q683" s="37">
        <v>0</v>
      </c>
      <c r="T683" s="39">
        <v>9</v>
      </c>
      <c r="U683" s="39">
        <v>5</v>
      </c>
      <c r="V683" s="39">
        <v>3</v>
      </c>
      <c r="W683" s="39">
        <v>1</v>
      </c>
      <c r="Z683" s="39">
        <v>9</v>
      </c>
      <c r="AA683" s="35">
        <v>0</v>
      </c>
      <c r="AB683" s="36">
        <v>0</v>
      </c>
      <c r="AC683" s="36">
        <v>0</v>
      </c>
      <c r="AD683" s="36">
        <v>0</v>
      </c>
      <c r="AE683" s="36">
        <v>0</v>
      </c>
      <c r="AF683" s="36">
        <v>0</v>
      </c>
      <c r="AG683" s="36">
        <v>0</v>
      </c>
      <c r="AH683" s="36">
        <v>0</v>
      </c>
      <c r="AI683" s="36">
        <v>0</v>
      </c>
      <c r="AJ683" s="36">
        <v>0</v>
      </c>
      <c r="AK683" s="36">
        <v>0</v>
      </c>
      <c r="AL683" s="36">
        <v>0</v>
      </c>
      <c r="AM683" s="36">
        <v>0</v>
      </c>
      <c r="AN683" s="36">
        <v>0</v>
      </c>
      <c r="AO683" s="36">
        <v>0</v>
      </c>
      <c r="AP683" s="36">
        <v>0</v>
      </c>
      <c r="AQ683" s="36">
        <v>0</v>
      </c>
      <c r="AR683" s="36">
        <v>0</v>
      </c>
      <c r="AS683" s="36">
        <v>1</v>
      </c>
      <c r="AT683" s="36">
        <v>1</v>
      </c>
      <c r="AU683" s="36">
        <v>1</v>
      </c>
      <c r="AV683" s="36">
        <v>0</v>
      </c>
      <c r="AW683" s="36">
        <v>0</v>
      </c>
      <c r="AX683" s="36">
        <v>0</v>
      </c>
      <c r="AY683" s="36">
        <v>0</v>
      </c>
      <c r="AZ683" s="36">
        <v>0</v>
      </c>
      <c r="BA683" s="36">
        <v>0</v>
      </c>
      <c r="BB683" s="36">
        <v>0</v>
      </c>
      <c r="BC683" s="36">
        <v>0</v>
      </c>
      <c r="BD683" s="36">
        <v>0</v>
      </c>
      <c r="BE683" s="36">
        <v>0</v>
      </c>
      <c r="BF683" s="36">
        <v>0</v>
      </c>
      <c r="BG683" s="36">
        <v>0</v>
      </c>
      <c r="BH683" s="36">
        <v>0</v>
      </c>
      <c r="BI683" s="36">
        <v>0</v>
      </c>
      <c r="BJ683" s="36">
        <v>0</v>
      </c>
      <c r="BK683" s="36">
        <v>0</v>
      </c>
      <c r="BL683" s="36">
        <v>0</v>
      </c>
      <c r="BM683" s="36">
        <v>0</v>
      </c>
      <c r="BN683" s="36">
        <v>0</v>
      </c>
      <c r="BO683" s="36">
        <v>0</v>
      </c>
      <c r="BP683" s="36">
        <v>0</v>
      </c>
      <c r="BQ683" s="36">
        <v>0</v>
      </c>
      <c r="BR683" s="36">
        <v>0</v>
      </c>
      <c r="BS683" s="36">
        <v>0</v>
      </c>
      <c r="BT683" s="36">
        <v>0</v>
      </c>
      <c r="BU683" s="36">
        <v>0</v>
      </c>
      <c r="BV683" s="36">
        <v>0</v>
      </c>
      <c r="BW683" s="36">
        <v>0</v>
      </c>
      <c r="BX683" s="36">
        <v>0</v>
      </c>
      <c r="BY683" s="36">
        <v>0</v>
      </c>
      <c r="BZ683" s="36">
        <v>0</v>
      </c>
      <c r="CA683" s="36">
        <v>0</v>
      </c>
      <c r="CB683" s="36">
        <v>0</v>
      </c>
      <c r="CC683" s="36">
        <v>0</v>
      </c>
      <c r="CD683" s="36">
        <v>0</v>
      </c>
      <c r="CE683" s="36">
        <v>0</v>
      </c>
      <c r="CF683" s="36">
        <v>0</v>
      </c>
      <c r="CG683" s="36">
        <v>0</v>
      </c>
      <c r="CH683" s="36">
        <v>0</v>
      </c>
      <c r="CI683" s="36">
        <v>0</v>
      </c>
      <c r="CJ683" s="36">
        <v>0</v>
      </c>
      <c r="CK683" s="36">
        <v>0</v>
      </c>
      <c r="CL683" s="36">
        <v>0</v>
      </c>
      <c r="CM683" s="36">
        <v>0</v>
      </c>
      <c r="CN683" s="36">
        <v>0</v>
      </c>
      <c r="CO683" s="36">
        <v>0</v>
      </c>
      <c r="CP683" s="36">
        <v>0</v>
      </c>
      <c r="CQ683" s="36">
        <v>0</v>
      </c>
      <c r="CR683" s="36">
        <v>0</v>
      </c>
      <c r="CS683" s="36">
        <v>0</v>
      </c>
      <c r="CT683" s="36">
        <v>0</v>
      </c>
      <c r="CU683" s="36">
        <v>0</v>
      </c>
      <c r="CV683" s="36">
        <v>0</v>
      </c>
      <c r="CW683" s="36">
        <v>0</v>
      </c>
      <c r="CX683" s="36">
        <v>0</v>
      </c>
      <c r="CY683" s="36">
        <v>0</v>
      </c>
      <c r="CZ683" s="36">
        <v>0</v>
      </c>
      <c r="DA683" s="36">
        <v>0</v>
      </c>
      <c r="DB683" s="36">
        <v>0</v>
      </c>
      <c r="DC683" s="36">
        <v>0</v>
      </c>
      <c r="DD683" s="36">
        <v>0</v>
      </c>
      <c r="DE683" s="36">
        <v>0</v>
      </c>
      <c r="DF683" s="36">
        <v>0</v>
      </c>
      <c r="DG683" s="36">
        <v>0</v>
      </c>
      <c r="DH683" s="36">
        <v>0</v>
      </c>
      <c r="DI683" s="36">
        <v>0</v>
      </c>
      <c r="DJ683" s="36">
        <v>0</v>
      </c>
      <c r="DK683" s="36">
        <v>0</v>
      </c>
      <c r="DL683" s="36">
        <v>0</v>
      </c>
      <c r="DM683" s="36">
        <v>0</v>
      </c>
      <c r="DN683" s="36">
        <v>0</v>
      </c>
      <c r="DO683" s="36">
        <v>0</v>
      </c>
      <c r="DP683" s="36">
        <v>0</v>
      </c>
      <c r="DQ683" s="36">
        <v>0</v>
      </c>
      <c r="DR683" s="36">
        <v>0</v>
      </c>
      <c r="DS683" s="36">
        <v>0</v>
      </c>
      <c r="DT683" s="36">
        <v>0</v>
      </c>
      <c r="DU683" s="36">
        <v>0</v>
      </c>
      <c r="DV683" s="36">
        <v>0</v>
      </c>
      <c r="DW683" s="36">
        <v>0</v>
      </c>
      <c r="DX683" s="36">
        <v>0</v>
      </c>
      <c r="DY683" s="36">
        <v>0</v>
      </c>
      <c r="DZ683" s="36">
        <v>0</v>
      </c>
      <c r="EA683" s="36">
        <v>0</v>
      </c>
      <c r="EB683" s="36">
        <v>0</v>
      </c>
      <c r="EC683" s="36">
        <v>0</v>
      </c>
      <c r="ED683" s="36">
        <v>0</v>
      </c>
      <c r="EE683" s="36">
        <v>0</v>
      </c>
      <c r="EF683" s="36">
        <v>0</v>
      </c>
      <c r="EG683" s="36">
        <v>0</v>
      </c>
      <c r="EH683" s="36">
        <v>0</v>
      </c>
      <c r="EI683" s="36">
        <v>0</v>
      </c>
      <c r="EJ683" s="36">
        <v>0</v>
      </c>
      <c r="EK683" s="36">
        <v>0</v>
      </c>
      <c r="EL683" s="36">
        <v>0</v>
      </c>
      <c r="EM683" s="36">
        <v>0</v>
      </c>
      <c r="EN683" s="36">
        <v>0</v>
      </c>
      <c r="EO683" s="36">
        <v>0</v>
      </c>
      <c r="EP683" s="36">
        <v>0</v>
      </c>
      <c r="EQ683" s="36">
        <v>0</v>
      </c>
      <c r="ER683" s="36">
        <v>0</v>
      </c>
      <c r="ES683" s="36">
        <v>0</v>
      </c>
      <c r="ET683" s="36">
        <v>0</v>
      </c>
      <c r="EU683" s="36">
        <v>0</v>
      </c>
      <c r="EV683" s="36">
        <v>0</v>
      </c>
      <c r="EW683" s="36">
        <v>0</v>
      </c>
      <c r="EX683" s="36">
        <v>0</v>
      </c>
      <c r="EY683" s="36">
        <v>0</v>
      </c>
      <c r="EZ683" s="36">
        <v>0</v>
      </c>
      <c r="FA683" s="36">
        <v>0</v>
      </c>
      <c r="FB683" s="36">
        <v>0</v>
      </c>
      <c r="FC683" s="37">
        <v>0</v>
      </c>
    </row>
    <row r="684" spans="1:159" s="3" customFormat="1" ht="18" customHeight="1" x14ac:dyDescent="0.2">
      <c r="A684" s="140">
        <v>10</v>
      </c>
      <c r="B684" s="263">
        <v>0.52102219263604499</v>
      </c>
      <c r="C684" s="325"/>
      <c r="D684" s="38"/>
      <c r="E684" s="39">
        <v>0</v>
      </c>
      <c r="G684" s="39">
        <v>2</v>
      </c>
      <c r="H684" s="39">
        <v>3</v>
      </c>
      <c r="J684" s="39">
        <v>3</v>
      </c>
      <c r="K684" s="39">
        <v>2</v>
      </c>
      <c r="L684" s="39">
        <v>0</v>
      </c>
      <c r="N684" s="39">
        <v>10</v>
      </c>
      <c r="O684" s="35">
        <v>3</v>
      </c>
      <c r="P684" s="36">
        <v>2</v>
      </c>
      <c r="Q684" s="37">
        <v>0</v>
      </c>
      <c r="T684" s="39">
        <v>10</v>
      </c>
      <c r="U684" s="39">
        <v>5</v>
      </c>
      <c r="V684" s="39">
        <v>4</v>
      </c>
      <c r="W684" s="39">
        <v>1</v>
      </c>
      <c r="Z684" s="39">
        <v>10</v>
      </c>
      <c r="AA684" s="35">
        <v>0</v>
      </c>
      <c r="AB684" s="36">
        <v>0</v>
      </c>
      <c r="AC684" s="36">
        <v>0</v>
      </c>
      <c r="AD684" s="36">
        <v>0</v>
      </c>
      <c r="AE684" s="36">
        <v>0</v>
      </c>
      <c r="AF684" s="36">
        <v>0</v>
      </c>
      <c r="AG684" s="36">
        <v>0</v>
      </c>
      <c r="AH684" s="36">
        <v>0</v>
      </c>
      <c r="AI684" s="36">
        <v>0</v>
      </c>
      <c r="AJ684" s="36">
        <v>0</v>
      </c>
      <c r="AK684" s="36">
        <v>0</v>
      </c>
      <c r="AL684" s="36">
        <v>0</v>
      </c>
      <c r="AM684" s="36">
        <v>0</v>
      </c>
      <c r="AN684" s="36">
        <v>0</v>
      </c>
      <c r="AO684" s="36">
        <v>0</v>
      </c>
      <c r="AP684" s="36">
        <v>0</v>
      </c>
      <c r="AQ684" s="36">
        <v>0</v>
      </c>
      <c r="AR684" s="36">
        <v>0</v>
      </c>
      <c r="AS684" s="36">
        <v>0</v>
      </c>
      <c r="AT684" s="36">
        <v>0</v>
      </c>
      <c r="AU684" s="36">
        <v>0</v>
      </c>
      <c r="AV684" s="36">
        <v>1</v>
      </c>
      <c r="AW684" s="36">
        <v>1</v>
      </c>
      <c r="AX684" s="36">
        <v>1</v>
      </c>
      <c r="AY684" s="36">
        <v>0</v>
      </c>
      <c r="AZ684" s="36">
        <v>0</v>
      </c>
      <c r="BA684" s="36">
        <v>0</v>
      </c>
      <c r="BB684" s="36">
        <v>0</v>
      </c>
      <c r="BC684" s="36">
        <v>0</v>
      </c>
      <c r="BD684" s="36">
        <v>0</v>
      </c>
      <c r="BE684" s="36">
        <v>0</v>
      </c>
      <c r="BF684" s="36">
        <v>0</v>
      </c>
      <c r="BG684" s="36">
        <v>0</v>
      </c>
      <c r="BH684" s="36">
        <v>0</v>
      </c>
      <c r="BI684" s="36">
        <v>0</v>
      </c>
      <c r="BJ684" s="36">
        <v>0</v>
      </c>
      <c r="BK684" s="36">
        <v>0</v>
      </c>
      <c r="BL684" s="36">
        <v>0</v>
      </c>
      <c r="BM684" s="36">
        <v>0</v>
      </c>
      <c r="BN684" s="36">
        <v>0</v>
      </c>
      <c r="BO684" s="36">
        <v>0</v>
      </c>
      <c r="BP684" s="36">
        <v>0</v>
      </c>
      <c r="BQ684" s="36">
        <v>0</v>
      </c>
      <c r="BR684" s="36">
        <v>0</v>
      </c>
      <c r="BS684" s="36">
        <v>0</v>
      </c>
      <c r="BT684" s="36">
        <v>0</v>
      </c>
      <c r="BU684" s="36">
        <v>0</v>
      </c>
      <c r="BV684" s="36">
        <v>0</v>
      </c>
      <c r="BW684" s="36">
        <v>0</v>
      </c>
      <c r="BX684" s="36">
        <v>0</v>
      </c>
      <c r="BY684" s="36">
        <v>0</v>
      </c>
      <c r="BZ684" s="36">
        <v>0</v>
      </c>
      <c r="CA684" s="36">
        <v>0</v>
      </c>
      <c r="CB684" s="36">
        <v>0</v>
      </c>
      <c r="CC684" s="36">
        <v>0</v>
      </c>
      <c r="CD684" s="36">
        <v>0</v>
      </c>
      <c r="CE684" s="36">
        <v>0</v>
      </c>
      <c r="CF684" s="36">
        <v>0</v>
      </c>
      <c r="CG684" s="36">
        <v>0</v>
      </c>
      <c r="CH684" s="36">
        <v>0</v>
      </c>
      <c r="CI684" s="36">
        <v>0</v>
      </c>
      <c r="CJ684" s="36">
        <v>0</v>
      </c>
      <c r="CK684" s="36">
        <v>0</v>
      </c>
      <c r="CL684" s="36">
        <v>0</v>
      </c>
      <c r="CM684" s="36">
        <v>0</v>
      </c>
      <c r="CN684" s="36">
        <v>0</v>
      </c>
      <c r="CO684" s="36">
        <v>0</v>
      </c>
      <c r="CP684" s="36">
        <v>0</v>
      </c>
      <c r="CQ684" s="36">
        <v>0</v>
      </c>
      <c r="CR684" s="36">
        <v>0</v>
      </c>
      <c r="CS684" s="36">
        <v>0</v>
      </c>
      <c r="CT684" s="36">
        <v>0</v>
      </c>
      <c r="CU684" s="36">
        <v>0</v>
      </c>
      <c r="CV684" s="36">
        <v>0</v>
      </c>
      <c r="CW684" s="36">
        <v>0</v>
      </c>
      <c r="CX684" s="36">
        <v>0</v>
      </c>
      <c r="CY684" s="36">
        <v>0</v>
      </c>
      <c r="CZ684" s="36">
        <v>0</v>
      </c>
      <c r="DA684" s="36">
        <v>0</v>
      </c>
      <c r="DB684" s="36">
        <v>0</v>
      </c>
      <c r="DC684" s="36">
        <v>0</v>
      </c>
      <c r="DD684" s="36">
        <v>0</v>
      </c>
      <c r="DE684" s="36">
        <v>0</v>
      </c>
      <c r="DF684" s="36">
        <v>0</v>
      </c>
      <c r="DG684" s="36">
        <v>0</v>
      </c>
      <c r="DH684" s="36">
        <v>0</v>
      </c>
      <c r="DI684" s="36">
        <v>0</v>
      </c>
      <c r="DJ684" s="36">
        <v>0</v>
      </c>
      <c r="DK684" s="36">
        <v>0</v>
      </c>
      <c r="DL684" s="36">
        <v>0</v>
      </c>
      <c r="DM684" s="36">
        <v>0</v>
      </c>
      <c r="DN684" s="36">
        <v>0</v>
      </c>
      <c r="DO684" s="36">
        <v>0</v>
      </c>
      <c r="DP684" s="36">
        <v>0</v>
      </c>
      <c r="DQ684" s="36">
        <v>0</v>
      </c>
      <c r="DR684" s="36">
        <v>0</v>
      </c>
      <c r="DS684" s="36">
        <v>0</v>
      </c>
      <c r="DT684" s="36">
        <v>0</v>
      </c>
      <c r="DU684" s="36">
        <v>0</v>
      </c>
      <c r="DV684" s="36">
        <v>0</v>
      </c>
      <c r="DW684" s="36">
        <v>0</v>
      </c>
      <c r="DX684" s="36">
        <v>0</v>
      </c>
      <c r="DY684" s="36">
        <v>0</v>
      </c>
      <c r="DZ684" s="36">
        <v>0</v>
      </c>
      <c r="EA684" s="36">
        <v>0</v>
      </c>
      <c r="EB684" s="36">
        <v>0</v>
      </c>
      <c r="EC684" s="36">
        <v>0</v>
      </c>
      <c r="ED684" s="36">
        <v>0</v>
      </c>
      <c r="EE684" s="36">
        <v>0</v>
      </c>
      <c r="EF684" s="36">
        <v>0</v>
      </c>
      <c r="EG684" s="36">
        <v>0</v>
      </c>
      <c r="EH684" s="36">
        <v>0</v>
      </c>
      <c r="EI684" s="36">
        <v>0</v>
      </c>
      <c r="EJ684" s="36">
        <v>0</v>
      </c>
      <c r="EK684" s="36">
        <v>0</v>
      </c>
      <c r="EL684" s="36">
        <v>0</v>
      </c>
      <c r="EM684" s="36">
        <v>0</v>
      </c>
      <c r="EN684" s="36">
        <v>0</v>
      </c>
      <c r="EO684" s="36">
        <v>0</v>
      </c>
      <c r="EP684" s="36">
        <v>0</v>
      </c>
      <c r="EQ684" s="36">
        <v>0</v>
      </c>
      <c r="ER684" s="36">
        <v>0</v>
      </c>
      <c r="ES684" s="36">
        <v>0</v>
      </c>
      <c r="ET684" s="36">
        <v>0</v>
      </c>
      <c r="EU684" s="36">
        <v>0</v>
      </c>
      <c r="EV684" s="36">
        <v>0</v>
      </c>
      <c r="EW684" s="36">
        <v>0</v>
      </c>
      <c r="EX684" s="36">
        <v>0</v>
      </c>
      <c r="EY684" s="36">
        <v>0</v>
      </c>
      <c r="EZ684" s="36">
        <v>0</v>
      </c>
      <c r="FA684" s="36">
        <v>0</v>
      </c>
      <c r="FB684" s="36">
        <v>0</v>
      </c>
      <c r="FC684" s="37">
        <v>0</v>
      </c>
    </row>
    <row r="685" spans="1:159" s="3" customFormat="1" ht="18" customHeight="1" x14ac:dyDescent="0.2">
      <c r="A685" s="140">
        <v>11</v>
      </c>
      <c r="B685" s="263">
        <v>0.51969328898170997</v>
      </c>
      <c r="C685" s="325"/>
      <c r="D685" s="38"/>
      <c r="E685" s="39">
        <v>1</v>
      </c>
      <c r="G685" s="39">
        <v>3</v>
      </c>
      <c r="H685" s="39">
        <v>3</v>
      </c>
      <c r="J685" s="39">
        <v>3</v>
      </c>
      <c r="K685" s="39">
        <v>3</v>
      </c>
      <c r="L685" s="39">
        <v>1</v>
      </c>
      <c r="N685" s="39">
        <v>11</v>
      </c>
      <c r="O685" s="35">
        <v>3</v>
      </c>
      <c r="P685" s="36">
        <v>3</v>
      </c>
      <c r="Q685" s="37">
        <v>1</v>
      </c>
      <c r="T685" s="39">
        <v>11</v>
      </c>
      <c r="U685" s="39">
        <v>6</v>
      </c>
      <c r="V685" s="39">
        <v>3</v>
      </c>
      <c r="W685" s="39">
        <v>1</v>
      </c>
      <c r="Z685" s="39">
        <v>11</v>
      </c>
      <c r="AA685" s="35">
        <v>0</v>
      </c>
      <c r="AB685" s="36">
        <v>0</v>
      </c>
      <c r="AC685" s="36">
        <v>0</v>
      </c>
      <c r="AD685" s="36">
        <v>0</v>
      </c>
      <c r="AE685" s="36">
        <v>0</v>
      </c>
      <c r="AF685" s="36">
        <v>0</v>
      </c>
      <c r="AG685" s="36">
        <v>0</v>
      </c>
      <c r="AH685" s="36">
        <v>0</v>
      </c>
      <c r="AI685" s="36">
        <v>0</v>
      </c>
      <c r="AJ685" s="36">
        <v>0</v>
      </c>
      <c r="AK685" s="36">
        <v>0</v>
      </c>
      <c r="AL685" s="36">
        <v>0</v>
      </c>
      <c r="AM685" s="36">
        <v>0</v>
      </c>
      <c r="AN685" s="36">
        <v>0</v>
      </c>
      <c r="AO685" s="36">
        <v>0</v>
      </c>
      <c r="AP685" s="36">
        <v>0</v>
      </c>
      <c r="AQ685" s="36">
        <v>0</v>
      </c>
      <c r="AR685" s="36">
        <v>0</v>
      </c>
      <c r="AS685" s="36">
        <v>0</v>
      </c>
      <c r="AT685" s="36">
        <v>0</v>
      </c>
      <c r="AU685" s="36">
        <v>0</v>
      </c>
      <c r="AV685" s="36">
        <v>0</v>
      </c>
      <c r="AW685" s="36">
        <v>0</v>
      </c>
      <c r="AX685" s="36">
        <v>0</v>
      </c>
      <c r="AY685" s="36">
        <v>1</v>
      </c>
      <c r="AZ685" s="36">
        <v>1</v>
      </c>
      <c r="BA685" s="36">
        <v>1</v>
      </c>
      <c r="BB685" s="36">
        <v>0</v>
      </c>
      <c r="BC685" s="36">
        <v>0</v>
      </c>
      <c r="BD685" s="36">
        <v>0</v>
      </c>
      <c r="BE685" s="36">
        <v>0</v>
      </c>
      <c r="BF685" s="36">
        <v>0</v>
      </c>
      <c r="BG685" s="36">
        <v>0</v>
      </c>
      <c r="BH685" s="36">
        <v>0</v>
      </c>
      <c r="BI685" s="36">
        <v>0</v>
      </c>
      <c r="BJ685" s="36">
        <v>0</v>
      </c>
      <c r="BK685" s="36">
        <v>0</v>
      </c>
      <c r="BL685" s="36">
        <v>0</v>
      </c>
      <c r="BM685" s="36">
        <v>0</v>
      </c>
      <c r="BN685" s="36">
        <v>0</v>
      </c>
      <c r="BO685" s="36">
        <v>0</v>
      </c>
      <c r="BP685" s="36">
        <v>0</v>
      </c>
      <c r="BQ685" s="36">
        <v>0</v>
      </c>
      <c r="BR685" s="36">
        <v>0</v>
      </c>
      <c r="BS685" s="36">
        <v>0</v>
      </c>
      <c r="BT685" s="36">
        <v>0</v>
      </c>
      <c r="BU685" s="36">
        <v>0</v>
      </c>
      <c r="BV685" s="36">
        <v>0</v>
      </c>
      <c r="BW685" s="36">
        <v>0</v>
      </c>
      <c r="BX685" s="36">
        <v>0</v>
      </c>
      <c r="BY685" s="36">
        <v>0</v>
      </c>
      <c r="BZ685" s="36">
        <v>0</v>
      </c>
      <c r="CA685" s="36">
        <v>0</v>
      </c>
      <c r="CB685" s="36">
        <v>0</v>
      </c>
      <c r="CC685" s="36">
        <v>0</v>
      </c>
      <c r="CD685" s="36">
        <v>0</v>
      </c>
      <c r="CE685" s="36">
        <v>0</v>
      </c>
      <c r="CF685" s="36">
        <v>0</v>
      </c>
      <c r="CG685" s="36">
        <v>0</v>
      </c>
      <c r="CH685" s="36">
        <v>0</v>
      </c>
      <c r="CI685" s="36">
        <v>0</v>
      </c>
      <c r="CJ685" s="36">
        <v>0</v>
      </c>
      <c r="CK685" s="36">
        <v>0</v>
      </c>
      <c r="CL685" s="36">
        <v>0</v>
      </c>
      <c r="CM685" s="36">
        <v>0</v>
      </c>
      <c r="CN685" s="36">
        <v>0</v>
      </c>
      <c r="CO685" s="36">
        <v>0</v>
      </c>
      <c r="CP685" s="36">
        <v>0</v>
      </c>
      <c r="CQ685" s="36">
        <v>0</v>
      </c>
      <c r="CR685" s="36">
        <v>0</v>
      </c>
      <c r="CS685" s="36">
        <v>0</v>
      </c>
      <c r="CT685" s="36">
        <v>0</v>
      </c>
      <c r="CU685" s="36">
        <v>0</v>
      </c>
      <c r="CV685" s="36">
        <v>0</v>
      </c>
      <c r="CW685" s="36">
        <v>0</v>
      </c>
      <c r="CX685" s="36">
        <v>0</v>
      </c>
      <c r="CY685" s="36">
        <v>0</v>
      </c>
      <c r="CZ685" s="36">
        <v>0</v>
      </c>
      <c r="DA685" s="36">
        <v>0</v>
      </c>
      <c r="DB685" s="36">
        <v>0</v>
      </c>
      <c r="DC685" s="36">
        <v>0</v>
      </c>
      <c r="DD685" s="36">
        <v>0</v>
      </c>
      <c r="DE685" s="36">
        <v>0</v>
      </c>
      <c r="DF685" s="36">
        <v>0</v>
      </c>
      <c r="DG685" s="36">
        <v>0</v>
      </c>
      <c r="DH685" s="36">
        <v>0</v>
      </c>
      <c r="DI685" s="36">
        <v>0</v>
      </c>
      <c r="DJ685" s="36">
        <v>0</v>
      </c>
      <c r="DK685" s="36">
        <v>0</v>
      </c>
      <c r="DL685" s="36">
        <v>0</v>
      </c>
      <c r="DM685" s="36">
        <v>0</v>
      </c>
      <c r="DN685" s="36">
        <v>0</v>
      </c>
      <c r="DO685" s="36">
        <v>0</v>
      </c>
      <c r="DP685" s="36">
        <v>0</v>
      </c>
      <c r="DQ685" s="36">
        <v>0</v>
      </c>
      <c r="DR685" s="36">
        <v>0</v>
      </c>
      <c r="DS685" s="36">
        <v>0</v>
      </c>
      <c r="DT685" s="36">
        <v>0</v>
      </c>
      <c r="DU685" s="36">
        <v>0</v>
      </c>
      <c r="DV685" s="36">
        <v>0</v>
      </c>
      <c r="DW685" s="36">
        <v>0</v>
      </c>
      <c r="DX685" s="36">
        <v>0</v>
      </c>
      <c r="DY685" s="36">
        <v>0</v>
      </c>
      <c r="DZ685" s="36">
        <v>0</v>
      </c>
      <c r="EA685" s="36">
        <v>0</v>
      </c>
      <c r="EB685" s="36">
        <v>0</v>
      </c>
      <c r="EC685" s="36">
        <v>0</v>
      </c>
      <c r="ED685" s="36">
        <v>0</v>
      </c>
      <c r="EE685" s="36">
        <v>0</v>
      </c>
      <c r="EF685" s="36">
        <v>0</v>
      </c>
      <c r="EG685" s="36">
        <v>0</v>
      </c>
      <c r="EH685" s="36">
        <v>0</v>
      </c>
      <c r="EI685" s="36">
        <v>0</v>
      </c>
      <c r="EJ685" s="36">
        <v>0</v>
      </c>
      <c r="EK685" s="36">
        <v>0</v>
      </c>
      <c r="EL685" s="36">
        <v>0</v>
      </c>
      <c r="EM685" s="36">
        <v>0</v>
      </c>
      <c r="EN685" s="36">
        <v>0</v>
      </c>
      <c r="EO685" s="36">
        <v>0</v>
      </c>
      <c r="EP685" s="36">
        <v>0</v>
      </c>
      <c r="EQ685" s="36">
        <v>0</v>
      </c>
      <c r="ER685" s="36">
        <v>0</v>
      </c>
      <c r="ES685" s="36">
        <v>0</v>
      </c>
      <c r="ET685" s="36">
        <v>0</v>
      </c>
      <c r="EU685" s="36">
        <v>0</v>
      </c>
      <c r="EV685" s="36">
        <v>0</v>
      </c>
      <c r="EW685" s="36">
        <v>0</v>
      </c>
      <c r="EX685" s="36">
        <v>0</v>
      </c>
      <c r="EY685" s="36">
        <v>0</v>
      </c>
      <c r="EZ685" s="36">
        <v>0</v>
      </c>
      <c r="FA685" s="36">
        <v>0</v>
      </c>
      <c r="FB685" s="36">
        <v>0</v>
      </c>
      <c r="FC685" s="37">
        <v>0</v>
      </c>
    </row>
    <row r="686" spans="1:159" s="3" customFormat="1" ht="18" customHeight="1" x14ac:dyDescent="0.2">
      <c r="A686" s="140">
        <v>12</v>
      </c>
      <c r="B686" s="263">
        <v>0.52028384047375897</v>
      </c>
      <c r="C686" s="325"/>
      <c r="D686" s="38"/>
      <c r="E686" s="39">
        <v>1</v>
      </c>
      <c r="G686" s="39">
        <v>4</v>
      </c>
      <c r="H686" s="39">
        <v>3</v>
      </c>
      <c r="J686" s="39">
        <v>3</v>
      </c>
      <c r="K686" s="39">
        <v>4</v>
      </c>
      <c r="L686" s="39">
        <v>1</v>
      </c>
      <c r="N686" s="39">
        <v>12</v>
      </c>
      <c r="O686" s="35">
        <v>3</v>
      </c>
      <c r="P686" s="36">
        <v>4</v>
      </c>
      <c r="Q686" s="37">
        <v>1</v>
      </c>
      <c r="T686" s="39">
        <v>12</v>
      </c>
      <c r="U686" s="39">
        <v>6</v>
      </c>
      <c r="V686" s="39">
        <v>4</v>
      </c>
      <c r="W686" s="39">
        <v>1</v>
      </c>
      <c r="Z686" s="39">
        <v>12</v>
      </c>
      <c r="AA686" s="35">
        <v>0</v>
      </c>
      <c r="AB686" s="36">
        <v>0</v>
      </c>
      <c r="AC686" s="36">
        <v>0</v>
      </c>
      <c r="AD686" s="36">
        <v>0</v>
      </c>
      <c r="AE686" s="36">
        <v>0</v>
      </c>
      <c r="AF686" s="36">
        <v>0</v>
      </c>
      <c r="AG686" s="36">
        <v>0</v>
      </c>
      <c r="AH686" s="36">
        <v>0</v>
      </c>
      <c r="AI686" s="36">
        <v>0</v>
      </c>
      <c r="AJ686" s="36">
        <v>0</v>
      </c>
      <c r="AK686" s="36">
        <v>0</v>
      </c>
      <c r="AL686" s="36">
        <v>0</v>
      </c>
      <c r="AM686" s="36">
        <v>0</v>
      </c>
      <c r="AN686" s="36">
        <v>0</v>
      </c>
      <c r="AO686" s="36">
        <v>0</v>
      </c>
      <c r="AP686" s="36">
        <v>0</v>
      </c>
      <c r="AQ686" s="36">
        <v>0</v>
      </c>
      <c r="AR686" s="36">
        <v>0</v>
      </c>
      <c r="AS686" s="36">
        <v>0</v>
      </c>
      <c r="AT686" s="36">
        <v>0</v>
      </c>
      <c r="AU686" s="36">
        <v>0</v>
      </c>
      <c r="AV686" s="36">
        <v>0</v>
      </c>
      <c r="AW686" s="36">
        <v>0</v>
      </c>
      <c r="AX686" s="36">
        <v>0</v>
      </c>
      <c r="AY686" s="36">
        <v>0</v>
      </c>
      <c r="AZ686" s="36">
        <v>0</v>
      </c>
      <c r="BA686" s="36">
        <v>0</v>
      </c>
      <c r="BB686" s="36">
        <v>1</v>
      </c>
      <c r="BC686" s="36">
        <v>1</v>
      </c>
      <c r="BD686" s="36">
        <v>1</v>
      </c>
      <c r="BE686" s="36">
        <v>0</v>
      </c>
      <c r="BF686" s="36">
        <v>0</v>
      </c>
      <c r="BG686" s="36">
        <v>0</v>
      </c>
      <c r="BH686" s="36">
        <v>0</v>
      </c>
      <c r="BI686" s="36">
        <v>0</v>
      </c>
      <c r="BJ686" s="36">
        <v>0</v>
      </c>
      <c r="BK686" s="36">
        <v>0</v>
      </c>
      <c r="BL686" s="36">
        <v>0</v>
      </c>
      <c r="BM686" s="36">
        <v>0</v>
      </c>
      <c r="BN686" s="36">
        <v>0</v>
      </c>
      <c r="BO686" s="36">
        <v>0</v>
      </c>
      <c r="BP686" s="36">
        <v>0</v>
      </c>
      <c r="BQ686" s="36">
        <v>0</v>
      </c>
      <c r="BR686" s="36">
        <v>0</v>
      </c>
      <c r="BS686" s="36">
        <v>0</v>
      </c>
      <c r="BT686" s="36">
        <v>0</v>
      </c>
      <c r="BU686" s="36">
        <v>0</v>
      </c>
      <c r="BV686" s="36">
        <v>0</v>
      </c>
      <c r="BW686" s="36">
        <v>0</v>
      </c>
      <c r="BX686" s="36">
        <v>0</v>
      </c>
      <c r="BY686" s="36">
        <v>0</v>
      </c>
      <c r="BZ686" s="36">
        <v>0</v>
      </c>
      <c r="CA686" s="36">
        <v>0</v>
      </c>
      <c r="CB686" s="36">
        <v>0</v>
      </c>
      <c r="CC686" s="36">
        <v>0</v>
      </c>
      <c r="CD686" s="36">
        <v>0</v>
      </c>
      <c r="CE686" s="36">
        <v>0</v>
      </c>
      <c r="CF686" s="36">
        <v>0</v>
      </c>
      <c r="CG686" s="36">
        <v>0</v>
      </c>
      <c r="CH686" s="36">
        <v>0</v>
      </c>
      <c r="CI686" s="36">
        <v>0</v>
      </c>
      <c r="CJ686" s="36">
        <v>0</v>
      </c>
      <c r="CK686" s="36">
        <v>0</v>
      </c>
      <c r="CL686" s="36">
        <v>0</v>
      </c>
      <c r="CM686" s="36">
        <v>0</v>
      </c>
      <c r="CN686" s="36">
        <v>0</v>
      </c>
      <c r="CO686" s="36">
        <v>0</v>
      </c>
      <c r="CP686" s="36">
        <v>0</v>
      </c>
      <c r="CQ686" s="36">
        <v>0</v>
      </c>
      <c r="CR686" s="36">
        <v>0</v>
      </c>
      <c r="CS686" s="36">
        <v>0</v>
      </c>
      <c r="CT686" s="36">
        <v>0</v>
      </c>
      <c r="CU686" s="36">
        <v>0</v>
      </c>
      <c r="CV686" s="36">
        <v>0</v>
      </c>
      <c r="CW686" s="36">
        <v>0</v>
      </c>
      <c r="CX686" s="36">
        <v>0</v>
      </c>
      <c r="CY686" s="36">
        <v>0</v>
      </c>
      <c r="CZ686" s="36">
        <v>0</v>
      </c>
      <c r="DA686" s="36">
        <v>0</v>
      </c>
      <c r="DB686" s="36">
        <v>0</v>
      </c>
      <c r="DC686" s="36">
        <v>0</v>
      </c>
      <c r="DD686" s="36">
        <v>0</v>
      </c>
      <c r="DE686" s="36">
        <v>0</v>
      </c>
      <c r="DF686" s="36">
        <v>0</v>
      </c>
      <c r="DG686" s="36">
        <v>0</v>
      </c>
      <c r="DH686" s="36">
        <v>0</v>
      </c>
      <c r="DI686" s="36">
        <v>0</v>
      </c>
      <c r="DJ686" s="36">
        <v>0</v>
      </c>
      <c r="DK686" s="36">
        <v>0</v>
      </c>
      <c r="DL686" s="36">
        <v>0</v>
      </c>
      <c r="DM686" s="36">
        <v>0</v>
      </c>
      <c r="DN686" s="36">
        <v>0</v>
      </c>
      <c r="DO686" s="36">
        <v>0</v>
      </c>
      <c r="DP686" s="36">
        <v>0</v>
      </c>
      <c r="DQ686" s="36">
        <v>0</v>
      </c>
      <c r="DR686" s="36">
        <v>0</v>
      </c>
      <c r="DS686" s="36">
        <v>0</v>
      </c>
      <c r="DT686" s="36">
        <v>0</v>
      </c>
      <c r="DU686" s="36">
        <v>0</v>
      </c>
      <c r="DV686" s="36">
        <v>0</v>
      </c>
      <c r="DW686" s="36">
        <v>0</v>
      </c>
      <c r="DX686" s="36">
        <v>0</v>
      </c>
      <c r="DY686" s="36">
        <v>0</v>
      </c>
      <c r="DZ686" s="36">
        <v>0</v>
      </c>
      <c r="EA686" s="36">
        <v>0</v>
      </c>
      <c r="EB686" s="36">
        <v>0</v>
      </c>
      <c r="EC686" s="36">
        <v>0</v>
      </c>
      <c r="ED686" s="36">
        <v>0</v>
      </c>
      <c r="EE686" s="36">
        <v>0</v>
      </c>
      <c r="EF686" s="36">
        <v>0</v>
      </c>
      <c r="EG686" s="36">
        <v>0</v>
      </c>
      <c r="EH686" s="36">
        <v>0</v>
      </c>
      <c r="EI686" s="36">
        <v>0</v>
      </c>
      <c r="EJ686" s="36">
        <v>0</v>
      </c>
      <c r="EK686" s="36">
        <v>0</v>
      </c>
      <c r="EL686" s="36">
        <v>0</v>
      </c>
      <c r="EM686" s="36">
        <v>0</v>
      </c>
      <c r="EN686" s="36">
        <v>0</v>
      </c>
      <c r="EO686" s="36">
        <v>0</v>
      </c>
      <c r="EP686" s="36">
        <v>0</v>
      </c>
      <c r="EQ686" s="36">
        <v>0</v>
      </c>
      <c r="ER686" s="36">
        <v>0</v>
      </c>
      <c r="ES686" s="36">
        <v>0</v>
      </c>
      <c r="ET686" s="36">
        <v>0</v>
      </c>
      <c r="EU686" s="36">
        <v>0</v>
      </c>
      <c r="EV686" s="36">
        <v>0</v>
      </c>
      <c r="EW686" s="36">
        <v>0</v>
      </c>
      <c r="EX686" s="36">
        <v>0</v>
      </c>
      <c r="EY686" s="36">
        <v>0</v>
      </c>
      <c r="EZ686" s="36">
        <v>0</v>
      </c>
      <c r="FA686" s="36">
        <v>0</v>
      </c>
      <c r="FB686" s="36">
        <v>0</v>
      </c>
      <c r="FC686" s="37">
        <v>0</v>
      </c>
    </row>
    <row r="687" spans="1:159" s="3" customFormat="1" ht="18" customHeight="1" x14ac:dyDescent="0.2">
      <c r="A687" s="140">
        <v>13</v>
      </c>
      <c r="B687" s="263">
        <v>0.519609170936155</v>
      </c>
      <c r="C687" s="325"/>
      <c r="D687" s="38"/>
      <c r="E687" s="39">
        <v>0</v>
      </c>
      <c r="G687" s="39">
        <v>1</v>
      </c>
      <c r="H687" s="39">
        <v>4</v>
      </c>
      <c r="J687" s="39">
        <v>4</v>
      </c>
      <c r="K687" s="39">
        <v>1</v>
      </c>
      <c r="L687" s="39">
        <v>0</v>
      </c>
      <c r="N687" s="39">
        <v>13</v>
      </c>
      <c r="O687" s="35">
        <v>4</v>
      </c>
      <c r="P687" s="36">
        <v>1</v>
      </c>
      <c r="Q687" s="37">
        <v>0</v>
      </c>
      <c r="T687" s="39">
        <v>13</v>
      </c>
      <c r="U687" s="39">
        <v>7</v>
      </c>
      <c r="V687" s="39">
        <v>2</v>
      </c>
      <c r="W687" s="39">
        <v>1</v>
      </c>
      <c r="Z687" s="39">
        <v>13</v>
      </c>
      <c r="AA687" s="35">
        <v>0</v>
      </c>
      <c r="AB687" s="36">
        <v>0</v>
      </c>
      <c r="AC687" s="36">
        <v>0</v>
      </c>
      <c r="AD687" s="36">
        <v>0</v>
      </c>
      <c r="AE687" s="36">
        <v>0</v>
      </c>
      <c r="AF687" s="36">
        <v>0</v>
      </c>
      <c r="AG687" s="36">
        <v>0</v>
      </c>
      <c r="AH687" s="36">
        <v>0</v>
      </c>
      <c r="AI687" s="36">
        <v>0</v>
      </c>
      <c r="AJ687" s="36">
        <v>0</v>
      </c>
      <c r="AK687" s="36">
        <v>0</v>
      </c>
      <c r="AL687" s="36">
        <v>0</v>
      </c>
      <c r="AM687" s="36">
        <v>0</v>
      </c>
      <c r="AN687" s="36">
        <v>0</v>
      </c>
      <c r="AO687" s="36">
        <v>0</v>
      </c>
      <c r="AP687" s="36">
        <v>0</v>
      </c>
      <c r="AQ687" s="36">
        <v>0</v>
      </c>
      <c r="AR687" s="36">
        <v>0</v>
      </c>
      <c r="AS687" s="36">
        <v>0</v>
      </c>
      <c r="AT687" s="36">
        <v>0</v>
      </c>
      <c r="AU687" s="36">
        <v>0</v>
      </c>
      <c r="AV687" s="36">
        <v>0</v>
      </c>
      <c r="AW687" s="36">
        <v>0</v>
      </c>
      <c r="AX687" s="36">
        <v>0</v>
      </c>
      <c r="AY687" s="36">
        <v>0</v>
      </c>
      <c r="AZ687" s="36">
        <v>0</v>
      </c>
      <c r="BA687" s="36">
        <v>0</v>
      </c>
      <c r="BB687" s="36">
        <v>0</v>
      </c>
      <c r="BC687" s="36">
        <v>0</v>
      </c>
      <c r="BD687" s="36">
        <v>0</v>
      </c>
      <c r="BE687" s="36">
        <v>1</v>
      </c>
      <c r="BF687" s="36">
        <v>1</v>
      </c>
      <c r="BG687" s="36">
        <v>1</v>
      </c>
      <c r="BH687" s="36">
        <v>0</v>
      </c>
      <c r="BI687" s="36">
        <v>0</v>
      </c>
      <c r="BJ687" s="36">
        <v>0</v>
      </c>
      <c r="BK687" s="36">
        <v>0</v>
      </c>
      <c r="BL687" s="36">
        <v>0</v>
      </c>
      <c r="BM687" s="36">
        <v>0</v>
      </c>
      <c r="BN687" s="36">
        <v>0</v>
      </c>
      <c r="BO687" s="36">
        <v>0</v>
      </c>
      <c r="BP687" s="36">
        <v>0</v>
      </c>
      <c r="BQ687" s="36">
        <v>0</v>
      </c>
      <c r="BR687" s="36">
        <v>0</v>
      </c>
      <c r="BS687" s="36">
        <v>0</v>
      </c>
      <c r="BT687" s="36">
        <v>0</v>
      </c>
      <c r="BU687" s="36">
        <v>0</v>
      </c>
      <c r="BV687" s="36">
        <v>0</v>
      </c>
      <c r="BW687" s="36">
        <v>0</v>
      </c>
      <c r="BX687" s="36">
        <v>0</v>
      </c>
      <c r="BY687" s="36">
        <v>0</v>
      </c>
      <c r="BZ687" s="36">
        <v>0</v>
      </c>
      <c r="CA687" s="36">
        <v>0</v>
      </c>
      <c r="CB687" s="36">
        <v>0</v>
      </c>
      <c r="CC687" s="36">
        <v>0</v>
      </c>
      <c r="CD687" s="36">
        <v>0</v>
      </c>
      <c r="CE687" s="36">
        <v>0</v>
      </c>
      <c r="CF687" s="36">
        <v>0</v>
      </c>
      <c r="CG687" s="36">
        <v>0</v>
      </c>
      <c r="CH687" s="36">
        <v>0</v>
      </c>
      <c r="CI687" s="36">
        <v>0</v>
      </c>
      <c r="CJ687" s="36">
        <v>0</v>
      </c>
      <c r="CK687" s="36">
        <v>0</v>
      </c>
      <c r="CL687" s="36">
        <v>0</v>
      </c>
      <c r="CM687" s="36">
        <v>0</v>
      </c>
      <c r="CN687" s="36">
        <v>0</v>
      </c>
      <c r="CO687" s="36">
        <v>0</v>
      </c>
      <c r="CP687" s="36">
        <v>0</v>
      </c>
      <c r="CQ687" s="36">
        <v>0</v>
      </c>
      <c r="CR687" s="36">
        <v>0</v>
      </c>
      <c r="CS687" s="36">
        <v>0</v>
      </c>
      <c r="CT687" s="36">
        <v>0</v>
      </c>
      <c r="CU687" s="36">
        <v>0</v>
      </c>
      <c r="CV687" s="36">
        <v>0</v>
      </c>
      <c r="CW687" s="36">
        <v>0</v>
      </c>
      <c r="CX687" s="36">
        <v>0</v>
      </c>
      <c r="CY687" s="36">
        <v>0</v>
      </c>
      <c r="CZ687" s="36">
        <v>0</v>
      </c>
      <c r="DA687" s="36">
        <v>0</v>
      </c>
      <c r="DB687" s="36">
        <v>0</v>
      </c>
      <c r="DC687" s="36">
        <v>0</v>
      </c>
      <c r="DD687" s="36">
        <v>0</v>
      </c>
      <c r="DE687" s="36">
        <v>0</v>
      </c>
      <c r="DF687" s="36">
        <v>0</v>
      </c>
      <c r="DG687" s="36">
        <v>0</v>
      </c>
      <c r="DH687" s="36">
        <v>0</v>
      </c>
      <c r="DI687" s="36">
        <v>0</v>
      </c>
      <c r="DJ687" s="36">
        <v>0</v>
      </c>
      <c r="DK687" s="36">
        <v>0</v>
      </c>
      <c r="DL687" s="36">
        <v>0</v>
      </c>
      <c r="DM687" s="36">
        <v>0</v>
      </c>
      <c r="DN687" s="36">
        <v>0</v>
      </c>
      <c r="DO687" s="36">
        <v>0</v>
      </c>
      <c r="DP687" s="36">
        <v>0</v>
      </c>
      <c r="DQ687" s="36">
        <v>0</v>
      </c>
      <c r="DR687" s="36">
        <v>0</v>
      </c>
      <c r="DS687" s="36">
        <v>0</v>
      </c>
      <c r="DT687" s="36">
        <v>0</v>
      </c>
      <c r="DU687" s="36">
        <v>0</v>
      </c>
      <c r="DV687" s="36">
        <v>0</v>
      </c>
      <c r="DW687" s="36">
        <v>0</v>
      </c>
      <c r="DX687" s="36">
        <v>0</v>
      </c>
      <c r="DY687" s="36">
        <v>0</v>
      </c>
      <c r="DZ687" s="36">
        <v>0</v>
      </c>
      <c r="EA687" s="36">
        <v>0</v>
      </c>
      <c r="EB687" s="36">
        <v>0</v>
      </c>
      <c r="EC687" s="36">
        <v>0</v>
      </c>
      <c r="ED687" s="36">
        <v>0</v>
      </c>
      <c r="EE687" s="36">
        <v>0</v>
      </c>
      <c r="EF687" s="36">
        <v>0</v>
      </c>
      <c r="EG687" s="36">
        <v>0</v>
      </c>
      <c r="EH687" s="36">
        <v>0</v>
      </c>
      <c r="EI687" s="36">
        <v>0</v>
      </c>
      <c r="EJ687" s="36">
        <v>0</v>
      </c>
      <c r="EK687" s="36">
        <v>0</v>
      </c>
      <c r="EL687" s="36">
        <v>0</v>
      </c>
      <c r="EM687" s="36">
        <v>0</v>
      </c>
      <c r="EN687" s="36">
        <v>0</v>
      </c>
      <c r="EO687" s="36">
        <v>0</v>
      </c>
      <c r="EP687" s="36">
        <v>0</v>
      </c>
      <c r="EQ687" s="36">
        <v>0</v>
      </c>
      <c r="ER687" s="36">
        <v>0</v>
      </c>
      <c r="ES687" s="36">
        <v>0</v>
      </c>
      <c r="ET687" s="36">
        <v>0</v>
      </c>
      <c r="EU687" s="36">
        <v>0</v>
      </c>
      <c r="EV687" s="36">
        <v>0</v>
      </c>
      <c r="EW687" s="36">
        <v>0</v>
      </c>
      <c r="EX687" s="36">
        <v>0</v>
      </c>
      <c r="EY687" s="36">
        <v>0</v>
      </c>
      <c r="EZ687" s="36">
        <v>0</v>
      </c>
      <c r="FA687" s="36">
        <v>0</v>
      </c>
      <c r="FB687" s="36">
        <v>0</v>
      </c>
      <c r="FC687" s="37">
        <v>0</v>
      </c>
    </row>
    <row r="688" spans="1:159" s="3" customFormat="1" ht="18" customHeight="1" x14ac:dyDescent="0.2">
      <c r="A688" s="140">
        <v>14</v>
      </c>
      <c r="B688" s="263">
        <v>0.52078053456761897</v>
      </c>
      <c r="C688" s="325"/>
      <c r="D688" s="38"/>
      <c r="E688" s="39">
        <v>0</v>
      </c>
      <c r="G688" s="39">
        <v>2</v>
      </c>
      <c r="H688" s="39">
        <v>4</v>
      </c>
      <c r="J688" s="39">
        <v>4</v>
      </c>
      <c r="K688" s="39">
        <v>2</v>
      </c>
      <c r="L688" s="39">
        <v>0</v>
      </c>
      <c r="N688" s="39">
        <v>14</v>
      </c>
      <c r="O688" s="35">
        <v>4</v>
      </c>
      <c r="P688" s="36">
        <v>2</v>
      </c>
      <c r="Q688" s="37">
        <v>0</v>
      </c>
      <c r="T688" s="39">
        <v>14</v>
      </c>
      <c r="U688" s="39">
        <v>7</v>
      </c>
      <c r="V688" s="39">
        <v>3</v>
      </c>
      <c r="W688" s="39">
        <v>1</v>
      </c>
      <c r="Z688" s="39">
        <v>14</v>
      </c>
      <c r="AA688" s="35">
        <v>0</v>
      </c>
      <c r="AB688" s="36">
        <v>0</v>
      </c>
      <c r="AC688" s="36">
        <v>0</v>
      </c>
      <c r="AD688" s="36">
        <v>0</v>
      </c>
      <c r="AE688" s="36">
        <v>0</v>
      </c>
      <c r="AF688" s="36">
        <v>0</v>
      </c>
      <c r="AG688" s="36">
        <v>0</v>
      </c>
      <c r="AH688" s="36">
        <v>0</v>
      </c>
      <c r="AI688" s="36">
        <v>0</v>
      </c>
      <c r="AJ688" s="36">
        <v>0</v>
      </c>
      <c r="AK688" s="36">
        <v>0</v>
      </c>
      <c r="AL688" s="36">
        <v>0</v>
      </c>
      <c r="AM688" s="36">
        <v>0</v>
      </c>
      <c r="AN688" s="36">
        <v>0</v>
      </c>
      <c r="AO688" s="36">
        <v>0</v>
      </c>
      <c r="AP688" s="36">
        <v>0</v>
      </c>
      <c r="AQ688" s="36">
        <v>0</v>
      </c>
      <c r="AR688" s="36">
        <v>0</v>
      </c>
      <c r="AS688" s="36">
        <v>0</v>
      </c>
      <c r="AT688" s="36">
        <v>0</v>
      </c>
      <c r="AU688" s="36">
        <v>0</v>
      </c>
      <c r="AV688" s="36">
        <v>0</v>
      </c>
      <c r="AW688" s="36">
        <v>0</v>
      </c>
      <c r="AX688" s="36">
        <v>0</v>
      </c>
      <c r="AY688" s="36">
        <v>0</v>
      </c>
      <c r="AZ688" s="36">
        <v>0</v>
      </c>
      <c r="BA688" s="36">
        <v>0</v>
      </c>
      <c r="BB688" s="36">
        <v>0</v>
      </c>
      <c r="BC688" s="36">
        <v>0</v>
      </c>
      <c r="BD688" s="36">
        <v>0</v>
      </c>
      <c r="BE688" s="36">
        <v>0</v>
      </c>
      <c r="BF688" s="36">
        <v>0</v>
      </c>
      <c r="BG688" s="36">
        <v>0</v>
      </c>
      <c r="BH688" s="36">
        <v>1</v>
      </c>
      <c r="BI688" s="36">
        <v>1</v>
      </c>
      <c r="BJ688" s="36">
        <v>1</v>
      </c>
      <c r="BK688" s="36">
        <v>0</v>
      </c>
      <c r="BL688" s="36">
        <v>0</v>
      </c>
      <c r="BM688" s="36">
        <v>0</v>
      </c>
      <c r="BN688" s="36">
        <v>0</v>
      </c>
      <c r="BO688" s="36">
        <v>0</v>
      </c>
      <c r="BP688" s="36">
        <v>0</v>
      </c>
      <c r="BQ688" s="36">
        <v>0</v>
      </c>
      <c r="BR688" s="36">
        <v>0</v>
      </c>
      <c r="BS688" s="36">
        <v>0</v>
      </c>
      <c r="BT688" s="36">
        <v>0</v>
      </c>
      <c r="BU688" s="36">
        <v>0</v>
      </c>
      <c r="BV688" s="36">
        <v>0</v>
      </c>
      <c r="BW688" s="36">
        <v>0</v>
      </c>
      <c r="BX688" s="36">
        <v>0</v>
      </c>
      <c r="BY688" s="36">
        <v>0</v>
      </c>
      <c r="BZ688" s="36">
        <v>0</v>
      </c>
      <c r="CA688" s="36">
        <v>0</v>
      </c>
      <c r="CB688" s="36">
        <v>0</v>
      </c>
      <c r="CC688" s="36">
        <v>0</v>
      </c>
      <c r="CD688" s="36">
        <v>0</v>
      </c>
      <c r="CE688" s="36">
        <v>0</v>
      </c>
      <c r="CF688" s="36">
        <v>0</v>
      </c>
      <c r="CG688" s="36">
        <v>0</v>
      </c>
      <c r="CH688" s="36">
        <v>0</v>
      </c>
      <c r="CI688" s="36">
        <v>0</v>
      </c>
      <c r="CJ688" s="36">
        <v>0</v>
      </c>
      <c r="CK688" s="36">
        <v>0</v>
      </c>
      <c r="CL688" s="36">
        <v>0</v>
      </c>
      <c r="CM688" s="36">
        <v>0</v>
      </c>
      <c r="CN688" s="36">
        <v>0</v>
      </c>
      <c r="CO688" s="36">
        <v>0</v>
      </c>
      <c r="CP688" s="36">
        <v>0</v>
      </c>
      <c r="CQ688" s="36">
        <v>0</v>
      </c>
      <c r="CR688" s="36">
        <v>0</v>
      </c>
      <c r="CS688" s="36">
        <v>0</v>
      </c>
      <c r="CT688" s="36">
        <v>0</v>
      </c>
      <c r="CU688" s="36">
        <v>0</v>
      </c>
      <c r="CV688" s="36">
        <v>0</v>
      </c>
      <c r="CW688" s="36">
        <v>0</v>
      </c>
      <c r="CX688" s="36">
        <v>0</v>
      </c>
      <c r="CY688" s="36">
        <v>0</v>
      </c>
      <c r="CZ688" s="36">
        <v>0</v>
      </c>
      <c r="DA688" s="36">
        <v>0</v>
      </c>
      <c r="DB688" s="36">
        <v>0</v>
      </c>
      <c r="DC688" s="36">
        <v>0</v>
      </c>
      <c r="DD688" s="36">
        <v>0</v>
      </c>
      <c r="DE688" s="36">
        <v>0</v>
      </c>
      <c r="DF688" s="36">
        <v>0</v>
      </c>
      <c r="DG688" s="36">
        <v>0</v>
      </c>
      <c r="DH688" s="36">
        <v>0</v>
      </c>
      <c r="DI688" s="36">
        <v>0</v>
      </c>
      <c r="DJ688" s="36">
        <v>0</v>
      </c>
      <c r="DK688" s="36">
        <v>0</v>
      </c>
      <c r="DL688" s="36">
        <v>0</v>
      </c>
      <c r="DM688" s="36">
        <v>0</v>
      </c>
      <c r="DN688" s="36">
        <v>0</v>
      </c>
      <c r="DO688" s="36">
        <v>0</v>
      </c>
      <c r="DP688" s="36">
        <v>0</v>
      </c>
      <c r="DQ688" s="36">
        <v>0</v>
      </c>
      <c r="DR688" s="36">
        <v>0</v>
      </c>
      <c r="DS688" s="36">
        <v>0</v>
      </c>
      <c r="DT688" s="36">
        <v>0</v>
      </c>
      <c r="DU688" s="36">
        <v>0</v>
      </c>
      <c r="DV688" s="36">
        <v>0</v>
      </c>
      <c r="DW688" s="36">
        <v>0</v>
      </c>
      <c r="DX688" s="36">
        <v>0</v>
      </c>
      <c r="DY688" s="36">
        <v>0</v>
      </c>
      <c r="DZ688" s="36">
        <v>0</v>
      </c>
      <c r="EA688" s="36">
        <v>0</v>
      </c>
      <c r="EB688" s="36">
        <v>0</v>
      </c>
      <c r="EC688" s="36">
        <v>0</v>
      </c>
      <c r="ED688" s="36">
        <v>0</v>
      </c>
      <c r="EE688" s="36">
        <v>0</v>
      </c>
      <c r="EF688" s="36">
        <v>0</v>
      </c>
      <c r="EG688" s="36">
        <v>0</v>
      </c>
      <c r="EH688" s="36">
        <v>0</v>
      </c>
      <c r="EI688" s="36">
        <v>0</v>
      </c>
      <c r="EJ688" s="36">
        <v>0</v>
      </c>
      <c r="EK688" s="36">
        <v>0</v>
      </c>
      <c r="EL688" s="36">
        <v>0</v>
      </c>
      <c r="EM688" s="36">
        <v>0</v>
      </c>
      <c r="EN688" s="36">
        <v>0</v>
      </c>
      <c r="EO688" s="36">
        <v>0</v>
      </c>
      <c r="EP688" s="36">
        <v>0</v>
      </c>
      <c r="EQ688" s="36">
        <v>0</v>
      </c>
      <c r="ER688" s="36">
        <v>0</v>
      </c>
      <c r="ES688" s="36">
        <v>0</v>
      </c>
      <c r="ET688" s="36">
        <v>0</v>
      </c>
      <c r="EU688" s="36">
        <v>0</v>
      </c>
      <c r="EV688" s="36">
        <v>0</v>
      </c>
      <c r="EW688" s="36">
        <v>0</v>
      </c>
      <c r="EX688" s="36">
        <v>0</v>
      </c>
      <c r="EY688" s="36">
        <v>0</v>
      </c>
      <c r="EZ688" s="36">
        <v>0</v>
      </c>
      <c r="FA688" s="36">
        <v>0</v>
      </c>
      <c r="FB688" s="36">
        <v>0</v>
      </c>
      <c r="FC688" s="37">
        <v>0</v>
      </c>
    </row>
    <row r="689" spans="1:159" s="3" customFormat="1" ht="18" customHeight="1" x14ac:dyDescent="0.2">
      <c r="A689" s="140">
        <v>15</v>
      </c>
      <c r="B689" s="263">
        <v>0.51767982805025703</v>
      </c>
      <c r="C689" s="325"/>
      <c r="D689" s="38"/>
      <c r="E689" s="39">
        <v>1</v>
      </c>
      <c r="G689" s="39">
        <v>3</v>
      </c>
      <c r="H689" s="39">
        <v>4</v>
      </c>
      <c r="J689" s="39">
        <v>4</v>
      </c>
      <c r="K689" s="39">
        <v>3</v>
      </c>
      <c r="L689" s="39">
        <v>1</v>
      </c>
      <c r="N689" s="39">
        <v>15</v>
      </c>
      <c r="O689" s="35">
        <v>4</v>
      </c>
      <c r="P689" s="36">
        <v>3</v>
      </c>
      <c r="Q689" s="37">
        <v>1</v>
      </c>
      <c r="T689" s="39">
        <v>15</v>
      </c>
      <c r="U689" s="39">
        <v>7</v>
      </c>
      <c r="V689" s="39">
        <v>4</v>
      </c>
      <c r="W689" s="39">
        <v>1</v>
      </c>
      <c r="Z689" s="39">
        <v>15</v>
      </c>
      <c r="AA689" s="35">
        <v>0</v>
      </c>
      <c r="AB689" s="36">
        <v>0</v>
      </c>
      <c r="AC689" s="36">
        <v>0</v>
      </c>
      <c r="AD689" s="36">
        <v>0</v>
      </c>
      <c r="AE689" s="36">
        <v>0</v>
      </c>
      <c r="AF689" s="36">
        <v>0</v>
      </c>
      <c r="AG689" s="36">
        <v>0</v>
      </c>
      <c r="AH689" s="36">
        <v>0</v>
      </c>
      <c r="AI689" s="36">
        <v>0</v>
      </c>
      <c r="AJ689" s="36">
        <v>0</v>
      </c>
      <c r="AK689" s="36">
        <v>0</v>
      </c>
      <c r="AL689" s="36">
        <v>0</v>
      </c>
      <c r="AM689" s="36">
        <v>0</v>
      </c>
      <c r="AN689" s="36">
        <v>0</v>
      </c>
      <c r="AO689" s="36">
        <v>0</v>
      </c>
      <c r="AP689" s="36">
        <v>0</v>
      </c>
      <c r="AQ689" s="36">
        <v>0</v>
      </c>
      <c r="AR689" s="36">
        <v>0</v>
      </c>
      <c r="AS689" s="36">
        <v>0</v>
      </c>
      <c r="AT689" s="36">
        <v>0</v>
      </c>
      <c r="AU689" s="36">
        <v>0</v>
      </c>
      <c r="AV689" s="36">
        <v>0</v>
      </c>
      <c r="AW689" s="36">
        <v>0</v>
      </c>
      <c r="AX689" s="36">
        <v>0</v>
      </c>
      <c r="AY689" s="36">
        <v>0</v>
      </c>
      <c r="AZ689" s="36">
        <v>0</v>
      </c>
      <c r="BA689" s="36">
        <v>0</v>
      </c>
      <c r="BB689" s="36">
        <v>0</v>
      </c>
      <c r="BC689" s="36">
        <v>0</v>
      </c>
      <c r="BD689" s="36">
        <v>0</v>
      </c>
      <c r="BE689" s="36">
        <v>0</v>
      </c>
      <c r="BF689" s="36">
        <v>0</v>
      </c>
      <c r="BG689" s="36">
        <v>0</v>
      </c>
      <c r="BH689" s="36">
        <v>0</v>
      </c>
      <c r="BI689" s="36">
        <v>0</v>
      </c>
      <c r="BJ689" s="36">
        <v>0</v>
      </c>
      <c r="BK689" s="36">
        <v>1</v>
      </c>
      <c r="BL689" s="36">
        <v>1</v>
      </c>
      <c r="BM689" s="36">
        <v>1</v>
      </c>
      <c r="BN689" s="36">
        <v>0</v>
      </c>
      <c r="BO689" s="36">
        <v>0</v>
      </c>
      <c r="BP689" s="36">
        <v>0</v>
      </c>
      <c r="BQ689" s="36">
        <v>0</v>
      </c>
      <c r="BR689" s="36">
        <v>0</v>
      </c>
      <c r="BS689" s="36">
        <v>0</v>
      </c>
      <c r="BT689" s="36">
        <v>0</v>
      </c>
      <c r="BU689" s="36">
        <v>0</v>
      </c>
      <c r="BV689" s="36">
        <v>0</v>
      </c>
      <c r="BW689" s="36">
        <v>0</v>
      </c>
      <c r="BX689" s="36">
        <v>0</v>
      </c>
      <c r="BY689" s="36">
        <v>0</v>
      </c>
      <c r="BZ689" s="36">
        <v>0</v>
      </c>
      <c r="CA689" s="36">
        <v>0</v>
      </c>
      <c r="CB689" s="36">
        <v>0</v>
      </c>
      <c r="CC689" s="36">
        <v>0</v>
      </c>
      <c r="CD689" s="36">
        <v>0</v>
      </c>
      <c r="CE689" s="36">
        <v>0</v>
      </c>
      <c r="CF689" s="36">
        <v>0</v>
      </c>
      <c r="CG689" s="36">
        <v>0</v>
      </c>
      <c r="CH689" s="36">
        <v>0</v>
      </c>
      <c r="CI689" s="36">
        <v>0</v>
      </c>
      <c r="CJ689" s="36">
        <v>0</v>
      </c>
      <c r="CK689" s="36">
        <v>0</v>
      </c>
      <c r="CL689" s="36">
        <v>0</v>
      </c>
      <c r="CM689" s="36">
        <v>0</v>
      </c>
      <c r="CN689" s="36">
        <v>0</v>
      </c>
      <c r="CO689" s="36">
        <v>0</v>
      </c>
      <c r="CP689" s="36">
        <v>0</v>
      </c>
      <c r="CQ689" s="36">
        <v>0</v>
      </c>
      <c r="CR689" s="36">
        <v>0</v>
      </c>
      <c r="CS689" s="36">
        <v>0</v>
      </c>
      <c r="CT689" s="36">
        <v>0</v>
      </c>
      <c r="CU689" s="36">
        <v>0</v>
      </c>
      <c r="CV689" s="36">
        <v>0</v>
      </c>
      <c r="CW689" s="36">
        <v>0</v>
      </c>
      <c r="CX689" s="36">
        <v>0</v>
      </c>
      <c r="CY689" s="36">
        <v>0</v>
      </c>
      <c r="CZ689" s="36">
        <v>0</v>
      </c>
      <c r="DA689" s="36">
        <v>0</v>
      </c>
      <c r="DB689" s="36">
        <v>0</v>
      </c>
      <c r="DC689" s="36">
        <v>0</v>
      </c>
      <c r="DD689" s="36">
        <v>0</v>
      </c>
      <c r="DE689" s="36">
        <v>0</v>
      </c>
      <c r="DF689" s="36">
        <v>0</v>
      </c>
      <c r="DG689" s="36">
        <v>0</v>
      </c>
      <c r="DH689" s="36">
        <v>0</v>
      </c>
      <c r="DI689" s="36">
        <v>0</v>
      </c>
      <c r="DJ689" s="36">
        <v>0</v>
      </c>
      <c r="DK689" s="36">
        <v>0</v>
      </c>
      <c r="DL689" s="36">
        <v>0</v>
      </c>
      <c r="DM689" s="36">
        <v>0</v>
      </c>
      <c r="DN689" s="36">
        <v>0</v>
      </c>
      <c r="DO689" s="36">
        <v>0</v>
      </c>
      <c r="DP689" s="36">
        <v>0</v>
      </c>
      <c r="DQ689" s="36">
        <v>0</v>
      </c>
      <c r="DR689" s="36">
        <v>0</v>
      </c>
      <c r="DS689" s="36">
        <v>0</v>
      </c>
      <c r="DT689" s="36">
        <v>0</v>
      </c>
      <c r="DU689" s="36">
        <v>0</v>
      </c>
      <c r="DV689" s="36">
        <v>0</v>
      </c>
      <c r="DW689" s="36">
        <v>0</v>
      </c>
      <c r="DX689" s="36">
        <v>0</v>
      </c>
      <c r="DY689" s="36">
        <v>0</v>
      </c>
      <c r="DZ689" s="36">
        <v>0</v>
      </c>
      <c r="EA689" s="36">
        <v>0</v>
      </c>
      <c r="EB689" s="36">
        <v>0</v>
      </c>
      <c r="EC689" s="36">
        <v>0</v>
      </c>
      <c r="ED689" s="36">
        <v>0</v>
      </c>
      <c r="EE689" s="36">
        <v>0</v>
      </c>
      <c r="EF689" s="36">
        <v>0</v>
      </c>
      <c r="EG689" s="36">
        <v>0</v>
      </c>
      <c r="EH689" s="36">
        <v>0</v>
      </c>
      <c r="EI689" s="36">
        <v>0</v>
      </c>
      <c r="EJ689" s="36">
        <v>0</v>
      </c>
      <c r="EK689" s="36">
        <v>0</v>
      </c>
      <c r="EL689" s="36">
        <v>0</v>
      </c>
      <c r="EM689" s="36">
        <v>0</v>
      </c>
      <c r="EN689" s="36">
        <v>0</v>
      </c>
      <c r="EO689" s="36">
        <v>0</v>
      </c>
      <c r="EP689" s="36">
        <v>0</v>
      </c>
      <c r="EQ689" s="36">
        <v>0</v>
      </c>
      <c r="ER689" s="36">
        <v>0</v>
      </c>
      <c r="ES689" s="36">
        <v>0</v>
      </c>
      <c r="ET689" s="36">
        <v>0</v>
      </c>
      <c r="EU689" s="36">
        <v>0</v>
      </c>
      <c r="EV689" s="36">
        <v>0</v>
      </c>
      <c r="EW689" s="36">
        <v>0</v>
      </c>
      <c r="EX689" s="36">
        <v>0</v>
      </c>
      <c r="EY689" s="36">
        <v>0</v>
      </c>
      <c r="EZ689" s="36">
        <v>0</v>
      </c>
      <c r="FA689" s="36">
        <v>0</v>
      </c>
      <c r="FB689" s="36">
        <v>0</v>
      </c>
      <c r="FC689" s="37">
        <v>0</v>
      </c>
    </row>
    <row r="690" spans="1:159" s="3" customFormat="1" ht="18" customHeight="1" x14ac:dyDescent="0.2">
      <c r="A690" s="140">
        <v>16</v>
      </c>
      <c r="B690" s="263">
        <v>0.151977622976398</v>
      </c>
      <c r="C690" s="325"/>
      <c r="D690" s="38"/>
      <c r="E690" s="39">
        <v>1</v>
      </c>
      <c r="G690" s="39">
        <v>4</v>
      </c>
      <c r="H690" s="39">
        <v>4</v>
      </c>
      <c r="J690" s="39">
        <v>4</v>
      </c>
      <c r="K690" s="39">
        <v>4</v>
      </c>
      <c r="L690" s="39">
        <v>1</v>
      </c>
      <c r="N690" s="39">
        <v>16</v>
      </c>
      <c r="O690" s="35">
        <v>4</v>
      </c>
      <c r="P690" s="36">
        <v>4</v>
      </c>
      <c r="Q690" s="37">
        <v>1</v>
      </c>
      <c r="T690" s="39">
        <v>16</v>
      </c>
      <c r="U690" s="39">
        <v>8</v>
      </c>
      <c r="V690" s="39">
        <v>2</v>
      </c>
      <c r="W690" s="39">
        <v>1</v>
      </c>
      <c r="Z690" s="39">
        <v>16</v>
      </c>
      <c r="AA690" s="35">
        <v>0</v>
      </c>
      <c r="AB690" s="36">
        <v>0</v>
      </c>
      <c r="AC690" s="36">
        <v>0</v>
      </c>
      <c r="AD690" s="36">
        <v>0</v>
      </c>
      <c r="AE690" s="36">
        <v>0</v>
      </c>
      <c r="AF690" s="36">
        <v>0</v>
      </c>
      <c r="AG690" s="36">
        <v>0</v>
      </c>
      <c r="AH690" s="36">
        <v>0</v>
      </c>
      <c r="AI690" s="36">
        <v>0</v>
      </c>
      <c r="AJ690" s="36">
        <v>0</v>
      </c>
      <c r="AK690" s="36">
        <v>0</v>
      </c>
      <c r="AL690" s="36">
        <v>0</v>
      </c>
      <c r="AM690" s="36">
        <v>0</v>
      </c>
      <c r="AN690" s="36">
        <v>0</v>
      </c>
      <c r="AO690" s="36">
        <v>0</v>
      </c>
      <c r="AP690" s="36">
        <v>0</v>
      </c>
      <c r="AQ690" s="36">
        <v>0</v>
      </c>
      <c r="AR690" s="36">
        <v>0</v>
      </c>
      <c r="AS690" s="36">
        <v>0</v>
      </c>
      <c r="AT690" s="36">
        <v>0</v>
      </c>
      <c r="AU690" s="36">
        <v>0</v>
      </c>
      <c r="AV690" s="36">
        <v>0</v>
      </c>
      <c r="AW690" s="36">
        <v>0</v>
      </c>
      <c r="AX690" s="36">
        <v>0</v>
      </c>
      <c r="AY690" s="36">
        <v>0</v>
      </c>
      <c r="AZ690" s="36">
        <v>0</v>
      </c>
      <c r="BA690" s="36">
        <v>0</v>
      </c>
      <c r="BB690" s="36">
        <v>0</v>
      </c>
      <c r="BC690" s="36">
        <v>0</v>
      </c>
      <c r="BD690" s="36">
        <v>0</v>
      </c>
      <c r="BE690" s="36">
        <v>0</v>
      </c>
      <c r="BF690" s="36">
        <v>0</v>
      </c>
      <c r="BG690" s="36">
        <v>0</v>
      </c>
      <c r="BH690" s="36">
        <v>0</v>
      </c>
      <c r="BI690" s="36">
        <v>0</v>
      </c>
      <c r="BJ690" s="36">
        <v>0</v>
      </c>
      <c r="BK690" s="36">
        <v>0</v>
      </c>
      <c r="BL690" s="36">
        <v>0</v>
      </c>
      <c r="BM690" s="36">
        <v>0</v>
      </c>
      <c r="BN690" s="36">
        <v>1</v>
      </c>
      <c r="BO690" s="36">
        <v>1</v>
      </c>
      <c r="BP690" s="36">
        <v>1</v>
      </c>
      <c r="BQ690" s="36">
        <v>1</v>
      </c>
      <c r="BR690" s="36">
        <v>0</v>
      </c>
      <c r="BS690" s="36">
        <v>0</v>
      </c>
      <c r="BT690" s="36">
        <v>0</v>
      </c>
      <c r="BU690" s="36">
        <v>0</v>
      </c>
      <c r="BV690" s="36">
        <v>0</v>
      </c>
      <c r="BW690" s="36">
        <v>0</v>
      </c>
      <c r="BX690" s="36">
        <v>0</v>
      </c>
      <c r="BY690" s="36">
        <v>0</v>
      </c>
      <c r="BZ690" s="36">
        <v>0</v>
      </c>
      <c r="CA690" s="36">
        <v>0</v>
      </c>
      <c r="CB690" s="36">
        <v>0</v>
      </c>
      <c r="CC690" s="36">
        <v>0</v>
      </c>
      <c r="CD690" s="36">
        <v>0</v>
      </c>
      <c r="CE690" s="36">
        <v>0</v>
      </c>
      <c r="CF690" s="36">
        <v>0</v>
      </c>
      <c r="CG690" s="36">
        <v>0</v>
      </c>
      <c r="CH690" s="36">
        <v>0</v>
      </c>
      <c r="CI690" s="36">
        <v>0</v>
      </c>
      <c r="CJ690" s="36">
        <v>0</v>
      </c>
      <c r="CK690" s="36">
        <v>0</v>
      </c>
      <c r="CL690" s="36">
        <v>0</v>
      </c>
      <c r="CM690" s="36">
        <v>0</v>
      </c>
      <c r="CN690" s="36">
        <v>0</v>
      </c>
      <c r="CO690" s="36">
        <v>0</v>
      </c>
      <c r="CP690" s="36">
        <v>0</v>
      </c>
      <c r="CQ690" s="36">
        <v>0</v>
      </c>
      <c r="CR690" s="36">
        <v>0</v>
      </c>
      <c r="CS690" s="36">
        <v>0</v>
      </c>
      <c r="CT690" s="36">
        <v>0</v>
      </c>
      <c r="CU690" s="36">
        <v>0</v>
      </c>
      <c r="CV690" s="36">
        <v>0</v>
      </c>
      <c r="CW690" s="36">
        <v>0</v>
      </c>
      <c r="CX690" s="36">
        <v>0</v>
      </c>
      <c r="CY690" s="36">
        <v>0</v>
      </c>
      <c r="CZ690" s="36">
        <v>0</v>
      </c>
      <c r="DA690" s="36">
        <v>0</v>
      </c>
      <c r="DB690" s="36">
        <v>0</v>
      </c>
      <c r="DC690" s="36">
        <v>0</v>
      </c>
      <c r="DD690" s="36">
        <v>0</v>
      </c>
      <c r="DE690" s="36">
        <v>0</v>
      </c>
      <c r="DF690" s="36">
        <v>0</v>
      </c>
      <c r="DG690" s="36">
        <v>0</v>
      </c>
      <c r="DH690" s="36">
        <v>0</v>
      </c>
      <c r="DI690" s="36">
        <v>0</v>
      </c>
      <c r="DJ690" s="36">
        <v>0</v>
      </c>
      <c r="DK690" s="36">
        <v>0</v>
      </c>
      <c r="DL690" s="36">
        <v>0</v>
      </c>
      <c r="DM690" s="36">
        <v>0</v>
      </c>
      <c r="DN690" s="36">
        <v>0</v>
      </c>
      <c r="DO690" s="36">
        <v>0</v>
      </c>
      <c r="DP690" s="36">
        <v>0</v>
      </c>
      <c r="DQ690" s="36">
        <v>0</v>
      </c>
      <c r="DR690" s="36">
        <v>0</v>
      </c>
      <c r="DS690" s="36">
        <v>0</v>
      </c>
      <c r="DT690" s="36">
        <v>0</v>
      </c>
      <c r="DU690" s="36">
        <v>0</v>
      </c>
      <c r="DV690" s="36">
        <v>0</v>
      </c>
      <c r="DW690" s="36">
        <v>0</v>
      </c>
      <c r="DX690" s="36">
        <v>0</v>
      </c>
      <c r="DY690" s="36">
        <v>0</v>
      </c>
      <c r="DZ690" s="36">
        <v>0</v>
      </c>
      <c r="EA690" s="36">
        <v>0</v>
      </c>
      <c r="EB690" s="36">
        <v>0</v>
      </c>
      <c r="EC690" s="36">
        <v>0</v>
      </c>
      <c r="ED690" s="36">
        <v>0</v>
      </c>
      <c r="EE690" s="36">
        <v>0</v>
      </c>
      <c r="EF690" s="36">
        <v>0</v>
      </c>
      <c r="EG690" s="36">
        <v>0</v>
      </c>
      <c r="EH690" s="36">
        <v>0</v>
      </c>
      <c r="EI690" s="36">
        <v>0</v>
      </c>
      <c r="EJ690" s="36">
        <v>0</v>
      </c>
      <c r="EK690" s="36">
        <v>0</v>
      </c>
      <c r="EL690" s="36">
        <v>0</v>
      </c>
      <c r="EM690" s="36">
        <v>0</v>
      </c>
      <c r="EN690" s="36">
        <v>0</v>
      </c>
      <c r="EO690" s="36">
        <v>0</v>
      </c>
      <c r="EP690" s="36">
        <v>0</v>
      </c>
      <c r="EQ690" s="36">
        <v>0</v>
      </c>
      <c r="ER690" s="36">
        <v>0</v>
      </c>
      <c r="ES690" s="36">
        <v>0</v>
      </c>
      <c r="ET690" s="36">
        <v>0</v>
      </c>
      <c r="EU690" s="36">
        <v>0</v>
      </c>
      <c r="EV690" s="36">
        <v>0</v>
      </c>
      <c r="EW690" s="36">
        <v>0</v>
      </c>
      <c r="EX690" s="36">
        <v>0</v>
      </c>
      <c r="EY690" s="36">
        <v>0</v>
      </c>
      <c r="EZ690" s="36">
        <v>0</v>
      </c>
      <c r="FA690" s="36">
        <v>0</v>
      </c>
      <c r="FB690" s="36">
        <v>0</v>
      </c>
      <c r="FC690" s="37">
        <v>0</v>
      </c>
    </row>
    <row r="691" spans="1:159" s="3" customFormat="1" ht="18" customHeight="1" x14ac:dyDescent="0.2">
      <c r="A691" s="140">
        <v>17</v>
      </c>
      <c r="B691" s="263">
        <v>0.151534655091454</v>
      </c>
      <c r="C691" s="325"/>
      <c r="D691" s="38"/>
      <c r="E691" s="39">
        <v>0</v>
      </c>
      <c r="G691" s="39">
        <v>1</v>
      </c>
      <c r="H691" s="39">
        <v>5</v>
      </c>
      <c r="J691" s="39">
        <v>5</v>
      </c>
      <c r="K691" s="39">
        <v>1</v>
      </c>
      <c r="L691" s="39">
        <v>0</v>
      </c>
      <c r="N691" s="39">
        <v>17</v>
      </c>
      <c r="O691" s="35">
        <v>5</v>
      </c>
      <c r="P691" s="36">
        <v>1</v>
      </c>
      <c r="Q691" s="37">
        <v>0</v>
      </c>
      <c r="T691" s="39">
        <v>17</v>
      </c>
      <c r="U691" s="39">
        <v>8</v>
      </c>
      <c r="V691" s="39">
        <v>3</v>
      </c>
      <c r="W691" s="39">
        <v>1</v>
      </c>
      <c r="Z691" s="39">
        <v>17</v>
      </c>
      <c r="AA691" s="35">
        <v>0</v>
      </c>
      <c r="AB691" s="36">
        <v>0</v>
      </c>
      <c r="AC691" s="36">
        <v>0</v>
      </c>
      <c r="AD691" s="36">
        <v>0</v>
      </c>
      <c r="AE691" s="36">
        <v>0</v>
      </c>
      <c r="AF691" s="36">
        <v>0</v>
      </c>
      <c r="AG691" s="36">
        <v>0</v>
      </c>
      <c r="AH691" s="36">
        <v>0</v>
      </c>
      <c r="AI691" s="36">
        <v>0</v>
      </c>
      <c r="AJ691" s="36">
        <v>0</v>
      </c>
      <c r="AK691" s="36">
        <v>0</v>
      </c>
      <c r="AL691" s="36">
        <v>0</v>
      </c>
      <c r="AM691" s="36">
        <v>0</v>
      </c>
      <c r="AN691" s="36">
        <v>0</v>
      </c>
      <c r="AO691" s="36">
        <v>0</v>
      </c>
      <c r="AP691" s="36">
        <v>0</v>
      </c>
      <c r="AQ691" s="36">
        <v>0</v>
      </c>
      <c r="AR691" s="36">
        <v>0</v>
      </c>
      <c r="AS691" s="36">
        <v>0</v>
      </c>
      <c r="AT691" s="36">
        <v>0</v>
      </c>
      <c r="AU691" s="36">
        <v>0</v>
      </c>
      <c r="AV691" s="36">
        <v>0</v>
      </c>
      <c r="AW691" s="36">
        <v>0</v>
      </c>
      <c r="AX691" s="36">
        <v>0</v>
      </c>
      <c r="AY691" s="36">
        <v>0</v>
      </c>
      <c r="AZ691" s="36">
        <v>0</v>
      </c>
      <c r="BA691" s="36">
        <v>0</v>
      </c>
      <c r="BB691" s="36">
        <v>0</v>
      </c>
      <c r="BC691" s="36">
        <v>0</v>
      </c>
      <c r="BD691" s="36">
        <v>0</v>
      </c>
      <c r="BE691" s="36">
        <v>0</v>
      </c>
      <c r="BF691" s="36">
        <v>0</v>
      </c>
      <c r="BG691" s="36">
        <v>0</v>
      </c>
      <c r="BH691" s="36">
        <v>0</v>
      </c>
      <c r="BI691" s="36">
        <v>0</v>
      </c>
      <c r="BJ691" s="36">
        <v>0</v>
      </c>
      <c r="BK691" s="36">
        <v>0</v>
      </c>
      <c r="BL691" s="36">
        <v>0</v>
      </c>
      <c r="BM691" s="36">
        <v>0</v>
      </c>
      <c r="BN691" s="36">
        <v>0</v>
      </c>
      <c r="BO691" s="36">
        <v>0</v>
      </c>
      <c r="BP691" s="36">
        <v>0</v>
      </c>
      <c r="BQ691" s="36">
        <v>0</v>
      </c>
      <c r="BR691" s="36">
        <v>1</v>
      </c>
      <c r="BS691" s="36">
        <v>1</v>
      </c>
      <c r="BT691" s="36">
        <v>1</v>
      </c>
      <c r="BU691" s="36">
        <v>1</v>
      </c>
      <c r="BV691" s="36">
        <v>0</v>
      </c>
      <c r="BW691" s="36">
        <v>0</v>
      </c>
      <c r="BX691" s="36">
        <v>0</v>
      </c>
      <c r="BY691" s="36">
        <v>0</v>
      </c>
      <c r="BZ691" s="36">
        <v>0</v>
      </c>
      <c r="CA691" s="36">
        <v>0</v>
      </c>
      <c r="CB691" s="36">
        <v>0</v>
      </c>
      <c r="CC691" s="36">
        <v>0</v>
      </c>
      <c r="CD691" s="36">
        <v>0</v>
      </c>
      <c r="CE691" s="36">
        <v>0</v>
      </c>
      <c r="CF691" s="36">
        <v>0</v>
      </c>
      <c r="CG691" s="36">
        <v>0</v>
      </c>
      <c r="CH691" s="36">
        <v>0</v>
      </c>
      <c r="CI691" s="36">
        <v>0</v>
      </c>
      <c r="CJ691" s="36">
        <v>0</v>
      </c>
      <c r="CK691" s="36">
        <v>0</v>
      </c>
      <c r="CL691" s="36">
        <v>0</v>
      </c>
      <c r="CM691" s="36">
        <v>0</v>
      </c>
      <c r="CN691" s="36">
        <v>0</v>
      </c>
      <c r="CO691" s="36">
        <v>0</v>
      </c>
      <c r="CP691" s="36">
        <v>0</v>
      </c>
      <c r="CQ691" s="36">
        <v>0</v>
      </c>
      <c r="CR691" s="36">
        <v>0</v>
      </c>
      <c r="CS691" s="36">
        <v>0</v>
      </c>
      <c r="CT691" s="36">
        <v>0</v>
      </c>
      <c r="CU691" s="36">
        <v>0</v>
      </c>
      <c r="CV691" s="36">
        <v>0</v>
      </c>
      <c r="CW691" s="36">
        <v>0</v>
      </c>
      <c r="CX691" s="36">
        <v>0</v>
      </c>
      <c r="CY691" s="36">
        <v>0</v>
      </c>
      <c r="CZ691" s="36">
        <v>0</v>
      </c>
      <c r="DA691" s="36">
        <v>0</v>
      </c>
      <c r="DB691" s="36">
        <v>0</v>
      </c>
      <c r="DC691" s="36">
        <v>0</v>
      </c>
      <c r="DD691" s="36">
        <v>0</v>
      </c>
      <c r="DE691" s="36">
        <v>0</v>
      </c>
      <c r="DF691" s="36">
        <v>0</v>
      </c>
      <c r="DG691" s="36">
        <v>0</v>
      </c>
      <c r="DH691" s="36">
        <v>0</v>
      </c>
      <c r="DI691" s="36">
        <v>0</v>
      </c>
      <c r="DJ691" s="36">
        <v>0</v>
      </c>
      <c r="DK691" s="36">
        <v>0</v>
      </c>
      <c r="DL691" s="36">
        <v>0</v>
      </c>
      <c r="DM691" s="36">
        <v>0</v>
      </c>
      <c r="DN691" s="36">
        <v>0</v>
      </c>
      <c r="DO691" s="36">
        <v>0</v>
      </c>
      <c r="DP691" s="36">
        <v>0</v>
      </c>
      <c r="DQ691" s="36">
        <v>0</v>
      </c>
      <c r="DR691" s="36">
        <v>0</v>
      </c>
      <c r="DS691" s="36">
        <v>0</v>
      </c>
      <c r="DT691" s="36">
        <v>0</v>
      </c>
      <c r="DU691" s="36">
        <v>0</v>
      </c>
      <c r="DV691" s="36">
        <v>0</v>
      </c>
      <c r="DW691" s="36">
        <v>0</v>
      </c>
      <c r="DX691" s="36">
        <v>0</v>
      </c>
      <c r="DY691" s="36">
        <v>0</v>
      </c>
      <c r="DZ691" s="36">
        <v>0</v>
      </c>
      <c r="EA691" s="36">
        <v>0</v>
      </c>
      <c r="EB691" s="36">
        <v>0</v>
      </c>
      <c r="EC691" s="36">
        <v>0</v>
      </c>
      <c r="ED691" s="36">
        <v>0</v>
      </c>
      <c r="EE691" s="36">
        <v>0</v>
      </c>
      <c r="EF691" s="36">
        <v>0</v>
      </c>
      <c r="EG691" s="36">
        <v>0</v>
      </c>
      <c r="EH691" s="36">
        <v>0</v>
      </c>
      <c r="EI691" s="36">
        <v>0</v>
      </c>
      <c r="EJ691" s="36">
        <v>0</v>
      </c>
      <c r="EK691" s="36">
        <v>0</v>
      </c>
      <c r="EL691" s="36">
        <v>0</v>
      </c>
      <c r="EM691" s="36">
        <v>0</v>
      </c>
      <c r="EN691" s="36">
        <v>0</v>
      </c>
      <c r="EO691" s="36">
        <v>0</v>
      </c>
      <c r="EP691" s="36">
        <v>0</v>
      </c>
      <c r="EQ691" s="36">
        <v>0</v>
      </c>
      <c r="ER691" s="36">
        <v>0</v>
      </c>
      <c r="ES691" s="36">
        <v>0</v>
      </c>
      <c r="ET691" s="36">
        <v>0</v>
      </c>
      <c r="EU691" s="36">
        <v>0</v>
      </c>
      <c r="EV691" s="36">
        <v>0</v>
      </c>
      <c r="EW691" s="36">
        <v>0</v>
      </c>
      <c r="EX691" s="36">
        <v>0</v>
      </c>
      <c r="EY691" s="36">
        <v>0</v>
      </c>
      <c r="EZ691" s="36">
        <v>0</v>
      </c>
      <c r="FA691" s="36">
        <v>0</v>
      </c>
      <c r="FB691" s="36">
        <v>0</v>
      </c>
      <c r="FC691" s="37">
        <v>0</v>
      </c>
    </row>
    <row r="692" spans="1:159" s="3" customFormat="1" ht="18" customHeight="1" x14ac:dyDescent="0.2">
      <c r="A692" s="140">
        <v>18</v>
      </c>
      <c r="B692" s="263">
        <v>0.151731505589074</v>
      </c>
      <c r="C692" s="325"/>
      <c r="D692" s="38"/>
      <c r="E692" s="39">
        <v>0</v>
      </c>
      <c r="G692" s="39">
        <v>2</v>
      </c>
      <c r="H692" s="39">
        <v>5</v>
      </c>
      <c r="J692" s="39">
        <v>5</v>
      </c>
      <c r="K692" s="39">
        <v>2</v>
      </c>
      <c r="L692" s="39">
        <v>0</v>
      </c>
      <c r="N692" s="39">
        <v>18</v>
      </c>
      <c r="O692" s="35">
        <v>5</v>
      </c>
      <c r="P692" s="36">
        <v>2</v>
      </c>
      <c r="Q692" s="37">
        <v>0</v>
      </c>
      <c r="T692" s="39">
        <v>18</v>
      </c>
      <c r="U692" s="39">
        <v>8</v>
      </c>
      <c r="V692" s="39">
        <v>4</v>
      </c>
      <c r="W692" s="39">
        <v>1</v>
      </c>
      <c r="Z692" s="39">
        <v>18</v>
      </c>
      <c r="AA692" s="35">
        <v>0</v>
      </c>
      <c r="AB692" s="36">
        <v>0</v>
      </c>
      <c r="AC692" s="36">
        <v>0</v>
      </c>
      <c r="AD692" s="36">
        <v>0</v>
      </c>
      <c r="AE692" s="36">
        <v>0</v>
      </c>
      <c r="AF692" s="36">
        <v>0</v>
      </c>
      <c r="AG692" s="36">
        <v>0</v>
      </c>
      <c r="AH692" s="36">
        <v>0</v>
      </c>
      <c r="AI692" s="36">
        <v>0</v>
      </c>
      <c r="AJ692" s="36">
        <v>0</v>
      </c>
      <c r="AK692" s="36">
        <v>0</v>
      </c>
      <c r="AL692" s="36">
        <v>0</v>
      </c>
      <c r="AM692" s="36">
        <v>0</v>
      </c>
      <c r="AN692" s="36">
        <v>0</v>
      </c>
      <c r="AO692" s="36">
        <v>0</v>
      </c>
      <c r="AP692" s="36">
        <v>0</v>
      </c>
      <c r="AQ692" s="36">
        <v>0</v>
      </c>
      <c r="AR692" s="36">
        <v>0</v>
      </c>
      <c r="AS692" s="36">
        <v>0</v>
      </c>
      <c r="AT692" s="36">
        <v>0</v>
      </c>
      <c r="AU692" s="36">
        <v>0</v>
      </c>
      <c r="AV692" s="36">
        <v>0</v>
      </c>
      <c r="AW692" s="36">
        <v>0</v>
      </c>
      <c r="AX692" s="36">
        <v>0</v>
      </c>
      <c r="AY692" s="36">
        <v>0</v>
      </c>
      <c r="AZ692" s="36">
        <v>0</v>
      </c>
      <c r="BA692" s="36">
        <v>0</v>
      </c>
      <c r="BB692" s="36">
        <v>0</v>
      </c>
      <c r="BC692" s="36">
        <v>0</v>
      </c>
      <c r="BD692" s="36">
        <v>0</v>
      </c>
      <c r="BE692" s="36">
        <v>0</v>
      </c>
      <c r="BF692" s="36">
        <v>0</v>
      </c>
      <c r="BG692" s="36">
        <v>0</v>
      </c>
      <c r="BH692" s="36">
        <v>0</v>
      </c>
      <c r="BI692" s="36">
        <v>0</v>
      </c>
      <c r="BJ692" s="36">
        <v>0</v>
      </c>
      <c r="BK692" s="36">
        <v>0</v>
      </c>
      <c r="BL692" s="36">
        <v>0</v>
      </c>
      <c r="BM692" s="36">
        <v>0</v>
      </c>
      <c r="BN692" s="36">
        <v>0</v>
      </c>
      <c r="BO692" s="36">
        <v>0</v>
      </c>
      <c r="BP692" s="36">
        <v>0</v>
      </c>
      <c r="BQ692" s="36">
        <v>0</v>
      </c>
      <c r="BR692" s="36">
        <v>0</v>
      </c>
      <c r="BS692" s="36">
        <v>0</v>
      </c>
      <c r="BT692" s="36">
        <v>0</v>
      </c>
      <c r="BU692" s="36">
        <v>0</v>
      </c>
      <c r="BV692" s="36">
        <v>1</v>
      </c>
      <c r="BW692" s="36">
        <v>1</v>
      </c>
      <c r="BX692" s="36">
        <v>1</v>
      </c>
      <c r="BY692" s="36">
        <v>1</v>
      </c>
      <c r="BZ692" s="36">
        <v>0</v>
      </c>
      <c r="CA692" s="36">
        <v>0</v>
      </c>
      <c r="CB692" s="36">
        <v>0</v>
      </c>
      <c r="CC692" s="36">
        <v>0</v>
      </c>
      <c r="CD692" s="36">
        <v>0</v>
      </c>
      <c r="CE692" s="36">
        <v>0</v>
      </c>
      <c r="CF692" s="36">
        <v>0</v>
      </c>
      <c r="CG692" s="36">
        <v>0</v>
      </c>
      <c r="CH692" s="36">
        <v>0</v>
      </c>
      <c r="CI692" s="36">
        <v>0</v>
      </c>
      <c r="CJ692" s="36">
        <v>0</v>
      </c>
      <c r="CK692" s="36">
        <v>0</v>
      </c>
      <c r="CL692" s="36">
        <v>0</v>
      </c>
      <c r="CM692" s="36">
        <v>0</v>
      </c>
      <c r="CN692" s="36">
        <v>0</v>
      </c>
      <c r="CO692" s="36">
        <v>0</v>
      </c>
      <c r="CP692" s="36">
        <v>0</v>
      </c>
      <c r="CQ692" s="36">
        <v>0</v>
      </c>
      <c r="CR692" s="36">
        <v>0</v>
      </c>
      <c r="CS692" s="36">
        <v>0</v>
      </c>
      <c r="CT692" s="36">
        <v>0</v>
      </c>
      <c r="CU692" s="36">
        <v>0</v>
      </c>
      <c r="CV692" s="36">
        <v>0</v>
      </c>
      <c r="CW692" s="36">
        <v>0</v>
      </c>
      <c r="CX692" s="36">
        <v>0</v>
      </c>
      <c r="CY692" s="36">
        <v>0</v>
      </c>
      <c r="CZ692" s="36">
        <v>0</v>
      </c>
      <c r="DA692" s="36">
        <v>0</v>
      </c>
      <c r="DB692" s="36">
        <v>0</v>
      </c>
      <c r="DC692" s="36">
        <v>0</v>
      </c>
      <c r="DD692" s="36">
        <v>0</v>
      </c>
      <c r="DE692" s="36">
        <v>0</v>
      </c>
      <c r="DF692" s="36">
        <v>0</v>
      </c>
      <c r="DG692" s="36">
        <v>0</v>
      </c>
      <c r="DH692" s="36">
        <v>0</v>
      </c>
      <c r="DI692" s="36">
        <v>0</v>
      </c>
      <c r="DJ692" s="36">
        <v>0</v>
      </c>
      <c r="DK692" s="36">
        <v>0</v>
      </c>
      <c r="DL692" s="36">
        <v>0</v>
      </c>
      <c r="DM692" s="36">
        <v>0</v>
      </c>
      <c r="DN692" s="36">
        <v>0</v>
      </c>
      <c r="DO692" s="36">
        <v>0</v>
      </c>
      <c r="DP692" s="36">
        <v>0</v>
      </c>
      <c r="DQ692" s="36">
        <v>0</v>
      </c>
      <c r="DR692" s="36">
        <v>0</v>
      </c>
      <c r="DS692" s="36">
        <v>0</v>
      </c>
      <c r="DT692" s="36">
        <v>0</v>
      </c>
      <c r="DU692" s="36">
        <v>0</v>
      </c>
      <c r="DV692" s="36">
        <v>0</v>
      </c>
      <c r="DW692" s="36">
        <v>0</v>
      </c>
      <c r="DX692" s="36">
        <v>0</v>
      </c>
      <c r="DY692" s="36">
        <v>0</v>
      </c>
      <c r="DZ692" s="36">
        <v>0</v>
      </c>
      <c r="EA692" s="36">
        <v>0</v>
      </c>
      <c r="EB692" s="36">
        <v>0</v>
      </c>
      <c r="EC692" s="36">
        <v>0</v>
      </c>
      <c r="ED692" s="36">
        <v>0</v>
      </c>
      <c r="EE692" s="36">
        <v>0</v>
      </c>
      <c r="EF692" s="36">
        <v>0</v>
      </c>
      <c r="EG692" s="36">
        <v>0</v>
      </c>
      <c r="EH692" s="36">
        <v>0</v>
      </c>
      <c r="EI692" s="36">
        <v>0</v>
      </c>
      <c r="EJ692" s="36">
        <v>0</v>
      </c>
      <c r="EK692" s="36">
        <v>0</v>
      </c>
      <c r="EL692" s="36">
        <v>0</v>
      </c>
      <c r="EM692" s="36">
        <v>0</v>
      </c>
      <c r="EN692" s="36">
        <v>0</v>
      </c>
      <c r="EO692" s="36">
        <v>0</v>
      </c>
      <c r="EP692" s="36">
        <v>0</v>
      </c>
      <c r="EQ692" s="36">
        <v>0</v>
      </c>
      <c r="ER692" s="36">
        <v>0</v>
      </c>
      <c r="ES692" s="36">
        <v>0</v>
      </c>
      <c r="ET692" s="36">
        <v>0</v>
      </c>
      <c r="EU692" s="36">
        <v>0</v>
      </c>
      <c r="EV692" s="36">
        <v>0</v>
      </c>
      <c r="EW692" s="36">
        <v>0</v>
      </c>
      <c r="EX692" s="36">
        <v>0</v>
      </c>
      <c r="EY692" s="36">
        <v>0</v>
      </c>
      <c r="EZ692" s="36">
        <v>0</v>
      </c>
      <c r="FA692" s="36">
        <v>0</v>
      </c>
      <c r="FB692" s="36">
        <v>0</v>
      </c>
      <c r="FC692" s="37">
        <v>0</v>
      </c>
    </row>
    <row r="693" spans="1:159" s="3" customFormat="1" ht="18" customHeight="1" x14ac:dyDescent="0.2">
      <c r="A693" s="140">
        <v>19</v>
      </c>
      <c r="B693" s="263">
        <v>0.151875088649435</v>
      </c>
      <c r="C693" s="325"/>
      <c r="D693" s="38"/>
      <c r="E693" s="39">
        <v>1</v>
      </c>
      <c r="G693" s="39">
        <v>3</v>
      </c>
      <c r="H693" s="39">
        <v>5</v>
      </c>
      <c r="J693" s="39">
        <v>5</v>
      </c>
      <c r="K693" s="39">
        <v>3</v>
      </c>
      <c r="L693" s="39">
        <v>1</v>
      </c>
      <c r="N693" s="39">
        <v>19</v>
      </c>
      <c r="O693" s="35">
        <v>5</v>
      </c>
      <c r="P693" s="36">
        <v>3</v>
      </c>
      <c r="Q693" s="37">
        <v>1</v>
      </c>
      <c r="T693" s="39">
        <v>19</v>
      </c>
      <c r="U693" s="39">
        <v>9</v>
      </c>
      <c r="V693" s="39">
        <v>2</v>
      </c>
      <c r="W693" s="39">
        <v>1</v>
      </c>
      <c r="Z693" s="39">
        <v>19</v>
      </c>
      <c r="AA693" s="35">
        <v>0</v>
      </c>
      <c r="AB693" s="36">
        <v>0</v>
      </c>
      <c r="AC693" s="36">
        <v>0</v>
      </c>
      <c r="AD693" s="36">
        <v>0</v>
      </c>
      <c r="AE693" s="36">
        <v>0</v>
      </c>
      <c r="AF693" s="36">
        <v>0</v>
      </c>
      <c r="AG693" s="36">
        <v>0</v>
      </c>
      <c r="AH693" s="36">
        <v>0</v>
      </c>
      <c r="AI693" s="36">
        <v>0</v>
      </c>
      <c r="AJ693" s="36">
        <v>0</v>
      </c>
      <c r="AK693" s="36">
        <v>0</v>
      </c>
      <c r="AL693" s="36">
        <v>0</v>
      </c>
      <c r="AM693" s="36">
        <v>0</v>
      </c>
      <c r="AN693" s="36">
        <v>0</v>
      </c>
      <c r="AO693" s="36">
        <v>0</v>
      </c>
      <c r="AP693" s="36">
        <v>0</v>
      </c>
      <c r="AQ693" s="36">
        <v>0</v>
      </c>
      <c r="AR693" s="36">
        <v>0</v>
      </c>
      <c r="AS693" s="36">
        <v>0</v>
      </c>
      <c r="AT693" s="36">
        <v>0</v>
      </c>
      <c r="AU693" s="36">
        <v>0</v>
      </c>
      <c r="AV693" s="36">
        <v>0</v>
      </c>
      <c r="AW693" s="36">
        <v>0</v>
      </c>
      <c r="AX693" s="36">
        <v>0</v>
      </c>
      <c r="AY693" s="36">
        <v>0</v>
      </c>
      <c r="AZ693" s="36">
        <v>0</v>
      </c>
      <c r="BA693" s="36">
        <v>0</v>
      </c>
      <c r="BB693" s="36">
        <v>0</v>
      </c>
      <c r="BC693" s="36">
        <v>0</v>
      </c>
      <c r="BD693" s="36">
        <v>0</v>
      </c>
      <c r="BE693" s="36">
        <v>0</v>
      </c>
      <c r="BF693" s="36">
        <v>0</v>
      </c>
      <c r="BG693" s="36">
        <v>0</v>
      </c>
      <c r="BH693" s="36">
        <v>0</v>
      </c>
      <c r="BI693" s="36">
        <v>0</v>
      </c>
      <c r="BJ693" s="36">
        <v>0</v>
      </c>
      <c r="BK693" s="36">
        <v>0</v>
      </c>
      <c r="BL693" s="36">
        <v>0</v>
      </c>
      <c r="BM693" s="36">
        <v>0</v>
      </c>
      <c r="BN693" s="36">
        <v>0</v>
      </c>
      <c r="BO693" s="36">
        <v>0</v>
      </c>
      <c r="BP693" s="36">
        <v>0</v>
      </c>
      <c r="BQ693" s="36">
        <v>0</v>
      </c>
      <c r="BR693" s="36">
        <v>0</v>
      </c>
      <c r="BS693" s="36">
        <v>0</v>
      </c>
      <c r="BT693" s="36">
        <v>0</v>
      </c>
      <c r="BU693" s="36">
        <v>0</v>
      </c>
      <c r="BV693" s="36">
        <v>0</v>
      </c>
      <c r="BW693" s="36">
        <v>0</v>
      </c>
      <c r="BX693" s="36">
        <v>0</v>
      </c>
      <c r="BY693" s="36">
        <v>0</v>
      </c>
      <c r="BZ693" s="36">
        <v>1</v>
      </c>
      <c r="CA693" s="36">
        <v>1</v>
      </c>
      <c r="CB693" s="36">
        <v>1</v>
      </c>
      <c r="CC693" s="36">
        <v>1</v>
      </c>
      <c r="CD693" s="36">
        <v>0</v>
      </c>
      <c r="CE693" s="36">
        <v>0</v>
      </c>
      <c r="CF693" s="36">
        <v>0</v>
      </c>
      <c r="CG693" s="36">
        <v>0</v>
      </c>
      <c r="CH693" s="36">
        <v>0</v>
      </c>
      <c r="CI693" s="36">
        <v>0</v>
      </c>
      <c r="CJ693" s="36">
        <v>0</v>
      </c>
      <c r="CK693" s="36">
        <v>0</v>
      </c>
      <c r="CL693" s="36">
        <v>0</v>
      </c>
      <c r="CM693" s="36">
        <v>0</v>
      </c>
      <c r="CN693" s="36">
        <v>0</v>
      </c>
      <c r="CO693" s="36">
        <v>0</v>
      </c>
      <c r="CP693" s="36">
        <v>0</v>
      </c>
      <c r="CQ693" s="36">
        <v>0</v>
      </c>
      <c r="CR693" s="36">
        <v>0</v>
      </c>
      <c r="CS693" s="36">
        <v>0</v>
      </c>
      <c r="CT693" s="36">
        <v>0</v>
      </c>
      <c r="CU693" s="36">
        <v>0</v>
      </c>
      <c r="CV693" s="36">
        <v>0</v>
      </c>
      <c r="CW693" s="36">
        <v>0</v>
      </c>
      <c r="CX693" s="36">
        <v>0</v>
      </c>
      <c r="CY693" s="36">
        <v>0</v>
      </c>
      <c r="CZ693" s="36">
        <v>0</v>
      </c>
      <c r="DA693" s="36">
        <v>0</v>
      </c>
      <c r="DB693" s="36">
        <v>0</v>
      </c>
      <c r="DC693" s="36">
        <v>0</v>
      </c>
      <c r="DD693" s="36">
        <v>0</v>
      </c>
      <c r="DE693" s="36">
        <v>0</v>
      </c>
      <c r="DF693" s="36">
        <v>0</v>
      </c>
      <c r="DG693" s="36">
        <v>0</v>
      </c>
      <c r="DH693" s="36">
        <v>0</v>
      </c>
      <c r="DI693" s="36">
        <v>0</v>
      </c>
      <c r="DJ693" s="36">
        <v>0</v>
      </c>
      <c r="DK693" s="36">
        <v>0</v>
      </c>
      <c r="DL693" s="36">
        <v>0</v>
      </c>
      <c r="DM693" s="36">
        <v>0</v>
      </c>
      <c r="DN693" s="36">
        <v>0</v>
      </c>
      <c r="DO693" s="36">
        <v>0</v>
      </c>
      <c r="DP693" s="36">
        <v>0</v>
      </c>
      <c r="DQ693" s="36">
        <v>0</v>
      </c>
      <c r="DR693" s="36">
        <v>0</v>
      </c>
      <c r="DS693" s="36">
        <v>0</v>
      </c>
      <c r="DT693" s="36">
        <v>0</v>
      </c>
      <c r="DU693" s="36">
        <v>0</v>
      </c>
      <c r="DV693" s="36">
        <v>0</v>
      </c>
      <c r="DW693" s="36">
        <v>0</v>
      </c>
      <c r="DX693" s="36">
        <v>0</v>
      </c>
      <c r="DY693" s="36">
        <v>0</v>
      </c>
      <c r="DZ693" s="36">
        <v>0</v>
      </c>
      <c r="EA693" s="36">
        <v>0</v>
      </c>
      <c r="EB693" s="36">
        <v>0</v>
      </c>
      <c r="EC693" s="36">
        <v>0</v>
      </c>
      <c r="ED693" s="36">
        <v>0</v>
      </c>
      <c r="EE693" s="36">
        <v>0</v>
      </c>
      <c r="EF693" s="36">
        <v>0</v>
      </c>
      <c r="EG693" s="36">
        <v>0</v>
      </c>
      <c r="EH693" s="36">
        <v>0</v>
      </c>
      <c r="EI693" s="36">
        <v>0</v>
      </c>
      <c r="EJ693" s="36">
        <v>0</v>
      </c>
      <c r="EK693" s="36">
        <v>0</v>
      </c>
      <c r="EL693" s="36">
        <v>0</v>
      </c>
      <c r="EM693" s="36">
        <v>0</v>
      </c>
      <c r="EN693" s="36">
        <v>0</v>
      </c>
      <c r="EO693" s="36">
        <v>0</v>
      </c>
      <c r="EP693" s="36">
        <v>0</v>
      </c>
      <c r="EQ693" s="36">
        <v>0</v>
      </c>
      <c r="ER693" s="36">
        <v>0</v>
      </c>
      <c r="ES693" s="36">
        <v>0</v>
      </c>
      <c r="ET693" s="36">
        <v>0</v>
      </c>
      <c r="EU693" s="36">
        <v>0</v>
      </c>
      <c r="EV693" s="36">
        <v>0</v>
      </c>
      <c r="EW693" s="36">
        <v>0</v>
      </c>
      <c r="EX693" s="36">
        <v>0</v>
      </c>
      <c r="EY693" s="36">
        <v>0</v>
      </c>
      <c r="EZ693" s="36">
        <v>0</v>
      </c>
      <c r="FA693" s="36">
        <v>0</v>
      </c>
      <c r="FB693" s="36">
        <v>0</v>
      </c>
      <c r="FC693" s="37">
        <v>0</v>
      </c>
    </row>
    <row r="694" spans="1:159" s="3" customFormat="1" ht="18" customHeight="1" x14ac:dyDescent="0.2">
      <c r="A694" s="140">
        <v>20</v>
      </c>
      <c r="B694" s="263">
        <v>0.151506615742831</v>
      </c>
      <c r="C694" s="325"/>
      <c r="D694" s="38"/>
      <c r="E694" s="39">
        <v>1</v>
      </c>
      <c r="G694" s="39">
        <v>4</v>
      </c>
      <c r="H694" s="39">
        <v>5</v>
      </c>
      <c r="J694" s="39">
        <v>5</v>
      </c>
      <c r="K694" s="39">
        <v>4</v>
      </c>
      <c r="L694" s="39">
        <v>1</v>
      </c>
      <c r="N694" s="39">
        <v>20</v>
      </c>
      <c r="O694" s="35">
        <v>5</v>
      </c>
      <c r="P694" s="36">
        <v>4</v>
      </c>
      <c r="Q694" s="37">
        <v>1</v>
      </c>
      <c r="T694" s="39">
        <v>20</v>
      </c>
      <c r="U694" s="39">
        <v>9</v>
      </c>
      <c r="V694" s="39">
        <v>3</v>
      </c>
      <c r="W694" s="39">
        <v>1</v>
      </c>
      <c r="Z694" s="39">
        <v>20</v>
      </c>
      <c r="AA694" s="35">
        <v>0</v>
      </c>
      <c r="AB694" s="36">
        <v>0</v>
      </c>
      <c r="AC694" s="36">
        <v>0</v>
      </c>
      <c r="AD694" s="36">
        <v>0</v>
      </c>
      <c r="AE694" s="36">
        <v>0</v>
      </c>
      <c r="AF694" s="36">
        <v>0</v>
      </c>
      <c r="AG694" s="36">
        <v>0</v>
      </c>
      <c r="AH694" s="36">
        <v>0</v>
      </c>
      <c r="AI694" s="36">
        <v>0</v>
      </c>
      <c r="AJ694" s="36">
        <v>0</v>
      </c>
      <c r="AK694" s="36">
        <v>0</v>
      </c>
      <c r="AL694" s="36">
        <v>0</v>
      </c>
      <c r="AM694" s="36">
        <v>0</v>
      </c>
      <c r="AN694" s="36">
        <v>0</v>
      </c>
      <c r="AO694" s="36">
        <v>0</v>
      </c>
      <c r="AP694" s="36">
        <v>0</v>
      </c>
      <c r="AQ694" s="36">
        <v>0</v>
      </c>
      <c r="AR694" s="36">
        <v>0</v>
      </c>
      <c r="AS694" s="36">
        <v>0</v>
      </c>
      <c r="AT694" s="36">
        <v>0</v>
      </c>
      <c r="AU694" s="36">
        <v>0</v>
      </c>
      <c r="AV694" s="36">
        <v>0</v>
      </c>
      <c r="AW694" s="36">
        <v>0</v>
      </c>
      <c r="AX694" s="36">
        <v>0</v>
      </c>
      <c r="AY694" s="36">
        <v>0</v>
      </c>
      <c r="AZ694" s="36">
        <v>0</v>
      </c>
      <c r="BA694" s="36">
        <v>0</v>
      </c>
      <c r="BB694" s="36">
        <v>0</v>
      </c>
      <c r="BC694" s="36">
        <v>0</v>
      </c>
      <c r="BD694" s="36">
        <v>0</v>
      </c>
      <c r="BE694" s="36">
        <v>0</v>
      </c>
      <c r="BF694" s="36">
        <v>0</v>
      </c>
      <c r="BG694" s="36">
        <v>0</v>
      </c>
      <c r="BH694" s="36">
        <v>0</v>
      </c>
      <c r="BI694" s="36">
        <v>0</v>
      </c>
      <c r="BJ694" s="36">
        <v>0</v>
      </c>
      <c r="BK694" s="36">
        <v>0</v>
      </c>
      <c r="BL694" s="36">
        <v>0</v>
      </c>
      <c r="BM694" s="36">
        <v>0</v>
      </c>
      <c r="BN694" s="36">
        <v>0</v>
      </c>
      <c r="BO694" s="36">
        <v>0</v>
      </c>
      <c r="BP694" s="36">
        <v>0</v>
      </c>
      <c r="BQ694" s="36">
        <v>0</v>
      </c>
      <c r="BR694" s="36">
        <v>0</v>
      </c>
      <c r="BS694" s="36">
        <v>0</v>
      </c>
      <c r="BT694" s="36">
        <v>0</v>
      </c>
      <c r="BU694" s="36">
        <v>0</v>
      </c>
      <c r="BV694" s="36">
        <v>0</v>
      </c>
      <c r="BW694" s="36">
        <v>0</v>
      </c>
      <c r="BX694" s="36">
        <v>0</v>
      </c>
      <c r="BY694" s="36">
        <v>0</v>
      </c>
      <c r="BZ694" s="36">
        <v>0</v>
      </c>
      <c r="CA694" s="36">
        <v>0</v>
      </c>
      <c r="CB694" s="36">
        <v>0</v>
      </c>
      <c r="CC694" s="36">
        <v>0</v>
      </c>
      <c r="CD694" s="36">
        <v>1</v>
      </c>
      <c r="CE694" s="36">
        <v>1</v>
      </c>
      <c r="CF694" s="36">
        <v>1</v>
      </c>
      <c r="CG694" s="36">
        <v>1</v>
      </c>
      <c r="CH694" s="36">
        <v>0</v>
      </c>
      <c r="CI694" s="36">
        <v>0</v>
      </c>
      <c r="CJ694" s="36">
        <v>0</v>
      </c>
      <c r="CK694" s="36">
        <v>0</v>
      </c>
      <c r="CL694" s="36">
        <v>0</v>
      </c>
      <c r="CM694" s="36">
        <v>0</v>
      </c>
      <c r="CN694" s="36">
        <v>0</v>
      </c>
      <c r="CO694" s="36">
        <v>0</v>
      </c>
      <c r="CP694" s="36">
        <v>0</v>
      </c>
      <c r="CQ694" s="36">
        <v>0</v>
      </c>
      <c r="CR694" s="36">
        <v>0</v>
      </c>
      <c r="CS694" s="36">
        <v>0</v>
      </c>
      <c r="CT694" s="36">
        <v>0</v>
      </c>
      <c r="CU694" s="36">
        <v>0</v>
      </c>
      <c r="CV694" s="36">
        <v>0</v>
      </c>
      <c r="CW694" s="36">
        <v>0</v>
      </c>
      <c r="CX694" s="36">
        <v>0</v>
      </c>
      <c r="CY694" s="36">
        <v>0</v>
      </c>
      <c r="CZ694" s="36">
        <v>0</v>
      </c>
      <c r="DA694" s="36">
        <v>0</v>
      </c>
      <c r="DB694" s="36">
        <v>0</v>
      </c>
      <c r="DC694" s="36">
        <v>0</v>
      </c>
      <c r="DD694" s="36">
        <v>0</v>
      </c>
      <c r="DE694" s="36">
        <v>0</v>
      </c>
      <c r="DF694" s="36">
        <v>0</v>
      </c>
      <c r="DG694" s="36">
        <v>0</v>
      </c>
      <c r="DH694" s="36">
        <v>0</v>
      </c>
      <c r="DI694" s="36">
        <v>0</v>
      </c>
      <c r="DJ694" s="36">
        <v>0</v>
      </c>
      <c r="DK694" s="36">
        <v>0</v>
      </c>
      <c r="DL694" s="36">
        <v>0</v>
      </c>
      <c r="DM694" s="36">
        <v>0</v>
      </c>
      <c r="DN694" s="36">
        <v>0</v>
      </c>
      <c r="DO694" s="36">
        <v>0</v>
      </c>
      <c r="DP694" s="36">
        <v>0</v>
      </c>
      <c r="DQ694" s="36">
        <v>0</v>
      </c>
      <c r="DR694" s="36">
        <v>0</v>
      </c>
      <c r="DS694" s="36">
        <v>0</v>
      </c>
      <c r="DT694" s="36">
        <v>0</v>
      </c>
      <c r="DU694" s="36">
        <v>0</v>
      </c>
      <c r="DV694" s="36">
        <v>0</v>
      </c>
      <c r="DW694" s="36">
        <v>0</v>
      </c>
      <c r="DX694" s="36">
        <v>0</v>
      </c>
      <c r="DY694" s="36">
        <v>0</v>
      </c>
      <c r="DZ694" s="36">
        <v>0</v>
      </c>
      <c r="EA694" s="36">
        <v>0</v>
      </c>
      <c r="EB694" s="36">
        <v>0</v>
      </c>
      <c r="EC694" s="36">
        <v>0</v>
      </c>
      <c r="ED694" s="36">
        <v>0</v>
      </c>
      <c r="EE694" s="36">
        <v>0</v>
      </c>
      <c r="EF694" s="36">
        <v>0</v>
      </c>
      <c r="EG694" s="36">
        <v>0</v>
      </c>
      <c r="EH694" s="36">
        <v>0</v>
      </c>
      <c r="EI694" s="36">
        <v>0</v>
      </c>
      <c r="EJ694" s="36">
        <v>0</v>
      </c>
      <c r="EK694" s="36">
        <v>0</v>
      </c>
      <c r="EL694" s="36">
        <v>0</v>
      </c>
      <c r="EM694" s="36">
        <v>0</v>
      </c>
      <c r="EN694" s="36">
        <v>0</v>
      </c>
      <c r="EO694" s="36">
        <v>0</v>
      </c>
      <c r="EP694" s="36">
        <v>0</v>
      </c>
      <c r="EQ694" s="36">
        <v>0</v>
      </c>
      <c r="ER694" s="36">
        <v>0</v>
      </c>
      <c r="ES694" s="36">
        <v>0</v>
      </c>
      <c r="ET694" s="36">
        <v>0</v>
      </c>
      <c r="EU694" s="36">
        <v>0</v>
      </c>
      <c r="EV694" s="36">
        <v>0</v>
      </c>
      <c r="EW694" s="36">
        <v>0</v>
      </c>
      <c r="EX694" s="36">
        <v>0</v>
      </c>
      <c r="EY694" s="36">
        <v>0</v>
      </c>
      <c r="EZ694" s="36">
        <v>0</v>
      </c>
      <c r="FA694" s="36">
        <v>0</v>
      </c>
      <c r="FB694" s="36">
        <v>0</v>
      </c>
      <c r="FC694" s="37">
        <v>0</v>
      </c>
    </row>
    <row r="695" spans="1:159" s="3" customFormat="1" ht="18" customHeight="1" x14ac:dyDescent="0.2">
      <c r="A695" s="140">
        <v>21</v>
      </c>
      <c r="B695" s="263">
        <v>0.151897070287493</v>
      </c>
      <c r="C695" s="325"/>
      <c r="D695" s="38"/>
      <c r="E695" s="39">
        <v>0</v>
      </c>
      <c r="G695" s="39">
        <v>1</v>
      </c>
      <c r="H695" s="39">
        <v>6</v>
      </c>
      <c r="J695" s="39">
        <v>6</v>
      </c>
      <c r="K695" s="39">
        <v>1</v>
      </c>
      <c r="L695" s="39">
        <v>0</v>
      </c>
      <c r="N695" s="39">
        <v>21</v>
      </c>
      <c r="O695" s="35">
        <v>6</v>
      </c>
      <c r="P695" s="36">
        <v>1</v>
      </c>
      <c r="Q695" s="37">
        <v>0</v>
      </c>
      <c r="T695" s="39">
        <v>21</v>
      </c>
      <c r="U695" s="39">
        <v>9</v>
      </c>
      <c r="V695" s="39">
        <v>4</v>
      </c>
      <c r="W695" s="39">
        <v>1</v>
      </c>
      <c r="Z695" s="39">
        <v>21</v>
      </c>
      <c r="AA695" s="35">
        <v>0</v>
      </c>
      <c r="AB695" s="36">
        <v>0</v>
      </c>
      <c r="AC695" s="36">
        <v>0</v>
      </c>
      <c r="AD695" s="36">
        <v>0</v>
      </c>
      <c r="AE695" s="36">
        <v>0</v>
      </c>
      <c r="AF695" s="36">
        <v>0</v>
      </c>
      <c r="AG695" s="36">
        <v>0</v>
      </c>
      <c r="AH695" s="36">
        <v>0</v>
      </c>
      <c r="AI695" s="36">
        <v>0</v>
      </c>
      <c r="AJ695" s="36">
        <v>0</v>
      </c>
      <c r="AK695" s="36">
        <v>0</v>
      </c>
      <c r="AL695" s="36">
        <v>0</v>
      </c>
      <c r="AM695" s="36">
        <v>0</v>
      </c>
      <c r="AN695" s="36">
        <v>0</v>
      </c>
      <c r="AO695" s="36">
        <v>0</v>
      </c>
      <c r="AP695" s="36">
        <v>0</v>
      </c>
      <c r="AQ695" s="36">
        <v>0</v>
      </c>
      <c r="AR695" s="36">
        <v>0</v>
      </c>
      <c r="AS695" s="36">
        <v>0</v>
      </c>
      <c r="AT695" s="36">
        <v>0</v>
      </c>
      <c r="AU695" s="36">
        <v>0</v>
      </c>
      <c r="AV695" s="36">
        <v>0</v>
      </c>
      <c r="AW695" s="36">
        <v>0</v>
      </c>
      <c r="AX695" s="36">
        <v>0</v>
      </c>
      <c r="AY695" s="36">
        <v>0</v>
      </c>
      <c r="AZ695" s="36">
        <v>0</v>
      </c>
      <c r="BA695" s="36">
        <v>0</v>
      </c>
      <c r="BB695" s="36">
        <v>0</v>
      </c>
      <c r="BC695" s="36">
        <v>0</v>
      </c>
      <c r="BD695" s="36">
        <v>0</v>
      </c>
      <c r="BE695" s="36">
        <v>0</v>
      </c>
      <c r="BF695" s="36">
        <v>0</v>
      </c>
      <c r="BG695" s="36">
        <v>0</v>
      </c>
      <c r="BH695" s="36">
        <v>0</v>
      </c>
      <c r="BI695" s="36">
        <v>0</v>
      </c>
      <c r="BJ695" s="36">
        <v>0</v>
      </c>
      <c r="BK695" s="36">
        <v>0</v>
      </c>
      <c r="BL695" s="36">
        <v>0</v>
      </c>
      <c r="BM695" s="36">
        <v>0</v>
      </c>
      <c r="BN695" s="36">
        <v>0</v>
      </c>
      <c r="BO695" s="36">
        <v>0</v>
      </c>
      <c r="BP695" s="36">
        <v>0</v>
      </c>
      <c r="BQ695" s="36">
        <v>0</v>
      </c>
      <c r="BR695" s="36">
        <v>0</v>
      </c>
      <c r="BS695" s="36">
        <v>0</v>
      </c>
      <c r="BT695" s="36">
        <v>0</v>
      </c>
      <c r="BU695" s="36">
        <v>0</v>
      </c>
      <c r="BV695" s="36">
        <v>0</v>
      </c>
      <c r="BW695" s="36">
        <v>0</v>
      </c>
      <c r="BX695" s="36">
        <v>0</v>
      </c>
      <c r="BY695" s="36">
        <v>0</v>
      </c>
      <c r="BZ695" s="36">
        <v>0</v>
      </c>
      <c r="CA695" s="36">
        <v>0</v>
      </c>
      <c r="CB695" s="36">
        <v>0</v>
      </c>
      <c r="CC695" s="36">
        <v>0</v>
      </c>
      <c r="CD695" s="36">
        <v>0</v>
      </c>
      <c r="CE695" s="36">
        <v>0</v>
      </c>
      <c r="CF695" s="36">
        <v>0</v>
      </c>
      <c r="CG695" s="36">
        <v>0</v>
      </c>
      <c r="CH695" s="36">
        <v>1</v>
      </c>
      <c r="CI695" s="36">
        <v>1</v>
      </c>
      <c r="CJ695" s="36">
        <v>1</v>
      </c>
      <c r="CK695" s="36">
        <v>1</v>
      </c>
      <c r="CL695" s="36">
        <v>0</v>
      </c>
      <c r="CM695" s="36">
        <v>0</v>
      </c>
      <c r="CN695" s="36">
        <v>0</v>
      </c>
      <c r="CO695" s="36">
        <v>0</v>
      </c>
      <c r="CP695" s="36">
        <v>0</v>
      </c>
      <c r="CQ695" s="36">
        <v>0</v>
      </c>
      <c r="CR695" s="36">
        <v>0</v>
      </c>
      <c r="CS695" s="36">
        <v>0</v>
      </c>
      <c r="CT695" s="36">
        <v>0</v>
      </c>
      <c r="CU695" s="36">
        <v>0</v>
      </c>
      <c r="CV695" s="36">
        <v>0</v>
      </c>
      <c r="CW695" s="36">
        <v>0</v>
      </c>
      <c r="CX695" s="36">
        <v>0</v>
      </c>
      <c r="CY695" s="36">
        <v>0</v>
      </c>
      <c r="CZ695" s="36">
        <v>0</v>
      </c>
      <c r="DA695" s="36">
        <v>0</v>
      </c>
      <c r="DB695" s="36">
        <v>0</v>
      </c>
      <c r="DC695" s="36">
        <v>0</v>
      </c>
      <c r="DD695" s="36">
        <v>0</v>
      </c>
      <c r="DE695" s="36">
        <v>0</v>
      </c>
      <c r="DF695" s="36">
        <v>0</v>
      </c>
      <c r="DG695" s="36">
        <v>0</v>
      </c>
      <c r="DH695" s="36">
        <v>0</v>
      </c>
      <c r="DI695" s="36">
        <v>0</v>
      </c>
      <c r="DJ695" s="36">
        <v>0</v>
      </c>
      <c r="DK695" s="36">
        <v>0</v>
      </c>
      <c r="DL695" s="36">
        <v>0</v>
      </c>
      <c r="DM695" s="36">
        <v>0</v>
      </c>
      <c r="DN695" s="36">
        <v>0</v>
      </c>
      <c r="DO695" s="36">
        <v>0</v>
      </c>
      <c r="DP695" s="36">
        <v>0</v>
      </c>
      <c r="DQ695" s="36">
        <v>0</v>
      </c>
      <c r="DR695" s="36">
        <v>0</v>
      </c>
      <c r="DS695" s="36">
        <v>0</v>
      </c>
      <c r="DT695" s="36">
        <v>0</v>
      </c>
      <c r="DU695" s="36">
        <v>0</v>
      </c>
      <c r="DV695" s="36">
        <v>0</v>
      </c>
      <c r="DW695" s="36">
        <v>0</v>
      </c>
      <c r="DX695" s="36">
        <v>0</v>
      </c>
      <c r="DY695" s="36">
        <v>0</v>
      </c>
      <c r="DZ695" s="36">
        <v>0</v>
      </c>
      <c r="EA695" s="36">
        <v>0</v>
      </c>
      <c r="EB695" s="36">
        <v>0</v>
      </c>
      <c r="EC695" s="36">
        <v>0</v>
      </c>
      <c r="ED695" s="36">
        <v>0</v>
      </c>
      <c r="EE695" s="36">
        <v>0</v>
      </c>
      <c r="EF695" s="36">
        <v>0</v>
      </c>
      <c r="EG695" s="36">
        <v>0</v>
      </c>
      <c r="EH695" s="36">
        <v>0</v>
      </c>
      <c r="EI695" s="36">
        <v>0</v>
      </c>
      <c r="EJ695" s="36">
        <v>0</v>
      </c>
      <c r="EK695" s="36">
        <v>0</v>
      </c>
      <c r="EL695" s="36">
        <v>0</v>
      </c>
      <c r="EM695" s="36">
        <v>0</v>
      </c>
      <c r="EN695" s="36">
        <v>0</v>
      </c>
      <c r="EO695" s="36">
        <v>0</v>
      </c>
      <c r="EP695" s="36">
        <v>0</v>
      </c>
      <c r="EQ695" s="36">
        <v>0</v>
      </c>
      <c r="ER695" s="36">
        <v>0</v>
      </c>
      <c r="ES695" s="36">
        <v>0</v>
      </c>
      <c r="ET695" s="36">
        <v>0</v>
      </c>
      <c r="EU695" s="36">
        <v>0</v>
      </c>
      <c r="EV695" s="36">
        <v>0</v>
      </c>
      <c r="EW695" s="36">
        <v>0</v>
      </c>
      <c r="EX695" s="36">
        <v>0</v>
      </c>
      <c r="EY695" s="36">
        <v>0</v>
      </c>
      <c r="EZ695" s="36">
        <v>0</v>
      </c>
      <c r="FA695" s="36">
        <v>0</v>
      </c>
      <c r="FB695" s="36">
        <v>0</v>
      </c>
      <c r="FC695" s="37">
        <v>0</v>
      </c>
    </row>
    <row r="696" spans="1:159" s="3" customFormat="1" ht="18" customHeight="1" x14ac:dyDescent="0.2">
      <c r="A696" s="140">
        <v>22</v>
      </c>
      <c r="B696" s="263">
        <v>0.15086350144785399</v>
      </c>
      <c r="C696" s="325"/>
      <c r="D696" s="38"/>
      <c r="E696" s="39">
        <v>0</v>
      </c>
      <c r="G696" s="39">
        <v>2</v>
      </c>
      <c r="H696" s="39">
        <v>6</v>
      </c>
      <c r="J696" s="39">
        <v>6</v>
      </c>
      <c r="K696" s="39">
        <v>2</v>
      </c>
      <c r="L696" s="39">
        <v>0</v>
      </c>
      <c r="N696" s="39">
        <v>22</v>
      </c>
      <c r="O696" s="35">
        <v>6</v>
      </c>
      <c r="P696" s="36">
        <v>2</v>
      </c>
      <c r="Q696" s="37">
        <v>0</v>
      </c>
      <c r="T696" s="39">
        <v>22</v>
      </c>
      <c r="U696" s="39">
        <v>10</v>
      </c>
      <c r="V696" s="39">
        <v>2</v>
      </c>
      <c r="W696" s="39">
        <v>1</v>
      </c>
      <c r="Z696" s="39">
        <v>22</v>
      </c>
      <c r="AA696" s="35">
        <v>0</v>
      </c>
      <c r="AB696" s="36">
        <v>0</v>
      </c>
      <c r="AC696" s="36">
        <v>0</v>
      </c>
      <c r="AD696" s="36">
        <v>0</v>
      </c>
      <c r="AE696" s="36">
        <v>0</v>
      </c>
      <c r="AF696" s="36">
        <v>0</v>
      </c>
      <c r="AG696" s="36">
        <v>0</v>
      </c>
      <c r="AH696" s="36">
        <v>0</v>
      </c>
      <c r="AI696" s="36">
        <v>0</v>
      </c>
      <c r="AJ696" s="36">
        <v>0</v>
      </c>
      <c r="AK696" s="36">
        <v>0</v>
      </c>
      <c r="AL696" s="36">
        <v>0</v>
      </c>
      <c r="AM696" s="36">
        <v>0</v>
      </c>
      <c r="AN696" s="36">
        <v>0</v>
      </c>
      <c r="AO696" s="36">
        <v>0</v>
      </c>
      <c r="AP696" s="36">
        <v>0</v>
      </c>
      <c r="AQ696" s="36">
        <v>0</v>
      </c>
      <c r="AR696" s="36">
        <v>0</v>
      </c>
      <c r="AS696" s="36">
        <v>0</v>
      </c>
      <c r="AT696" s="36">
        <v>0</v>
      </c>
      <c r="AU696" s="36">
        <v>0</v>
      </c>
      <c r="AV696" s="36">
        <v>0</v>
      </c>
      <c r="AW696" s="36">
        <v>0</v>
      </c>
      <c r="AX696" s="36">
        <v>0</v>
      </c>
      <c r="AY696" s="36">
        <v>0</v>
      </c>
      <c r="AZ696" s="36">
        <v>0</v>
      </c>
      <c r="BA696" s="36">
        <v>0</v>
      </c>
      <c r="BB696" s="36">
        <v>0</v>
      </c>
      <c r="BC696" s="36">
        <v>0</v>
      </c>
      <c r="BD696" s="36">
        <v>0</v>
      </c>
      <c r="BE696" s="36">
        <v>0</v>
      </c>
      <c r="BF696" s="36">
        <v>0</v>
      </c>
      <c r="BG696" s="36">
        <v>0</v>
      </c>
      <c r="BH696" s="36">
        <v>0</v>
      </c>
      <c r="BI696" s="36">
        <v>0</v>
      </c>
      <c r="BJ696" s="36">
        <v>0</v>
      </c>
      <c r="BK696" s="36">
        <v>0</v>
      </c>
      <c r="BL696" s="36">
        <v>0</v>
      </c>
      <c r="BM696" s="36">
        <v>0</v>
      </c>
      <c r="BN696" s="36">
        <v>0</v>
      </c>
      <c r="BO696" s="36">
        <v>0</v>
      </c>
      <c r="BP696" s="36">
        <v>0</v>
      </c>
      <c r="BQ696" s="36">
        <v>0</v>
      </c>
      <c r="BR696" s="36">
        <v>0</v>
      </c>
      <c r="BS696" s="36">
        <v>0</v>
      </c>
      <c r="BT696" s="36">
        <v>0</v>
      </c>
      <c r="BU696" s="36">
        <v>0</v>
      </c>
      <c r="BV696" s="36">
        <v>0</v>
      </c>
      <c r="BW696" s="36">
        <v>0</v>
      </c>
      <c r="BX696" s="36">
        <v>0</v>
      </c>
      <c r="BY696" s="36">
        <v>0</v>
      </c>
      <c r="BZ696" s="36">
        <v>0</v>
      </c>
      <c r="CA696" s="36">
        <v>0</v>
      </c>
      <c r="CB696" s="36">
        <v>0</v>
      </c>
      <c r="CC696" s="36">
        <v>0</v>
      </c>
      <c r="CD696" s="36">
        <v>0</v>
      </c>
      <c r="CE696" s="36">
        <v>0</v>
      </c>
      <c r="CF696" s="36">
        <v>0</v>
      </c>
      <c r="CG696" s="36">
        <v>0</v>
      </c>
      <c r="CH696" s="36">
        <v>0</v>
      </c>
      <c r="CI696" s="36">
        <v>0</v>
      </c>
      <c r="CJ696" s="36">
        <v>0</v>
      </c>
      <c r="CK696" s="36">
        <v>0</v>
      </c>
      <c r="CL696" s="36">
        <v>1</v>
      </c>
      <c r="CM696" s="36">
        <v>1</v>
      </c>
      <c r="CN696" s="36">
        <v>1</v>
      </c>
      <c r="CO696" s="36">
        <v>1</v>
      </c>
      <c r="CP696" s="36">
        <v>0</v>
      </c>
      <c r="CQ696" s="36">
        <v>0</v>
      </c>
      <c r="CR696" s="36">
        <v>0</v>
      </c>
      <c r="CS696" s="36">
        <v>0</v>
      </c>
      <c r="CT696" s="36">
        <v>0</v>
      </c>
      <c r="CU696" s="36">
        <v>0</v>
      </c>
      <c r="CV696" s="36">
        <v>0</v>
      </c>
      <c r="CW696" s="36">
        <v>0</v>
      </c>
      <c r="CX696" s="36">
        <v>0</v>
      </c>
      <c r="CY696" s="36">
        <v>0</v>
      </c>
      <c r="CZ696" s="36">
        <v>0</v>
      </c>
      <c r="DA696" s="36">
        <v>0</v>
      </c>
      <c r="DB696" s="36">
        <v>0</v>
      </c>
      <c r="DC696" s="36">
        <v>0</v>
      </c>
      <c r="DD696" s="36">
        <v>0</v>
      </c>
      <c r="DE696" s="36">
        <v>0</v>
      </c>
      <c r="DF696" s="36">
        <v>0</v>
      </c>
      <c r="DG696" s="36">
        <v>0</v>
      </c>
      <c r="DH696" s="36">
        <v>0</v>
      </c>
      <c r="DI696" s="36">
        <v>0</v>
      </c>
      <c r="DJ696" s="36">
        <v>0</v>
      </c>
      <c r="DK696" s="36">
        <v>0</v>
      </c>
      <c r="DL696" s="36">
        <v>0</v>
      </c>
      <c r="DM696" s="36">
        <v>0</v>
      </c>
      <c r="DN696" s="36">
        <v>0</v>
      </c>
      <c r="DO696" s="36">
        <v>0</v>
      </c>
      <c r="DP696" s="36">
        <v>0</v>
      </c>
      <c r="DQ696" s="36">
        <v>0</v>
      </c>
      <c r="DR696" s="36">
        <v>0</v>
      </c>
      <c r="DS696" s="36">
        <v>0</v>
      </c>
      <c r="DT696" s="36">
        <v>0</v>
      </c>
      <c r="DU696" s="36">
        <v>0</v>
      </c>
      <c r="DV696" s="36">
        <v>0</v>
      </c>
      <c r="DW696" s="36">
        <v>0</v>
      </c>
      <c r="DX696" s="36">
        <v>0</v>
      </c>
      <c r="DY696" s="36">
        <v>0</v>
      </c>
      <c r="DZ696" s="36">
        <v>0</v>
      </c>
      <c r="EA696" s="36">
        <v>0</v>
      </c>
      <c r="EB696" s="36">
        <v>0</v>
      </c>
      <c r="EC696" s="36">
        <v>0</v>
      </c>
      <c r="ED696" s="36">
        <v>0</v>
      </c>
      <c r="EE696" s="36">
        <v>0</v>
      </c>
      <c r="EF696" s="36">
        <v>0</v>
      </c>
      <c r="EG696" s="36">
        <v>0</v>
      </c>
      <c r="EH696" s="36">
        <v>0</v>
      </c>
      <c r="EI696" s="36">
        <v>0</v>
      </c>
      <c r="EJ696" s="36">
        <v>0</v>
      </c>
      <c r="EK696" s="36">
        <v>0</v>
      </c>
      <c r="EL696" s="36">
        <v>0</v>
      </c>
      <c r="EM696" s="36">
        <v>0</v>
      </c>
      <c r="EN696" s="36">
        <v>0</v>
      </c>
      <c r="EO696" s="36">
        <v>0</v>
      </c>
      <c r="EP696" s="36">
        <v>0</v>
      </c>
      <c r="EQ696" s="36">
        <v>0</v>
      </c>
      <c r="ER696" s="36">
        <v>0</v>
      </c>
      <c r="ES696" s="36">
        <v>0</v>
      </c>
      <c r="ET696" s="36">
        <v>0</v>
      </c>
      <c r="EU696" s="36">
        <v>0</v>
      </c>
      <c r="EV696" s="36">
        <v>0</v>
      </c>
      <c r="EW696" s="36">
        <v>0</v>
      </c>
      <c r="EX696" s="36">
        <v>0</v>
      </c>
      <c r="EY696" s="36">
        <v>0</v>
      </c>
      <c r="EZ696" s="36">
        <v>0</v>
      </c>
      <c r="FA696" s="36">
        <v>0</v>
      </c>
      <c r="FB696" s="36">
        <v>0</v>
      </c>
      <c r="FC696" s="37">
        <v>0</v>
      </c>
    </row>
    <row r="697" spans="1:159" s="3" customFormat="1" ht="18" customHeight="1" x14ac:dyDescent="0.2">
      <c r="A697" s="140">
        <v>23</v>
      </c>
      <c r="B697" s="263">
        <v>0.52102219263578398</v>
      </c>
      <c r="C697" s="325"/>
      <c r="D697" s="38"/>
      <c r="E697" s="39">
        <v>1</v>
      </c>
      <c r="G697" s="39">
        <v>3</v>
      </c>
      <c r="H697" s="39">
        <v>6</v>
      </c>
      <c r="J697" s="39">
        <v>6</v>
      </c>
      <c r="K697" s="39">
        <v>3</v>
      </c>
      <c r="L697" s="39">
        <v>1</v>
      </c>
      <c r="N697" s="39">
        <v>23</v>
      </c>
      <c r="O697" s="35">
        <v>6</v>
      </c>
      <c r="P697" s="36">
        <v>3</v>
      </c>
      <c r="Q697" s="37">
        <v>1</v>
      </c>
      <c r="T697" s="39">
        <v>23</v>
      </c>
      <c r="U697" s="39">
        <v>10</v>
      </c>
      <c r="V697" s="39">
        <v>3</v>
      </c>
      <c r="W697" s="39">
        <v>1</v>
      </c>
      <c r="Z697" s="39">
        <v>23</v>
      </c>
      <c r="AA697" s="35">
        <v>0</v>
      </c>
      <c r="AB697" s="36">
        <v>0</v>
      </c>
      <c r="AC697" s="36">
        <v>0</v>
      </c>
      <c r="AD697" s="36">
        <v>0</v>
      </c>
      <c r="AE697" s="36">
        <v>0</v>
      </c>
      <c r="AF697" s="36">
        <v>0</v>
      </c>
      <c r="AG697" s="36">
        <v>0</v>
      </c>
      <c r="AH697" s="36">
        <v>0</v>
      </c>
      <c r="AI697" s="36">
        <v>0</v>
      </c>
      <c r="AJ697" s="36">
        <v>0</v>
      </c>
      <c r="AK697" s="36">
        <v>0</v>
      </c>
      <c r="AL697" s="36">
        <v>0</v>
      </c>
      <c r="AM697" s="36">
        <v>0</v>
      </c>
      <c r="AN697" s="36">
        <v>0</v>
      </c>
      <c r="AO697" s="36">
        <v>0</v>
      </c>
      <c r="AP697" s="36">
        <v>0</v>
      </c>
      <c r="AQ697" s="36">
        <v>0</v>
      </c>
      <c r="AR697" s="36">
        <v>0</v>
      </c>
      <c r="AS697" s="36">
        <v>0</v>
      </c>
      <c r="AT697" s="36">
        <v>0</v>
      </c>
      <c r="AU697" s="36">
        <v>0</v>
      </c>
      <c r="AV697" s="36">
        <v>0</v>
      </c>
      <c r="AW697" s="36">
        <v>0</v>
      </c>
      <c r="AX697" s="36">
        <v>0</v>
      </c>
      <c r="AY697" s="36">
        <v>0</v>
      </c>
      <c r="AZ697" s="36">
        <v>0</v>
      </c>
      <c r="BA697" s="36">
        <v>0</v>
      </c>
      <c r="BB697" s="36">
        <v>0</v>
      </c>
      <c r="BC697" s="36">
        <v>0</v>
      </c>
      <c r="BD697" s="36">
        <v>0</v>
      </c>
      <c r="BE697" s="36">
        <v>0</v>
      </c>
      <c r="BF697" s="36">
        <v>0</v>
      </c>
      <c r="BG697" s="36">
        <v>0</v>
      </c>
      <c r="BH697" s="36">
        <v>0</v>
      </c>
      <c r="BI697" s="36">
        <v>0</v>
      </c>
      <c r="BJ697" s="36">
        <v>0</v>
      </c>
      <c r="BK697" s="36">
        <v>0</v>
      </c>
      <c r="BL697" s="36">
        <v>0</v>
      </c>
      <c r="BM697" s="36">
        <v>0</v>
      </c>
      <c r="BN697" s="36">
        <v>0</v>
      </c>
      <c r="BO697" s="36">
        <v>0</v>
      </c>
      <c r="BP697" s="36">
        <v>0</v>
      </c>
      <c r="BQ697" s="36">
        <v>0</v>
      </c>
      <c r="BR697" s="36">
        <v>0</v>
      </c>
      <c r="BS697" s="36">
        <v>0</v>
      </c>
      <c r="BT697" s="36">
        <v>0</v>
      </c>
      <c r="BU697" s="36">
        <v>0</v>
      </c>
      <c r="BV697" s="36">
        <v>0</v>
      </c>
      <c r="BW697" s="36">
        <v>0</v>
      </c>
      <c r="BX697" s="36">
        <v>0</v>
      </c>
      <c r="BY697" s="36">
        <v>0</v>
      </c>
      <c r="BZ697" s="36">
        <v>0</v>
      </c>
      <c r="CA697" s="36">
        <v>0</v>
      </c>
      <c r="CB697" s="36">
        <v>0</v>
      </c>
      <c r="CC697" s="36">
        <v>0</v>
      </c>
      <c r="CD697" s="36">
        <v>0</v>
      </c>
      <c r="CE697" s="36">
        <v>0</v>
      </c>
      <c r="CF697" s="36">
        <v>0</v>
      </c>
      <c r="CG697" s="36">
        <v>0</v>
      </c>
      <c r="CH697" s="36">
        <v>0</v>
      </c>
      <c r="CI697" s="36">
        <v>0</v>
      </c>
      <c r="CJ697" s="36">
        <v>0</v>
      </c>
      <c r="CK697" s="36">
        <v>0</v>
      </c>
      <c r="CL697" s="36">
        <v>0</v>
      </c>
      <c r="CM697" s="36">
        <v>0</v>
      </c>
      <c r="CN697" s="36">
        <v>0</v>
      </c>
      <c r="CO697" s="36">
        <v>0</v>
      </c>
      <c r="CP697" s="36">
        <v>1</v>
      </c>
      <c r="CQ697" s="36">
        <v>1</v>
      </c>
      <c r="CR697" s="36">
        <v>1</v>
      </c>
      <c r="CS697" s="36">
        <v>1</v>
      </c>
      <c r="CT697" s="36">
        <v>0</v>
      </c>
      <c r="CU697" s="36">
        <v>0</v>
      </c>
      <c r="CV697" s="36">
        <v>0</v>
      </c>
      <c r="CW697" s="36">
        <v>0</v>
      </c>
      <c r="CX697" s="36">
        <v>0</v>
      </c>
      <c r="CY697" s="36">
        <v>0</v>
      </c>
      <c r="CZ697" s="36">
        <v>0</v>
      </c>
      <c r="DA697" s="36">
        <v>0</v>
      </c>
      <c r="DB697" s="36">
        <v>0</v>
      </c>
      <c r="DC697" s="36">
        <v>0</v>
      </c>
      <c r="DD697" s="36">
        <v>0</v>
      </c>
      <c r="DE697" s="36">
        <v>0</v>
      </c>
      <c r="DF697" s="36">
        <v>0</v>
      </c>
      <c r="DG697" s="36">
        <v>0</v>
      </c>
      <c r="DH697" s="36">
        <v>0</v>
      </c>
      <c r="DI697" s="36">
        <v>0</v>
      </c>
      <c r="DJ697" s="36">
        <v>0</v>
      </c>
      <c r="DK697" s="36">
        <v>0</v>
      </c>
      <c r="DL697" s="36">
        <v>0</v>
      </c>
      <c r="DM697" s="36">
        <v>0</v>
      </c>
      <c r="DN697" s="36">
        <v>0</v>
      </c>
      <c r="DO697" s="36">
        <v>0</v>
      </c>
      <c r="DP697" s="36">
        <v>0</v>
      </c>
      <c r="DQ697" s="36">
        <v>0</v>
      </c>
      <c r="DR697" s="36">
        <v>0</v>
      </c>
      <c r="DS697" s="36">
        <v>0</v>
      </c>
      <c r="DT697" s="36">
        <v>0</v>
      </c>
      <c r="DU697" s="36">
        <v>0</v>
      </c>
      <c r="DV697" s="36">
        <v>0</v>
      </c>
      <c r="DW697" s="36">
        <v>0</v>
      </c>
      <c r="DX697" s="36">
        <v>0</v>
      </c>
      <c r="DY697" s="36">
        <v>0</v>
      </c>
      <c r="DZ697" s="36">
        <v>0</v>
      </c>
      <c r="EA697" s="36">
        <v>0</v>
      </c>
      <c r="EB697" s="36">
        <v>0</v>
      </c>
      <c r="EC697" s="36">
        <v>0</v>
      </c>
      <c r="ED697" s="36">
        <v>0</v>
      </c>
      <c r="EE697" s="36">
        <v>0</v>
      </c>
      <c r="EF697" s="36">
        <v>0</v>
      </c>
      <c r="EG697" s="36">
        <v>0</v>
      </c>
      <c r="EH697" s="36">
        <v>0</v>
      </c>
      <c r="EI697" s="36">
        <v>0</v>
      </c>
      <c r="EJ697" s="36">
        <v>0</v>
      </c>
      <c r="EK697" s="36">
        <v>0</v>
      </c>
      <c r="EL697" s="36">
        <v>0</v>
      </c>
      <c r="EM697" s="36">
        <v>0</v>
      </c>
      <c r="EN697" s="36">
        <v>0</v>
      </c>
      <c r="EO697" s="36">
        <v>0</v>
      </c>
      <c r="EP697" s="36">
        <v>0</v>
      </c>
      <c r="EQ697" s="36">
        <v>0</v>
      </c>
      <c r="ER697" s="36">
        <v>0</v>
      </c>
      <c r="ES697" s="36">
        <v>0</v>
      </c>
      <c r="ET697" s="36">
        <v>0</v>
      </c>
      <c r="EU697" s="36">
        <v>0</v>
      </c>
      <c r="EV697" s="36">
        <v>0</v>
      </c>
      <c r="EW697" s="36">
        <v>0</v>
      </c>
      <c r="EX697" s="36">
        <v>0</v>
      </c>
      <c r="EY697" s="36">
        <v>0</v>
      </c>
      <c r="EZ697" s="36">
        <v>0</v>
      </c>
      <c r="FA697" s="36">
        <v>0</v>
      </c>
      <c r="FB697" s="36">
        <v>0</v>
      </c>
      <c r="FC697" s="37">
        <v>0</v>
      </c>
    </row>
    <row r="698" spans="1:159" s="3" customFormat="1" ht="18" customHeight="1" x14ac:dyDescent="0.2">
      <c r="A698" s="140">
        <v>24</v>
      </c>
      <c r="B698" s="263">
        <v>0.51969328898200395</v>
      </c>
      <c r="C698" s="325"/>
      <c r="D698" s="38"/>
      <c r="E698" s="39">
        <v>1</v>
      </c>
      <c r="G698" s="39">
        <v>4</v>
      </c>
      <c r="H698" s="39">
        <v>6</v>
      </c>
      <c r="J698" s="39">
        <v>6</v>
      </c>
      <c r="K698" s="39">
        <v>4</v>
      </c>
      <c r="L698" s="39">
        <v>1</v>
      </c>
      <c r="N698" s="39">
        <v>24</v>
      </c>
      <c r="O698" s="35">
        <v>6</v>
      </c>
      <c r="P698" s="36">
        <v>4</v>
      </c>
      <c r="Q698" s="37">
        <v>1</v>
      </c>
      <c r="T698" s="39">
        <v>24</v>
      </c>
      <c r="U698" s="39">
        <v>10</v>
      </c>
      <c r="V698" s="39">
        <v>4</v>
      </c>
      <c r="W698" s="39">
        <v>1</v>
      </c>
      <c r="Z698" s="39">
        <v>24</v>
      </c>
      <c r="AA698" s="35">
        <v>0</v>
      </c>
      <c r="AB698" s="36">
        <v>0</v>
      </c>
      <c r="AC698" s="36">
        <v>0</v>
      </c>
      <c r="AD698" s="36">
        <v>0</v>
      </c>
      <c r="AE698" s="36">
        <v>0</v>
      </c>
      <c r="AF698" s="36">
        <v>0</v>
      </c>
      <c r="AG698" s="36">
        <v>0</v>
      </c>
      <c r="AH698" s="36">
        <v>0</v>
      </c>
      <c r="AI698" s="36">
        <v>0</v>
      </c>
      <c r="AJ698" s="36">
        <v>0</v>
      </c>
      <c r="AK698" s="36">
        <v>0</v>
      </c>
      <c r="AL698" s="36">
        <v>0</v>
      </c>
      <c r="AM698" s="36">
        <v>0</v>
      </c>
      <c r="AN698" s="36">
        <v>0</v>
      </c>
      <c r="AO698" s="36">
        <v>0</v>
      </c>
      <c r="AP698" s="36">
        <v>0</v>
      </c>
      <c r="AQ698" s="36">
        <v>0</v>
      </c>
      <c r="AR698" s="36">
        <v>0</v>
      </c>
      <c r="AS698" s="36">
        <v>0</v>
      </c>
      <c r="AT698" s="36">
        <v>0</v>
      </c>
      <c r="AU698" s="36">
        <v>0</v>
      </c>
      <c r="AV698" s="36">
        <v>0</v>
      </c>
      <c r="AW698" s="36">
        <v>0</v>
      </c>
      <c r="AX698" s="36">
        <v>0</v>
      </c>
      <c r="AY698" s="36">
        <v>0</v>
      </c>
      <c r="AZ698" s="36">
        <v>0</v>
      </c>
      <c r="BA698" s="36">
        <v>0</v>
      </c>
      <c r="BB698" s="36">
        <v>0</v>
      </c>
      <c r="BC698" s="36">
        <v>0</v>
      </c>
      <c r="BD698" s="36">
        <v>0</v>
      </c>
      <c r="BE698" s="36">
        <v>0</v>
      </c>
      <c r="BF698" s="36">
        <v>0</v>
      </c>
      <c r="BG698" s="36">
        <v>0</v>
      </c>
      <c r="BH698" s="36">
        <v>0</v>
      </c>
      <c r="BI698" s="36">
        <v>0</v>
      </c>
      <c r="BJ698" s="36">
        <v>0</v>
      </c>
      <c r="BK698" s="36">
        <v>0</v>
      </c>
      <c r="BL698" s="36">
        <v>0</v>
      </c>
      <c r="BM698" s="36">
        <v>0</v>
      </c>
      <c r="BN698" s="36">
        <v>0</v>
      </c>
      <c r="BO698" s="36">
        <v>0</v>
      </c>
      <c r="BP698" s="36">
        <v>0</v>
      </c>
      <c r="BQ698" s="36">
        <v>0</v>
      </c>
      <c r="BR698" s="36">
        <v>0</v>
      </c>
      <c r="BS698" s="36">
        <v>0</v>
      </c>
      <c r="BT698" s="36">
        <v>0</v>
      </c>
      <c r="BU698" s="36">
        <v>0</v>
      </c>
      <c r="BV698" s="36">
        <v>0</v>
      </c>
      <c r="BW698" s="36">
        <v>0</v>
      </c>
      <c r="BX698" s="36">
        <v>0</v>
      </c>
      <c r="BY698" s="36">
        <v>0</v>
      </c>
      <c r="BZ698" s="36">
        <v>0</v>
      </c>
      <c r="CA698" s="36">
        <v>0</v>
      </c>
      <c r="CB698" s="36">
        <v>0</v>
      </c>
      <c r="CC698" s="36">
        <v>0</v>
      </c>
      <c r="CD698" s="36">
        <v>0</v>
      </c>
      <c r="CE698" s="36">
        <v>0</v>
      </c>
      <c r="CF698" s="36">
        <v>0</v>
      </c>
      <c r="CG698" s="36">
        <v>0</v>
      </c>
      <c r="CH698" s="36">
        <v>0</v>
      </c>
      <c r="CI698" s="36">
        <v>0</v>
      </c>
      <c r="CJ698" s="36">
        <v>0</v>
      </c>
      <c r="CK698" s="36">
        <v>0</v>
      </c>
      <c r="CL698" s="36">
        <v>0</v>
      </c>
      <c r="CM698" s="36">
        <v>0</v>
      </c>
      <c r="CN698" s="36">
        <v>0</v>
      </c>
      <c r="CO698" s="36">
        <v>0</v>
      </c>
      <c r="CP698" s="36">
        <v>0</v>
      </c>
      <c r="CQ698" s="36">
        <v>0</v>
      </c>
      <c r="CR698" s="36">
        <v>0</v>
      </c>
      <c r="CS698" s="36">
        <v>0</v>
      </c>
      <c r="CT698" s="36">
        <v>1</v>
      </c>
      <c r="CU698" s="36">
        <v>1</v>
      </c>
      <c r="CV698" s="36">
        <v>1</v>
      </c>
      <c r="CW698" s="36">
        <v>1</v>
      </c>
      <c r="CX698" s="36">
        <v>0</v>
      </c>
      <c r="CY698" s="36">
        <v>0</v>
      </c>
      <c r="CZ698" s="36">
        <v>0</v>
      </c>
      <c r="DA698" s="36">
        <v>0</v>
      </c>
      <c r="DB698" s="36">
        <v>0</v>
      </c>
      <c r="DC698" s="36">
        <v>0</v>
      </c>
      <c r="DD698" s="36">
        <v>0</v>
      </c>
      <c r="DE698" s="36">
        <v>0</v>
      </c>
      <c r="DF698" s="36">
        <v>0</v>
      </c>
      <c r="DG698" s="36">
        <v>0</v>
      </c>
      <c r="DH698" s="36">
        <v>0</v>
      </c>
      <c r="DI698" s="36">
        <v>0</v>
      </c>
      <c r="DJ698" s="36">
        <v>0</v>
      </c>
      <c r="DK698" s="36">
        <v>0</v>
      </c>
      <c r="DL698" s="36">
        <v>0</v>
      </c>
      <c r="DM698" s="36">
        <v>0</v>
      </c>
      <c r="DN698" s="36">
        <v>0</v>
      </c>
      <c r="DO698" s="36">
        <v>0</v>
      </c>
      <c r="DP698" s="36">
        <v>0</v>
      </c>
      <c r="DQ698" s="36">
        <v>0</v>
      </c>
      <c r="DR698" s="36">
        <v>0</v>
      </c>
      <c r="DS698" s="36">
        <v>0</v>
      </c>
      <c r="DT698" s="36">
        <v>0</v>
      </c>
      <c r="DU698" s="36">
        <v>0</v>
      </c>
      <c r="DV698" s="36">
        <v>0</v>
      </c>
      <c r="DW698" s="36">
        <v>0</v>
      </c>
      <c r="DX698" s="36">
        <v>0</v>
      </c>
      <c r="DY698" s="36">
        <v>0</v>
      </c>
      <c r="DZ698" s="36">
        <v>0</v>
      </c>
      <c r="EA698" s="36">
        <v>0</v>
      </c>
      <c r="EB698" s="36">
        <v>0</v>
      </c>
      <c r="EC698" s="36">
        <v>0</v>
      </c>
      <c r="ED698" s="36">
        <v>0</v>
      </c>
      <c r="EE698" s="36">
        <v>0</v>
      </c>
      <c r="EF698" s="36">
        <v>0</v>
      </c>
      <c r="EG698" s="36">
        <v>0</v>
      </c>
      <c r="EH698" s="36">
        <v>0</v>
      </c>
      <c r="EI698" s="36">
        <v>0</v>
      </c>
      <c r="EJ698" s="36">
        <v>0</v>
      </c>
      <c r="EK698" s="36">
        <v>0</v>
      </c>
      <c r="EL698" s="36">
        <v>0</v>
      </c>
      <c r="EM698" s="36">
        <v>0</v>
      </c>
      <c r="EN698" s="36">
        <v>0</v>
      </c>
      <c r="EO698" s="36">
        <v>0</v>
      </c>
      <c r="EP698" s="36">
        <v>0</v>
      </c>
      <c r="EQ698" s="36">
        <v>0</v>
      </c>
      <c r="ER698" s="36">
        <v>0</v>
      </c>
      <c r="ES698" s="36">
        <v>0</v>
      </c>
      <c r="ET698" s="36">
        <v>0</v>
      </c>
      <c r="EU698" s="36">
        <v>0</v>
      </c>
      <c r="EV698" s="36">
        <v>0</v>
      </c>
      <c r="EW698" s="36">
        <v>0</v>
      </c>
      <c r="EX698" s="36">
        <v>0</v>
      </c>
      <c r="EY698" s="36">
        <v>0</v>
      </c>
      <c r="EZ698" s="36">
        <v>0</v>
      </c>
      <c r="FA698" s="36">
        <v>0</v>
      </c>
      <c r="FB698" s="36">
        <v>0</v>
      </c>
      <c r="FC698" s="37">
        <v>0</v>
      </c>
    </row>
    <row r="699" spans="1:159" s="3" customFormat="1" ht="18" customHeight="1" x14ac:dyDescent="0.2">
      <c r="A699" s="140">
        <v>25</v>
      </c>
      <c r="B699" s="263">
        <v>0.52028384047419896</v>
      </c>
      <c r="C699" s="325"/>
      <c r="D699" s="38"/>
      <c r="E699" s="39">
        <v>0</v>
      </c>
      <c r="G699" s="39">
        <v>1</v>
      </c>
      <c r="H699" s="39">
        <v>7</v>
      </c>
      <c r="J699" s="39">
        <v>7</v>
      </c>
      <c r="K699" s="39">
        <v>1</v>
      </c>
      <c r="L699" s="39">
        <v>0</v>
      </c>
      <c r="N699" s="39">
        <v>25</v>
      </c>
      <c r="O699" s="35">
        <v>7</v>
      </c>
      <c r="P699" s="36">
        <v>1</v>
      </c>
      <c r="Q699" s="37">
        <v>0</v>
      </c>
      <c r="T699" s="39">
        <v>25</v>
      </c>
      <c r="U699" s="39">
        <v>11</v>
      </c>
      <c r="V699" s="39">
        <v>2</v>
      </c>
      <c r="W699" s="39">
        <v>1</v>
      </c>
      <c r="Z699" s="39">
        <v>25</v>
      </c>
      <c r="AA699" s="35">
        <v>0</v>
      </c>
      <c r="AB699" s="36">
        <v>0</v>
      </c>
      <c r="AC699" s="36">
        <v>0</v>
      </c>
      <c r="AD699" s="36">
        <v>0</v>
      </c>
      <c r="AE699" s="36">
        <v>0</v>
      </c>
      <c r="AF699" s="36">
        <v>0</v>
      </c>
      <c r="AG699" s="36">
        <v>0</v>
      </c>
      <c r="AH699" s="36">
        <v>0</v>
      </c>
      <c r="AI699" s="36">
        <v>0</v>
      </c>
      <c r="AJ699" s="36">
        <v>0</v>
      </c>
      <c r="AK699" s="36">
        <v>0</v>
      </c>
      <c r="AL699" s="36">
        <v>0</v>
      </c>
      <c r="AM699" s="36">
        <v>0</v>
      </c>
      <c r="AN699" s="36">
        <v>0</v>
      </c>
      <c r="AO699" s="36">
        <v>0</v>
      </c>
      <c r="AP699" s="36">
        <v>0</v>
      </c>
      <c r="AQ699" s="36">
        <v>0</v>
      </c>
      <c r="AR699" s="36">
        <v>0</v>
      </c>
      <c r="AS699" s="36">
        <v>0</v>
      </c>
      <c r="AT699" s="36">
        <v>0</v>
      </c>
      <c r="AU699" s="36">
        <v>0</v>
      </c>
      <c r="AV699" s="36">
        <v>0</v>
      </c>
      <c r="AW699" s="36">
        <v>0</v>
      </c>
      <c r="AX699" s="36">
        <v>0</v>
      </c>
      <c r="AY699" s="36">
        <v>0</v>
      </c>
      <c r="AZ699" s="36">
        <v>0</v>
      </c>
      <c r="BA699" s="36">
        <v>0</v>
      </c>
      <c r="BB699" s="36">
        <v>0</v>
      </c>
      <c r="BC699" s="36">
        <v>0</v>
      </c>
      <c r="BD699" s="36">
        <v>0</v>
      </c>
      <c r="BE699" s="36">
        <v>0</v>
      </c>
      <c r="BF699" s="36">
        <v>0</v>
      </c>
      <c r="BG699" s="36">
        <v>0</v>
      </c>
      <c r="BH699" s="36">
        <v>0</v>
      </c>
      <c r="BI699" s="36">
        <v>0</v>
      </c>
      <c r="BJ699" s="36">
        <v>0</v>
      </c>
      <c r="BK699" s="36">
        <v>0</v>
      </c>
      <c r="BL699" s="36">
        <v>0</v>
      </c>
      <c r="BM699" s="36">
        <v>0</v>
      </c>
      <c r="BN699" s="36">
        <v>0</v>
      </c>
      <c r="BO699" s="36">
        <v>0</v>
      </c>
      <c r="BP699" s="36">
        <v>0</v>
      </c>
      <c r="BQ699" s="36">
        <v>0</v>
      </c>
      <c r="BR699" s="36">
        <v>0</v>
      </c>
      <c r="BS699" s="36">
        <v>0</v>
      </c>
      <c r="BT699" s="36">
        <v>0</v>
      </c>
      <c r="BU699" s="36">
        <v>0</v>
      </c>
      <c r="BV699" s="36">
        <v>0</v>
      </c>
      <c r="BW699" s="36">
        <v>0</v>
      </c>
      <c r="BX699" s="36">
        <v>0</v>
      </c>
      <c r="BY699" s="36">
        <v>0</v>
      </c>
      <c r="BZ699" s="36">
        <v>0</v>
      </c>
      <c r="CA699" s="36">
        <v>0</v>
      </c>
      <c r="CB699" s="36">
        <v>0</v>
      </c>
      <c r="CC699" s="36">
        <v>0</v>
      </c>
      <c r="CD699" s="36">
        <v>0</v>
      </c>
      <c r="CE699" s="36">
        <v>0</v>
      </c>
      <c r="CF699" s="36">
        <v>0</v>
      </c>
      <c r="CG699" s="36">
        <v>0</v>
      </c>
      <c r="CH699" s="36">
        <v>0</v>
      </c>
      <c r="CI699" s="36">
        <v>0</v>
      </c>
      <c r="CJ699" s="36">
        <v>0</v>
      </c>
      <c r="CK699" s="36">
        <v>0</v>
      </c>
      <c r="CL699" s="36">
        <v>0</v>
      </c>
      <c r="CM699" s="36">
        <v>0</v>
      </c>
      <c r="CN699" s="36">
        <v>0</v>
      </c>
      <c r="CO699" s="36">
        <v>0</v>
      </c>
      <c r="CP699" s="36">
        <v>0</v>
      </c>
      <c r="CQ699" s="36">
        <v>0</v>
      </c>
      <c r="CR699" s="36">
        <v>0</v>
      </c>
      <c r="CS699" s="36">
        <v>0</v>
      </c>
      <c r="CT699" s="36">
        <v>0</v>
      </c>
      <c r="CU699" s="36">
        <v>0</v>
      </c>
      <c r="CV699" s="36">
        <v>0</v>
      </c>
      <c r="CW699" s="36">
        <v>0</v>
      </c>
      <c r="CX699" s="36">
        <v>1</v>
      </c>
      <c r="CY699" s="36">
        <v>1</v>
      </c>
      <c r="CZ699" s="36">
        <v>1</v>
      </c>
      <c r="DA699" s="36">
        <v>1</v>
      </c>
      <c r="DB699" s="36">
        <v>0</v>
      </c>
      <c r="DC699" s="36">
        <v>0</v>
      </c>
      <c r="DD699" s="36">
        <v>0</v>
      </c>
      <c r="DE699" s="36">
        <v>0</v>
      </c>
      <c r="DF699" s="36">
        <v>0</v>
      </c>
      <c r="DG699" s="36">
        <v>0</v>
      </c>
      <c r="DH699" s="36">
        <v>0</v>
      </c>
      <c r="DI699" s="36">
        <v>0</v>
      </c>
      <c r="DJ699" s="36">
        <v>0</v>
      </c>
      <c r="DK699" s="36">
        <v>0</v>
      </c>
      <c r="DL699" s="36">
        <v>0</v>
      </c>
      <c r="DM699" s="36">
        <v>0</v>
      </c>
      <c r="DN699" s="36">
        <v>0</v>
      </c>
      <c r="DO699" s="36">
        <v>0</v>
      </c>
      <c r="DP699" s="36">
        <v>0</v>
      </c>
      <c r="DQ699" s="36">
        <v>0</v>
      </c>
      <c r="DR699" s="36">
        <v>0</v>
      </c>
      <c r="DS699" s="36">
        <v>0</v>
      </c>
      <c r="DT699" s="36">
        <v>0</v>
      </c>
      <c r="DU699" s="36">
        <v>0</v>
      </c>
      <c r="DV699" s="36">
        <v>0</v>
      </c>
      <c r="DW699" s="36">
        <v>0</v>
      </c>
      <c r="DX699" s="36">
        <v>0</v>
      </c>
      <c r="DY699" s="36">
        <v>0</v>
      </c>
      <c r="DZ699" s="36">
        <v>0</v>
      </c>
      <c r="EA699" s="36">
        <v>0</v>
      </c>
      <c r="EB699" s="36">
        <v>0</v>
      </c>
      <c r="EC699" s="36">
        <v>0</v>
      </c>
      <c r="ED699" s="36">
        <v>0</v>
      </c>
      <c r="EE699" s="36">
        <v>0</v>
      </c>
      <c r="EF699" s="36">
        <v>0</v>
      </c>
      <c r="EG699" s="36">
        <v>0</v>
      </c>
      <c r="EH699" s="36">
        <v>0</v>
      </c>
      <c r="EI699" s="36">
        <v>0</v>
      </c>
      <c r="EJ699" s="36">
        <v>0</v>
      </c>
      <c r="EK699" s="36">
        <v>0</v>
      </c>
      <c r="EL699" s="36">
        <v>0</v>
      </c>
      <c r="EM699" s="36">
        <v>0</v>
      </c>
      <c r="EN699" s="36">
        <v>0</v>
      </c>
      <c r="EO699" s="36">
        <v>0</v>
      </c>
      <c r="EP699" s="36">
        <v>0</v>
      </c>
      <c r="EQ699" s="36">
        <v>0</v>
      </c>
      <c r="ER699" s="36">
        <v>0</v>
      </c>
      <c r="ES699" s="36">
        <v>0</v>
      </c>
      <c r="ET699" s="36">
        <v>0</v>
      </c>
      <c r="EU699" s="36">
        <v>0</v>
      </c>
      <c r="EV699" s="36">
        <v>0</v>
      </c>
      <c r="EW699" s="36">
        <v>0</v>
      </c>
      <c r="EX699" s="36">
        <v>0</v>
      </c>
      <c r="EY699" s="36">
        <v>0</v>
      </c>
      <c r="EZ699" s="36">
        <v>0</v>
      </c>
      <c r="FA699" s="36">
        <v>0</v>
      </c>
      <c r="FB699" s="36">
        <v>0</v>
      </c>
      <c r="FC699" s="37">
        <v>0</v>
      </c>
    </row>
    <row r="700" spans="1:159" s="3" customFormat="1" ht="18" customHeight="1" x14ac:dyDescent="0.2">
      <c r="A700" s="140">
        <v>26</v>
      </c>
      <c r="B700" s="263">
        <v>0.51960917093421499</v>
      </c>
      <c r="C700" s="325"/>
      <c r="D700" s="38"/>
      <c r="E700" s="39">
        <v>1</v>
      </c>
      <c r="G700" s="39">
        <v>2</v>
      </c>
      <c r="H700" s="39">
        <v>7</v>
      </c>
      <c r="J700" s="39">
        <v>7</v>
      </c>
      <c r="K700" s="39">
        <v>2</v>
      </c>
      <c r="L700" s="39">
        <v>1</v>
      </c>
      <c r="N700" s="39">
        <v>26</v>
      </c>
      <c r="O700" s="35">
        <v>7</v>
      </c>
      <c r="P700" s="36">
        <v>2</v>
      </c>
      <c r="Q700" s="37">
        <v>1</v>
      </c>
      <c r="T700" s="39">
        <v>26</v>
      </c>
      <c r="U700" s="39">
        <v>11</v>
      </c>
      <c r="V700" s="39">
        <v>3</v>
      </c>
      <c r="W700" s="39">
        <v>1</v>
      </c>
      <c r="Z700" s="39">
        <v>26</v>
      </c>
      <c r="AA700" s="35">
        <v>0</v>
      </c>
      <c r="AB700" s="36">
        <v>0</v>
      </c>
      <c r="AC700" s="36">
        <v>0</v>
      </c>
      <c r="AD700" s="36">
        <v>0</v>
      </c>
      <c r="AE700" s="36">
        <v>0</v>
      </c>
      <c r="AF700" s="36">
        <v>0</v>
      </c>
      <c r="AG700" s="36">
        <v>0</v>
      </c>
      <c r="AH700" s="36">
        <v>0</v>
      </c>
      <c r="AI700" s="36">
        <v>0</v>
      </c>
      <c r="AJ700" s="36">
        <v>0</v>
      </c>
      <c r="AK700" s="36">
        <v>0</v>
      </c>
      <c r="AL700" s="36">
        <v>0</v>
      </c>
      <c r="AM700" s="36">
        <v>0</v>
      </c>
      <c r="AN700" s="36">
        <v>0</v>
      </c>
      <c r="AO700" s="36">
        <v>0</v>
      </c>
      <c r="AP700" s="36">
        <v>0</v>
      </c>
      <c r="AQ700" s="36">
        <v>0</v>
      </c>
      <c r="AR700" s="36">
        <v>0</v>
      </c>
      <c r="AS700" s="36">
        <v>0</v>
      </c>
      <c r="AT700" s="36">
        <v>0</v>
      </c>
      <c r="AU700" s="36">
        <v>0</v>
      </c>
      <c r="AV700" s="36">
        <v>0</v>
      </c>
      <c r="AW700" s="36">
        <v>0</v>
      </c>
      <c r="AX700" s="36">
        <v>0</v>
      </c>
      <c r="AY700" s="36">
        <v>0</v>
      </c>
      <c r="AZ700" s="36">
        <v>0</v>
      </c>
      <c r="BA700" s="36">
        <v>0</v>
      </c>
      <c r="BB700" s="36">
        <v>0</v>
      </c>
      <c r="BC700" s="36">
        <v>0</v>
      </c>
      <c r="BD700" s="36">
        <v>0</v>
      </c>
      <c r="BE700" s="36">
        <v>0</v>
      </c>
      <c r="BF700" s="36">
        <v>0</v>
      </c>
      <c r="BG700" s="36">
        <v>0</v>
      </c>
      <c r="BH700" s="36">
        <v>0</v>
      </c>
      <c r="BI700" s="36">
        <v>0</v>
      </c>
      <c r="BJ700" s="36">
        <v>0</v>
      </c>
      <c r="BK700" s="36">
        <v>0</v>
      </c>
      <c r="BL700" s="36">
        <v>0</v>
      </c>
      <c r="BM700" s="36">
        <v>0</v>
      </c>
      <c r="BN700" s="36">
        <v>0</v>
      </c>
      <c r="BO700" s="36">
        <v>0</v>
      </c>
      <c r="BP700" s="36">
        <v>0</v>
      </c>
      <c r="BQ700" s="36">
        <v>0</v>
      </c>
      <c r="BR700" s="36">
        <v>0</v>
      </c>
      <c r="BS700" s="36">
        <v>0</v>
      </c>
      <c r="BT700" s="36">
        <v>0</v>
      </c>
      <c r="BU700" s="36">
        <v>0</v>
      </c>
      <c r="BV700" s="36">
        <v>0</v>
      </c>
      <c r="BW700" s="36">
        <v>0</v>
      </c>
      <c r="BX700" s="36">
        <v>0</v>
      </c>
      <c r="BY700" s="36">
        <v>0</v>
      </c>
      <c r="BZ700" s="36">
        <v>0</v>
      </c>
      <c r="CA700" s="36">
        <v>0</v>
      </c>
      <c r="CB700" s="36">
        <v>0</v>
      </c>
      <c r="CC700" s="36">
        <v>0</v>
      </c>
      <c r="CD700" s="36">
        <v>0</v>
      </c>
      <c r="CE700" s="36">
        <v>0</v>
      </c>
      <c r="CF700" s="36">
        <v>0</v>
      </c>
      <c r="CG700" s="36">
        <v>0</v>
      </c>
      <c r="CH700" s="36">
        <v>0</v>
      </c>
      <c r="CI700" s="36">
        <v>0</v>
      </c>
      <c r="CJ700" s="36">
        <v>0</v>
      </c>
      <c r="CK700" s="36">
        <v>0</v>
      </c>
      <c r="CL700" s="36">
        <v>0</v>
      </c>
      <c r="CM700" s="36">
        <v>0</v>
      </c>
      <c r="CN700" s="36">
        <v>0</v>
      </c>
      <c r="CO700" s="36">
        <v>0</v>
      </c>
      <c r="CP700" s="36">
        <v>0</v>
      </c>
      <c r="CQ700" s="36">
        <v>0</v>
      </c>
      <c r="CR700" s="36">
        <v>0</v>
      </c>
      <c r="CS700" s="36">
        <v>0</v>
      </c>
      <c r="CT700" s="36">
        <v>0</v>
      </c>
      <c r="CU700" s="36">
        <v>0</v>
      </c>
      <c r="CV700" s="36">
        <v>0</v>
      </c>
      <c r="CW700" s="36">
        <v>0</v>
      </c>
      <c r="CX700" s="36">
        <v>0</v>
      </c>
      <c r="CY700" s="36">
        <v>0</v>
      </c>
      <c r="CZ700" s="36">
        <v>0</v>
      </c>
      <c r="DA700" s="36">
        <v>0</v>
      </c>
      <c r="DB700" s="36">
        <v>1</v>
      </c>
      <c r="DC700" s="36">
        <v>1</v>
      </c>
      <c r="DD700" s="36">
        <v>1</v>
      </c>
      <c r="DE700" s="36">
        <v>1</v>
      </c>
      <c r="DF700" s="36">
        <v>0</v>
      </c>
      <c r="DG700" s="36">
        <v>0</v>
      </c>
      <c r="DH700" s="36">
        <v>0</v>
      </c>
      <c r="DI700" s="36">
        <v>0</v>
      </c>
      <c r="DJ700" s="36">
        <v>0</v>
      </c>
      <c r="DK700" s="36">
        <v>0</v>
      </c>
      <c r="DL700" s="36">
        <v>0</v>
      </c>
      <c r="DM700" s="36">
        <v>0</v>
      </c>
      <c r="DN700" s="36">
        <v>0</v>
      </c>
      <c r="DO700" s="36">
        <v>0</v>
      </c>
      <c r="DP700" s="36">
        <v>0</v>
      </c>
      <c r="DQ700" s="36">
        <v>0</v>
      </c>
      <c r="DR700" s="36">
        <v>0</v>
      </c>
      <c r="DS700" s="36">
        <v>0</v>
      </c>
      <c r="DT700" s="36">
        <v>0</v>
      </c>
      <c r="DU700" s="36">
        <v>0</v>
      </c>
      <c r="DV700" s="36">
        <v>0</v>
      </c>
      <c r="DW700" s="36">
        <v>0</v>
      </c>
      <c r="DX700" s="36">
        <v>0</v>
      </c>
      <c r="DY700" s="36">
        <v>0</v>
      </c>
      <c r="DZ700" s="36">
        <v>0</v>
      </c>
      <c r="EA700" s="36">
        <v>0</v>
      </c>
      <c r="EB700" s="36">
        <v>0</v>
      </c>
      <c r="EC700" s="36">
        <v>0</v>
      </c>
      <c r="ED700" s="36">
        <v>0</v>
      </c>
      <c r="EE700" s="36">
        <v>0</v>
      </c>
      <c r="EF700" s="36">
        <v>0</v>
      </c>
      <c r="EG700" s="36">
        <v>0</v>
      </c>
      <c r="EH700" s="36">
        <v>0</v>
      </c>
      <c r="EI700" s="36">
        <v>0</v>
      </c>
      <c r="EJ700" s="36">
        <v>0</v>
      </c>
      <c r="EK700" s="36">
        <v>0</v>
      </c>
      <c r="EL700" s="36">
        <v>0</v>
      </c>
      <c r="EM700" s="36">
        <v>0</v>
      </c>
      <c r="EN700" s="36">
        <v>0</v>
      </c>
      <c r="EO700" s="36">
        <v>0</v>
      </c>
      <c r="EP700" s="36">
        <v>0</v>
      </c>
      <c r="EQ700" s="36">
        <v>0</v>
      </c>
      <c r="ER700" s="36">
        <v>0</v>
      </c>
      <c r="ES700" s="36">
        <v>0</v>
      </c>
      <c r="ET700" s="36">
        <v>0</v>
      </c>
      <c r="EU700" s="36">
        <v>0</v>
      </c>
      <c r="EV700" s="36">
        <v>0</v>
      </c>
      <c r="EW700" s="36">
        <v>0</v>
      </c>
      <c r="EX700" s="36">
        <v>0</v>
      </c>
      <c r="EY700" s="36">
        <v>0</v>
      </c>
      <c r="EZ700" s="36">
        <v>0</v>
      </c>
      <c r="FA700" s="36">
        <v>0</v>
      </c>
      <c r="FB700" s="36">
        <v>0</v>
      </c>
      <c r="FC700" s="37">
        <v>0</v>
      </c>
    </row>
    <row r="701" spans="1:159" s="3" customFormat="1" ht="18" customHeight="1" x14ac:dyDescent="0.2">
      <c r="A701" s="140">
        <v>27</v>
      </c>
      <c r="B701" s="263">
        <v>0.520780534567998</v>
      </c>
      <c r="C701" s="325"/>
      <c r="D701" s="38"/>
      <c r="E701" s="39">
        <v>1</v>
      </c>
      <c r="G701" s="39">
        <v>3</v>
      </c>
      <c r="H701" s="39">
        <v>7</v>
      </c>
      <c r="J701" s="39">
        <v>7</v>
      </c>
      <c r="K701" s="39">
        <v>3</v>
      </c>
      <c r="L701" s="39">
        <v>1</v>
      </c>
      <c r="N701" s="39">
        <v>27</v>
      </c>
      <c r="O701" s="35">
        <v>7</v>
      </c>
      <c r="P701" s="36">
        <v>3</v>
      </c>
      <c r="Q701" s="37">
        <v>1</v>
      </c>
      <c r="T701" s="39">
        <v>27</v>
      </c>
      <c r="U701" s="39">
        <v>11</v>
      </c>
      <c r="V701" s="39">
        <v>4</v>
      </c>
      <c r="W701" s="39">
        <v>1</v>
      </c>
      <c r="Z701" s="39">
        <v>27</v>
      </c>
      <c r="AA701" s="35">
        <v>0</v>
      </c>
      <c r="AB701" s="36">
        <v>0</v>
      </c>
      <c r="AC701" s="36">
        <v>0</v>
      </c>
      <c r="AD701" s="36">
        <v>0</v>
      </c>
      <c r="AE701" s="36">
        <v>0</v>
      </c>
      <c r="AF701" s="36">
        <v>0</v>
      </c>
      <c r="AG701" s="36">
        <v>0</v>
      </c>
      <c r="AH701" s="36">
        <v>0</v>
      </c>
      <c r="AI701" s="36">
        <v>0</v>
      </c>
      <c r="AJ701" s="36">
        <v>0</v>
      </c>
      <c r="AK701" s="36">
        <v>0</v>
      </c>
      <c r="AL701" s="36">
        <v>0</v>
      </c>
      <c r="AM701" s="36">
        <v>0</v>
      </c>
      <c r="AN701" s="36">
        <v>0</v>
      </c>
      <c r="AO701" s="36">
        <v>0</v>
      </c>
      <c r="AP701" s="36">
        <v>0</v>
      </c>
      <c r="AQ701" s="36">
        <v>0</v>
      </c>
      <c r="AR701" s="36">
        <v>0</v>
      </c>
      <c r="AS701" s="36">
        <v>0</v>
      </c>
      <c r="AT701" s="36">
        <v>0</v>
      </c>
      <c r="AU701" s="36">
        <v>0</v>
      </c>
      <c r="AV701" s="36">
        <v>0</v>
      </c>
      <c r="AW701" s="36">
        <v>0</v>
      </c>
      <c r="AX701" s="36">
        <v>0</v>
      </c>
      <c r="AY701" s="36">
        <v>0</v>
      </c>
      <c r="AZ701" s="36">
        <v>0</v>
      </c>
      <c r="BA701" s="36">
        <v>0</v>
      </c>
      <c r="BB701" s="36">
        <v>0</v>
      </c>
      <c r="BC701" s="36">
        <v>0</v>
      </c>
      <c r="BD701" s="36">
        <v>0</v>
      </c>
      <c r="BE701" s="36">
        <v>0</v>
      </c>
      <c r="BF701" s="36">
        <v>0</v>
      </c>
      <c r="BG701" s="36">
        <v>0</v>
      </c>
      <c r="BH701" s="36">
        <v>0</v>
      </c>
      <c r="BI701" s="36">
        <v>0</v>
      </c>
      <c r="BJ701" s="36">
        <v>0</v>
      </c>
      <c r="BK701" s="36">
        <v>0</v>
      </c>
      <c r="BL701" s="36">
        <v>0</v>
      </c>
      <c r="BM701" s="36">
        <v>0</v>
      </c>
      <c r="BN701" s="36">
        <v>0</v>
      </c>
      <c r="BO701" s="36">
        <v>0</v>
      </c>
      <c r="BP701" s="36">
        <v>0</v>
      </c>
      <c r="BQ701" s="36">
        <v>0</v>
      </c>
      <c r="BR701" s="36">
        <v>0</v>
      </c>
      <c r="BS701" s="36">
        <v>0</v>
      </c>
      <c r="BT701" s="36">
        <v>0</v>
      </c>
      <c r="BU701" s="36">
        <v>0</v>
      </c>
      <c r="BV701" s="36">
        <v>0</v>
      </c>
      <c r="BW701" s="36">
        <v>0</v>
      </c>
      <c r="BX701" s="36">
        <v>0</v>
      </c>
      <c r="BY701" s="36">
        <v>0</v>
      </c>
      <c r="BZ701" s="36">
        <v>0</v>
      </c>
      <c r="CA701" s="36">
        <v>0</v>
      </c>
      <c r="CB701" s="36">
        <v>0</v>
      </c>
      <c r="CC701" s="36">
        <v>0</v>
      </c>
      <c r="CD701" s="36">
        <v>0</v>
      </c>
      <c r="CE701" s="36">
        <v>0</v>
      </c>
      <c r="CF701" s="36">
        <v>0</v>
      </c>
      <c r="CG701" s="36">
        <v>0</v>
      </c>
      <c r="CH701" s="36">
        <v>0</v>
      </c>
      <c r="CI701" s="36">
        <v>0</v>
      </c>
      <c r="CJ701" s="36">
        <v>0</v>
      </c>
      <c r="CK701" s="36">
        <v>0</v>
      </c>
      <c r="CL701" s="36">
        <v>0</v>
      </c>
      <c r="CM701" s="36">
        <v>0</v>
      </c>
      <c r="CN701" s="36">
        <v>0</v>
      </c>
      <c r="CO701" s="36">
        <v>0</v>
      </c>
      <c r="CP701" s="36">
        <v>0</v>
      </c>
      <c r="CQ701" s="36">
        <v>0</v>
      </c>
      <c r="CR701" s="36">
        <v>0</v>
      </c>
      <c r="CS701" s="36">
        <v>0</v>
      </c>
      <c r="CT701" s="36">
        <v>0</v>
      </c>
      <c r="CU701" s="36">
        <v>0</v>
      </c>
      <c r="CV701" s="36">
        <v>0</v>
      </c>
      <c r="CW701" s="36">
        <v>0</v>
      </c>
      <c r="CX701" s="36">
        <v>0</v>
      </c>
      <c r="CY701" s="36">
        <v>0</v>
      </c>
      <c r="CZ701" s="36">
        <v>0</v>
      </c>
      <c r="DA701" s="36">
        <v>0</v>
      </c>
      <c r="DB701" s="36">
        <v>0</v>
      </c>
      <c r="DC701" s="36">
        <v>0</v>
      </c>
      <c r="DD701" s="36">
        <v>0</v>
      </c>
      <c r="DE701" s="36">
        <v>0</v>
      </c>
      <c r="DF701" s="36">
        <v>1</v>
      </c>
      <c r="DG701" s="36">
        <v>1</v>
      </c>
      <c r="DH701" s="36">
        <v>1</v>
      </c>
      <c r="DI701" s="36">
        <v>1</v>
      </c>
      <c r="DJ701" s="36">
        <v>0</v>
      </c>
      <c r="DK701" s="36">
        <v>0</v>
      </c>
      <c r="DL701" s="36">
        <v>0</v>
      </c>
      <c r="DM701" s="36">
        <v>0</v>
      </c>
      <c r="DN701" s="36">
        <v>0</v>
      </c>
      <c r="DO701" s="36">
        <v>0</v>
      </c>
      <c r="DP701" s="36">
        <v>0</v>
      </c>
      <c r="DQ701" s="36">
        <v>0</v>
      </c>
      <c r="DR701" s="36">
        <v>0</v>
      </c>
      <c r="DS701" s="36">
        <v>0</v>
      </c>
      <c r="DT701" s="36">
        <v>0</v>
      </c>
      <c r="DU701" s="36">
        <v>0</v>
      </c>
      <c r="DV701" s="36">
        <v>0</v>
      </c>
      <c r="DW701" s="36">
        <v>0</v>
      </c>
      <c r="DX701" s="36">
        <v>0</v>
      </c>
      <c r="DY701" s="36">
        <v>0</v>
      </c>
      <c r="DZ701" s="36">
        <v>0</v>
      </c>
      <c r="EA701" s="36">
        <v>0</v>
      </c>
      <c r="EB701" s="36">
        <v>0</v>
      </c>
      <c r="EC701" s="36">
        <v>0</v>
      </c>
      <c r="ED701" s="36">
        <v>0</v>
      </c>
      <c r="EE701" s="36">
        <v>0</v>
      </c>
      <c r="EF701" s="36">
        <v>0</v>
      </c>
      <c r="EG701" s="36">
        <v>0</v>
      </c>
      <c r="EH701" s="36">
        <v>0</v>
      </c>
      <c r="EI701" s="36">
        <v>0</v>
      </c>
      <c r="EJ701" s="36">
        <v>0</v>
      </c>
      <c r="EK701" s="36">
        <v>0</v>
      </c>
      <c r="EL701" s="36">
        <v>0</v>
      </c>
      <c r="EM701" s="36">
        <v>0</v>
      </c>
      <c r="EN701" s="36">
        <v>0</v>
      </c>
      <c r="EO701" s="36">
        <v>0</v>
      </c>
      <c r="EP701" s="36">
        <v>0</v>
      </c>
      <c r="EQ701" s="36">
        <v>0</v>
      </c>
      <c r="ER701" s="36">
        <v>0</v>
      </c>
      <c r="ES701" s="36">
        <v>0</v>
      </c>
      <c r="ET701" s="36">
        <v>0</v>
      </c>
      <c r="EU701" s="36">
        <v>0</v>
      </c>
      <c r="EV701" s="36">
        <v>0</v>
      </c>
      <c r="EW701" s="36">
        <v>0</v>
      </c>
      <c r="EX701" s="36">
        <v>0</v>
      </c>
      <c r="EY701" s="36">
        <v>0</v>
      </c>
      <c r="EZ701" s="36">
        <v>0</v>
      </c>
      <c r="FA701" s="36">
        <v>0</v>
      </c>
      <c r="FB701" s="36">
        <v>0</v>
      </c>
      <c r="FC701" s="37">
        <v>0</v>
      </c>
    </row>
    <row r="702" spans="1:159" s="3" customFormat="1" ht="18" customHeight="1" x14ac:dyDescent="0.2">
      <c r="A702" s="140">
        <v>28</v>
      </c>
      <c r="B702" s="263">
        <v>0.51767982804977797</v>
      </c>
      <c r="C702" s="325"/>
      <c r="D702" s="38"/>
      <c r="E702" s="39">
        <v>1</v>
      </c>
      <c r="G702" s="39">
        <v>4</v>
      </c>
      <c r="H702" s="39">
        <v>7</v>
      </c>
      <c r="J702" s="39">
        <v>7</v>
      </c>
      <c r="K702" s="39">
        <v>4</v>
      </c>
      <c r="L702" s="39">
        <v>1</v>
      </c>
      <c r="N702" s="39">
        <v>28</v>
      </c>
      <c r="O702" s="35">
        <v>7</v>
      </c>
      <c r="P702" s="36">
        <v>4</v>
      </c>
      <c r="Q702" s="37">
        <v>1</v>
      </c>
      <c r="T702" s="39">
        <v>28</v>
      </c>
      <c r="U702" s="39">
        <v>12</v>
      </c>
      <c r="V702" s="39">
        <v>2</v>
      </c>
      <c r="W702" s="39">
        <v>1</v>
      </c>
      <c r="Z702" s="39">
        <v>28</v>
      </c>
      <c r="AA702" s="35">
        <v>0</v>
      </c>
      <c r="AB702" s="36">
        <v>0</v>
      </c>
      <c r="AC702" s="36">
        <v>0</v>
      </c>
      <c r="AD702" s="36">
        <v>0</v>
      </c>
      <c r="AE702" s="36">
        <v>0</v>
      </c>
      <c r="AF702" s="36">
        <v>0</v>
      </c>
      <c r="AG702" s="36">
        <v>0</v>
      </c>
      <c r="AH702" s="36">
        <v>0</v>
      </c>
      <c r="AI702" s="36">
        <v>0</v>
      </c>
      <c r="AJ702" s="36">
        <v>0</v>
      </c>
      <c r="AK702" s="36">
        <v>0</v>
      </c>
      <c r="AL702" s="36">
        <v>0</v>
      </c>
      <c r="AM702" s="36">
        <v>0</v>
      </c>
      <c r="AN702" s="36">
        <v>0</v>
      </c>
      <c r="AO702" s="36">
        <v>0</v>
      </c>
      <c r="AP702" s="36">
        <v>0</v>
      </c>
      <c r="AQ702" s="36">
        <v>0</v>
      </c>
      <c r="AR702" s="36">
        <v>0</v>
      </c>
      <c r="AS702" s="36">
        <v>0</v>
      </c>
      <c r="AT702" s="36">
        <v>0</v>
      </c>
      <c r="AU702" s="36">
        <v>0</v>
      </c>
      <c r="AV702" s="36">
        <v>0</v>
      </c>
      <c r="AW702" s="36">
        <v>0</v>
      </c>
      <c r="AX702" s="36">
        <v>0</v>
      </c>
      <c r="AY702" s="36">
        <v>0</v>
      </c>
      <c r="AZ702" s="36">
        <v>0</v>
      </c>
      <c r="BA702" s="36">
        <v>0</v>
      </c>
      <c r="BB702" s="36">
        <v>0</v>
      </c>
      <c r="BC702" s="36">
        <v>0</v>
      </c>
      <c r="BD702" s="36">
        <v>0</v>
      </c>
      <c r="BE702" s="36">
        <v>0</v>
      </c>
      <c r="BF702" s="36">
        <v>0</v>
      </c>
      <c r="BG702" s="36">
        <v>0</v>
      </c>
      <c r="BH702" s="36">
        <v>0</v>
      </c>
      <c r="BI702" s="36">
        <v>0</v>
      </c>
      <c r="BJ702" s="36">
        <v>0</v>
      </c>
      <c r="BK702" s="36">
        <v>0</v>
      </c>
      <c r="BL702" s="36">
        <v>0</v>
      </c>
      <c r="BM702" s="36">
        <v>0</v>
      </c>
      <c r="BN702" s="36">
        <v>0</v>
      </c>
      <c r="BO702" s="36">
        <v>0</v>
      </c>
      <c r="BP702" s="36">
        <v>0</v>
      </c>
      <c r="BQ702" s="36">
        <v>0</v>
      </c>
      <c r="BR702" s="36">
        <v>0</v>
      </c>
      <c r="BS702" s="36">
        <v>0</v>
      </c>
      <c r="BT702" s="36">
        <v>0</v>
      </c>
      <c r="BU702" s="36">
        <v>0</v>
      </c>
      <c r="BV702" s="36">
        <v>0</v>
      </c>
      <c r="BW702" s="36">
        <v>0</v>
      </c>
      <c r="BX702" s="36">
        <v>0</v>
      </c>
      <c r="BY702" s="36">
        <v>0</v>
      </c>
      <c r="BZ702" s="36">
        <v>0</v>
      </c>
      <c r="CA702" s="36">
        <v>0</v>
      </c>
      <c r="CB702" s="36">
        <v>0</v>
      </c>
      <c r="CC702" s="36">
        <v>0</v>
      </c>
      <c r="CD702" s="36">
        <v>0</v>
      </c>
      <c r="CE702" s="36">
        <v>0</v>
      </c>
      <c r="CF702" s="36">
        <v>0</v>
      </c>
      <c r="CG702" s="36">
        <v>0</v>
      </c>
      <c r="CH702" s="36">
        <v>0</v>
      </c>
      <c r="CI702" s="36">
        <v>0</v>
      </c>
      <c r="CJ702" s="36">
        <v>0</v>
      </c>
      <c r="CK702" s="36">
        <v>0</v>
      </c>
      <c r="CL702" s="36">
        <v>0</v>
      </c>
      <c r="CM702" s="36">
        <v>0</v>
      </c>
      <c r="CN702" s="36">
        <v>0</v>
      </c>
      <c r="CO702" s="36">
        <v>0</v>
      </c>
      <c r="CP702" s="36">
        <v>0</v>
      </c>
      <c r="CQ702" s="36">
        <v>0</v>
      </c>
      <c r="CR702" s="36">
        <v>0</v>
      </c>
      <c r="CS702" s="36">
        <v>0</v>
      </c>
      <c r="CT702" s="36">
        <v>0</v>
      </c>
      <c r="CU702" s="36">
        <v>0</v>
      </c>
      <c r="CV702" s="36">
        <v>0</v>
      </c>
      <c r="CW702" s="36">
        <v>0</v>
      </c>
      <c r="CX702" s="36">
        <v>0</v>
      </c>
      <c r="CY702" s="36">
        <v>0</v>
      </c>
      <c r="CZ702" s="36">
        <v>0</v>
      </c>
      <c r="DA702" s="36">
        <v>0</v>
      </c>
      <c r="DB702" s="36">
        <v>0</v>
      </c>
      <c r="DC702" s="36">
        <v>0</v>
      </c>
      <c r="DD702" s="36">
        <v>0</v>
      </c>
      <c r="DE702" s="36">
        <v>0</v>
      </c>
      <c r="DF702" s="36">
        <v>0</v>
      </c>
      <c r="DG702" s="36">
        <v>0</v>
      </c>
      <c r="DH702" s="36">
        <v>0</v>
      </c>
      <c r="DI702" s="36">
        <v>0</v>
      </c>
      <c r="DJ702" s="36">
        <v>1</v>
      </c>
      <c r="DK702" s="36">
        <v>1</v>
      </c>
      <c r="DL702" s="36">
        <v>1</v>
      </c>
      <c r="DM702" s="36">
        <v>1</v>
      </c>
      <c r="DN702" s="36">
        <v>0</v>
      </c>
      <c r="DO702" s="36">
        <v>0</v>
      </c>
      <c r="DP702" s="36">
        <v>0</v>
      </c>
      <c r="DQ702" s="36">
        <v>0</v>
      </c>
      <c r="DR702" s="36">
        <v>0</v>
      </c>
      <c r="DS702" s="36">
        <v>0</v>
      </c>
      <c r="DT702" s="36">
        <v>0</v>
      </c>
      <c r="DU702" s="36">
        <v>0</v>
      </c>
      <c r="DV702" s="36">
        <v>0</v>
      </c>
      <c r="DW702" s="36">
        <v>0</v>
      </c>
      <c r="DX702" s="36">
        <v>0</v>
      </c>
      <c r="DY702" s="36">
        <v>0</v>
      </c>
      <c r="DZ702" s="36">
        <v>0</v>
      </c>
      <c r="EA702" s="36">
        <v>0</v>
      </c>
      <c r="EB702" s="36">
        <v>0</v>
      </c>
      <c r="EC702" s="36">
        <v>0</v>
      </c>
      <c r="ED702" s="36">
        <v>0</v>
      </c>
      <c r="EE702" s="36">
        <v>0</v>
      </c>
      <c r="EF702" s="36">
        <v>0</v>
      </c>
      <c r="EG702" s="36">
        <v>0</v>
      </c>
      <c r="EH702" s="36">
        <v>0</v>
      </c>
      <c r="EI702" s="36">
        <v>0</v>
      </c>
      <c r="EJ702" s="36">
        <v>0</v>
      </c>
      <c r="EK702" s="36">
        <v>0</v>
      </c>
      <c r="EL702" s="36">
        <v>0</v>
      </c>
      <c r="EM702" s="36">
        <v>0</v>
      </c>
      <c r="EN702" s="36">
        <v>0</v>
      </c>
      <c r="EO702" s="36">
        <v>0</v>
      </c>
      <c r="EP702" s="36">
        <v>0</v>
      </c>
      <c r="EQ702" s="36">
        <v>0</v>
      </c>
      <c r="ER702" s="36">
        <v>0</v>
      </c>
      <c r="ES702" s="36">
        <v>0</v>
      </c>
      <c r="ET702" s="36">
        <v>0</v>
      </c>
      <c r="EU702" s="36">
        <v>0</v>
      </c>
      <c r="EV702" s="36">
        <v>0</v>
      </c>
      <c r="EW702" s="36">
        <v>0</v>
      </c>
      <c r="EX702" s="36">
        <v>0</v>
      </c>
      <c r="EY702" s="36">
        <v>0</v>
      </c>
      <c r="EZ702" s="36">
        <v>0</v>
      </c>
      <c r="FA702" s="36">
        <v>0</v>
      </c>
      <c r="FB702" s="36">
        <v>0</v>
      </c>
      <c r="FC702" s="37">
        <v>0</v>
      </c>
    </row>
    <row r="703" spans="1:159" s="3" customFormat="1" ht="18" customHeight="1" x14ac:dyDescent="0.2">
      <c r="A703" s="140">
        <v>29</v>
      </c>
      <c r="B703" s="263">
        <v>1.43774500535317</v>
      </c>
      <c r="C703" s="325"/>
      <c r="D703" s="38"/>
      <c r="E703" s="39">
        <v>0</v>
      </c>
      <c r="G703" s="39">
        <v>1</v>
      </c>
      <c r="H703" s="39">
        <v>8</v>
      </c>
      <c r="J703" s="39">
        <v>8</v>
      </c>
      <c r="K703" s="39">
        <v>1</v>
      </c>
      <c r="L703" s="39">
        <v>0</v>
      </c>
      <c r="N703" s="39">
        <v>29</v>
      </c>
      <c r="O703" s="35">
        <v>8</v>
      </c>
      <c r="P703" s="36">
        <v>1</v>
      </c>
      <c r="Q703" s="37">
        <v>0</v>
      </c>
      <c r="T703" s="39">
        <v>29</v>
      </c>
      <c r="U703" s="39">
        <v>12</v>
      </c>
      <c r="V703" s="39">
        <v>3</v>
      </c>
      <c r="W703" s="39">
        <v>1</v>
      </c>
      <c r="Z703" s="39">
        <v>29</v>
      </c>
      <c r="AA703" s="35">
        <v>0</v>
      </c>
      <c r="AB703" s="36">
        <v>0</v>
      </c>
      <c r="AC703" s="36">
        <v>0</v>
      </c>
      <c r="AD703" s="36">
        <v>0</v>
      </c>
      <c r="AE703" s="36">
        <v>0</v>
      </c>
      <c r="AF703" s="36">
        <v>0</v>
      </c>
      <c r="AG703" s="36">
        <v>0</v>
      </c>
      <c r="AH703" s="36">
        <v>0</v>
      </c>
      <c r="AI703" s="36">
        <v>0</v>
      </c>
      <c r="AJ703" s="36">
        <v>0</v>
      </c>
      <c r="AK703" s="36">
        <v>0</v>
      </c>
      <c r="AL703" s="36">
        <v>0</v>
      </c>
      <c r="AM703" s="36">
        <v>0</v>
      </c>
      <c r="AN703" s="36">
        <v>0</v>
      </c>
      <c r="AO703" s="36">
        <v>0</v>
      </c>
      <c r="AP703" s="36">
        <v>0</v>
      </c>
      <c r="AQ703" s="36">
        <v>0</v>
      </c>
      <c r="AR703" s="36">
        <v>0</v>
      </c>
      <c r="AS703" s="36">
        <v>0</v>
      </c>
      <c r="AT703" s="36">
        <v>0</v>
      </c>
      <c r="AU703" s="36">
        <v>0</v>
      </c>
      <c r="AV703" s="36">
        <v>0</v>
      </c>
      <c r="AW703" s="36">
        <v>0</v>
      </c>
      <c r="AX703" s="36">
        <v>0</v>
      </c>
      <c r="AY703" s="36">
        <v>0</v>
      </c>
      <c r="AZ703" s="36">
        <v>0</v>
      </c>
      <c r="BA703" s="36">
        <v>0</v>
      </c>
      <c r="BB703" s="36">
        <v>0</v>
      </c>
      <c r="BC703" s="36">
        <v>0</v>
      </c>
      <c r="BD703" s="36">
        <v>0</v>
      </c>
      <c r="BE703" s="36">
        <v>0</v>
      </c>
      <c r="BF703" s="36">
        <v>0</v>
      </c>
      <c r="BG703" s="36">
        <v>0</v>
      </c>
      <c r="BH703" s="36">
        <v>0</v>
      </c>
      <c r="BI703" s="36">
        <v>0</v>
      </c>
      <c r="BJ703" s="36">
        <v>0</v>
      </c>
      <c r="BK703" s="36">
        <v>0</v>
      </c>
      <c r="BL703" s="36">
        <v>0</v>
      </c>
      <c r="BM703" s="36">
        <v>0</v>
      </c>
      <c r="BN703" s="36">
        <v>0</v>
      </c>
      <c r="BO703" s="36">
        <v>0</v>
      </c>
      <c r="BP703" s="36">
        <v>0</v>
      </c>
      <c r="BQ703" s="36">
        <v>0</v>
      </c>
      <c r="BR703" s="36">
        <v>0</v>
      </c>
      <c r="BS703" s="36">
        <v>0</v>
      </c>
      <c r="BT703" s="36">
        <v>0</v>
      </c>
      <c r="BU703" s="36">
        <v>0</v>
      </c>
      <c r="BV703" s="36">
        <v>0</v>
      </c>
      <c r="BW703" s="36">
        <v>0</v>
      </c>
      <c r="BX703" s="36">
        <v>0</v>
      </c>
      <c r="BY703" s="36">
        <v>0</v>
      </c>
      <c r="BZ703" s="36">
        <v>0</v>
      </c>
      <c r="CA703" s="36">
        <v>0</v>
      </c>
      <c r="CB703" s="36">
        <v>0</v>
      </c>
      <c r="CC703" s="36">
        <v>0</v>
      </c>
      <c r="CD703" s="36">
        <v>0</v>
      </c>
      <c r="CE703" s="36">
        <v>0</v>
      </c>
      <c r="CF703" s="36">
        <v>0</v>
      </c>
      <c r="CG703" s="36">
        <v>0</v>
      </c>
      <c r="CH703" s="36">
        <v>0</v>
      </c>
      <c r="CI703" s="36">
        <v>0</v>
      </c>
      <c r="CJ703" s="36">
        <v>0</v>
      </c>
      <c r="CK703" s="36">
        <v>0</v>
      </c>
      <c r="CL703" s="36">
        <v>0</v>
      </c>
      <c r="CM703" s="36">
        <v>0</v>
      </c>
      <c r="CN703" s="36">
        <v>0</v>
      </c>
      <c r="CO703" s="36">
        <v>0</v>
      </c>
      <c r="CP703" s="36">
        <v>0</v>
      </c>
      <c r="CQ703" s="36">
        <v>0</v>
      </c>
      <c r="CR703" s="36">
        <v>0</v>
      </c>
      <c r="CS703" s="36">
        <v>0</v>
      </c>
      <c r="CT703" s="36">
        <v>0</v>
      </c>
      <c r="CU703" s="36">
        <v>0</v>
      </c>
      <c r="CV703" s="36">
        <v>0</v>
      </c>
      <c r="CW703" s="36">
        <v>0</v>
      </c>
      <c r="CX703" s="36">
        <v>0</v>
      </c>
      <c r="CY703" s="36">
        <v>0</v>
      </c>
      <c r="CZ703" s="36">
        <v>0</v>
      </c>
      <c r="DA703" s="36">
        <v>0</v>
      </c>
      <c r="DB703" s="36">
        <v>0</v>
      </c>
      <c r="DC703" s="36">
        <v>0</v>
      </c>
      <c r="DD703" s="36">
        <v>0</v>
      </c>
      <c r="DE703" s="36">
        <v>0</v>
      </c>
      <c r="DF703" s="36">
        <v>0</v>
      </c>
      <c r="DG703" s="36">
        <v>0</v>
      </c>
      <c r="DH703" s="36">
        <v>0</v>
      </c>
      <c r="DI703" s="36">
        <v>0</v>
      </c>
      <c r="DJ703" s="36">
        <v>0</v>
      </c>
      <c r="DK703" s="36">
        <v>0</v>
      </c>
      <c r="DL703" s="36">
        <v>0</v>
      </c>
      <c r="DM703" s="36">
        <v>0</v>
      </c>
      <c r="DN703" s="36">
        <v>1</v>
      </c>
      <c r="DO703" s="36">
        <v>1</v>
      </c>
      <c r="DP703" s="36">
        <v>0</v>
      </c>
      <c r="DQ703" s="36">
        <v>0</v>
      </c>
      <c r="DR703" s="36">
        <v>0</v>
      </c>
      <c r="DS703" s="36">
        <v>0</v>
      </c>
      <c r="DT703" s="36">
        <v>0</v>
      </c>
      <c r="DU703" s="36">
        <v>0</v>
      </c>
      <c r="DV703" s="36">
        <v>0</v>
      </c>
      <c r="DW703" s="36">
        <v>0</v>
      </c>
      <c r="DX703" s="36">
        <v>0</v>
      </c>
      <c r="DY703" s="36">
        <v>0</v>
      </c>
      <c r="DZ703" s="36">
        <v>0</v>
      </c>
      <c r="EA703" s="36">
        <v>0</v>
      </c>
      <c r="EB703" s="36">
        <v>0</v>
      </c>
      <c r="EC703" s="36">
        <v>0</v>
      </c>
      <c r="ED703" s="36">
        <v>0</v>
      </c>
      <c r="EE703" s="36">
        <v>0</v>
      </c>
      <c r="EF703" s="36">
        <v>0</v>
      </c>
      <c r="EG703" s="36">
        <v>0</v>
      </c>
      <c r="EH703" s="36">
        <v>0</v>
      </c>
      <c r="EI703" s="36">
        <v>0</v>
      </c>
      <c r="EJ703" s="36">
        <v>0</v>
      </c>
      <c r="EK703" s="36">
        <v>0</v>
      </c>
      <c r="EL703" s="36">
        <v>0</v>
      </c>
      <c r="EM703" s="36">
        <v>0</v>
      </c>
      <c r="EN703" s="36">
        <v>0</v>
      </c>
      <c r="EO703" s="36">
        <v>0</v>
      </c>
      <c r="EP703" s="36">
        <v>0</v>
      </c>
      <c r="EQ703" s="36">
        <v>0</v>
      </c>
      <c r="ER703" s="36">
        <v>0</v>
      </c>
      <c r="ES703" s="36">
        <v>0</v>
      </c>
      <c r="ET703" s="36">
        <v>0</v>
      </c>
      <c r="EU703" s="36">
        <v>0</v>
      </c>
      <c r="EV703" s="36">
        <v>0</v>
      </c>
      <c r="EW703" s="36">
        <v>0</v>
      </c>
      <c r="EX703" s="36">
        <v>0</v>
      </c>
      <c r="EY703" s="36">
        <v>0</v>
      </c>
      <c r="EZ703" s="36">
        <v>0</v>
      </c>
      <c r="FA703" s="36">
        <v>0</v>
      </c>
      <c r="FB703" s="36">
        <v>0</v>
      </c>
      <c r="FC703" s="37">
        <v>0</v>
      </c>
    </row>
    <row r="704" spans="1:159" s="3" customFormat="1" ht="18" customHeight="1" x14ac:dyDescent="0.2">
      <c r="A704" s="140">
        <v>30</v>
      </c>
      <c r="B704" s="263">
        <v>1.43198642285376</v>
      </c>
      <c r="C704" s="325"/>
      <c r="D704" s="38"/>
      <c r="E704" s="39">
        <v>1</v>
      </c>
      <c r="G704" s="39">
        <v>2</v>
      </c>
      <c r="H704" s="39">
        <v>8</v>
      </c>
      <c r="J704" s="39">
        <v>8</v>
      </c>
      <c r="K704" s="39">
        <v>2</v>
      </c>
      <c r="L704" s="39">
        <v>1</v>
      </c>
      <c r="N704" s="39">
        <v>30</v>
      </c>
      <c r="O704" s="35">
        <v>8</v>
      </c>
      <c r="P704" s="36">
        <v>2</v>
      </c>
      <c r="Q704" s="37">
        <v>1</v>
      </c>
      <c r="T704" s="39">
        <v>30</v>
      </c>
      <c r="U704" s="39">
        <v>12</v>
      </c>
      <c r="V704" s="39">
        <v>4</v>
      </c>
      <c r="W704" s="39">
        <v>1</v>
      </c>
      <c r="Z704" s="39">
        <v>30</v>
      </c>
      <c r="AA704" s="35">
        <v>0</v>
      </c>
      <c r="AB704" s="36">
        <v>0</v>
      </c>
      <c r="AC704" s="36">
        <v>0</v>
      </c>
      <c r="AD704" s="36">
        <v>0</v>
      </c>
      <c r="AE704" s="36">
        <v>0</v>
      </c>
      <c r="AF704" s="36">
        <v>0</v>
      </c>
      <c r="AG704" s="36">
        <v>0</v>
      </c>
      <c r="AH704" s="36">
        <v>0</v>
      </c>
      <c r="AI704" s="36">
        <v>0</v>
      </c>
      <c r="AJ704" s="36">
        <v>0</v>
      </c>
      <c r="AK704" s="36">
        <v>0</v>
      </c>
      <c r="AL704" s="36">
        <v>0</v>
      </c>
      <c r="AM704" s="36">
        <v>0</v>
      </c>
      <c r="AN704" s="36">
        <v>0</v>
      </c>
      <c r="AO704" s="36">
        <v>0</v>
      </c>
      <c r="AP704" s="36">
        <v>0</v>
      </c>
      <c r="AQ704" s="36">
        <v>0</v>
      </c>
      <c r="AR704" s="36">
        <v>0</v>
      </c>
      <c r="AS704" s="36">
        <v>0</v>
      </c>
      <c r="AT704" s="36">
        <v>0</v>
      </c>
      <c r="AU704" s="36">
        <v>0</v>
      </c>
      <c r="AV704" s="36">
        <v>0</v>
      </c>
      <c r="AW704" s="36">
        <v>0</v>
      </c>
      <c r="AX704" s="36">
        <v>0</v>
      </c>
      <c r="AY704" s="36">
        <v>0</v>
      </c>
      <c r="AZ704" s="36">
        <v>0</v>
      </c>
      <c r="BA704" s="36">
        <v>0</v>
      </c>
      <c r="BB704" s="36">
        <v>0</v>
      </c>
      <c r="BC704" s="36">
        <v>0</v>
      </c>
      <c r="BD704" s="36">
        <v>0</v>
      </c>
      <c r="BE704" s="36">
        <v>0</v>
      </c>
      <c r="BF704" s="36">
        <v>0</v>
      </c>
      <c r="BG704" s="36">
        <v>0</v>
      </c>
      <c r="BH704" s="36">
        <v>0</v>
      </c>
      <c r="BI704" s="36">
        <v>0</v>
      </c>
      <c r="BJ704" s="36">
        <v>0</v>
      </c>
      <c r="BK704" s="36">
        <v>0</v>
      </c>
      <c r="BL704" s="36">
        <v>0</v>
      </c>
      <c r="BM704" s="36">
        <v>0</v>
      </c>
      <c r="BN704" s="36">
        <v>0</v>
      </c>
      <c r="BO704" s="36">
        <v>0</v>
      </c>
      <c r="BP704" s="36">
        <v>0</v>
      </c>
      <c r="BQ704" s="36">
        <v>0</v>
      </c>
      <c r="BR704" s="36">
        <v>0</v>
      </c>
      <c r="BS704" s="36">
        <v>0</v>
      </c>
      <c r="BT704" s="36">
        <v>0</v>
      </c>
      <c r="BU704" s="36">
        <v>0</v>
      </c>
      <c r="BV704" s="36">
        <v>0</v>
      </c>
      <c r="BW704" s="36">
        <v>0</v>
      </c>
      <c r="BX704" s="36">
        <v>0</v>
      </c>
      <c r="BY704" s="36">
        <v>0</v>
      </c>
      <c r="BZ704" s="36">
        <v>0</v>
      </c>
      <c r="CA704" s="36">
        <v>0</v>
      </c>
      <c r="CB704" s="36">
        <v>0</v>
      </c>
      <c r="CC704" s="36">
        <v>0</v>
      </c>
      <c r="CD704" s="36">
        <v>0</v>
      </c>
      <c r="CE704" s="36">
        <v>0</v>
      </c>
      <c r="CF704" s="36">
        <v>0</v>
      </c>
      <c r="CG704" s="36">
        <v>0</v>
      </c>
      <c r="CH704" s="36">
        <v>0</v>
      </c>
      <c r="CI704" s="36">
        <v>0</v>
      </c>
      <c r="CJ704" s="36">
        <v>0</v>
      </c>
      <c r="CK704" s="36">
        <v>0</v>
      </c>
      <c r="CL704" s="36">
        <v>0</v>
      </c>
      <c r="CM704" s="36">
        <v>0</v>
      </c>
      <c r="CN704" s="36">
        <v>0</v>
      </c>
      <c r="CO704" s="36">
        <v>0</v>
      </c>
      <c r="CP704" s="36">
        <v>0</v>
      </c>
      <c r="CQ704" s="36">
        <v>0</v>
      </c>
      <c r="CR704" s="36">
        <v>0</v>
      </c>
      <c r="CS704" s="36">
        <v>0</v>
      </c>
      <c r="CT704" s="36">
        <v>0</v>
      </c>
      <c r="CU704" s="36">
        <v>0</v>
      </c>
      <c r="CV704" s="36">
        <v>0</v>
      </c>
      <c r="CW704" s="36">
        <v>0</v>
      </c>
      <c r="CX704" s="36">
        <v>0</v>
      </c>
      <c r="CY704" s="36">
        <v>0</v>
      </c>
      <c r="CZ704" s="36">
        <v>0</v>
      </c>
      <c r="DA704" s="36">
        <v>0</v>
      </c>
      <c r="DB704" s="36">
        <v>0</v>
      </c>
      <c r="DC704" s="36">
        <v>0</v>
      </c>
      <c r="DD704" s="36">
        <v>0</v>
      </c>
      <c r="DE704" s="36">
        <v>0</v>
      </c>
      <c r="DF704" s="36">
        <v>0</v>
      </c>
      <c r="DG704" s="36">
        <v>0</v>
      </c>
      <c r="DH704" s="36">
        <v>0</v>
      </c>
      <c r="DI704" s="36">
        <v>0</v>
      </c>
      <c r="DJ704" s="36">
        <v>0</v>
      </c>
      <c r="DK704" s="36">
        <v>0</v>
      </c>
      <c r="DL704" s="36">
        <v>0</v>
      </c>
      <c r="DM704" s="36">
        <v>0</v>
      </c>
      <c r="DN704" s="36">
        <v>0</v>
      </c>
      <c r="DO704" s="36">
        <v>0</v>
      </c>
      <c r="DP704" s="36">
        <v>1</v>
      </c>
      <c r="DQ704" s="36">
        <v>1</v>
      </c>
      <c r="DR704" s="36">
        <v>0</v>
      </c>
      <c r="DS704" s="36">
        <v>0</v>
      </c>
      <c r="DT704" s="36">
        <v>0</v>
      </c>
      <c r="DU704" s="36">
        <v>0</v>
      </c>
      <c r="DV704" s="36">
        <v>0</v>
      </c>
      <c r="DW704" s="36">
        <v>0</v>
      </c>
      <c r="DX704" s="36">
        <v>0</v>
      </c>
      <c r="DY704" s="36">
        <v>0</v>
      </c>
      <c r="DZ704" s="36">
        <v>0</v>
      </c>
      <c r="EA704" s="36">
        <v>0</v>
      </c>
      <c r="EB704" s="36">
        <v>0</v>
      </c>
      <c r="EC704" s="36">
        <v>0</v>
      </c>
      <c r="ED704" s="36">
        <v>0</v>
      </c>
      <c r="EE704" s="36">
        <v>0</v>
      </c>
      <c r="EF704" s="36">
        <v>0</v>
      </c>
      <c r="EG704" s="36">
        <v>0</v>
      </c>
      <c r="EH704" s="36">
        <v>0</v>
      </c>
      <c r="EI704" s="36">
        <v>0</v>
      </c>
      <c r="EJ704" s="36">
        <v>0</v>
      </c>
      <c r="EK704" s="36">
        <v>0</v>
      </c>
      <c r="EL704" s="36">
        <v>0</v>
      </c>
      <c r="EM704" s="36">
        <v>0</v>
      </c>
      <c r="EN704" s="36">
        <v>0</v>
      </c>
      <c r="EO704" s="36">
        <v>0</v>
      </c>
      <c r="EP704" s="36">
        <v>0</v>
      </c>
      <c r="EQ704" s="36">
        <v>0</v>
      </c>
      <c r="ER704" s="36">
        <v>0</v>
      </c>
      <c r="ES704" s="36">
        <v>0</v>
      </c>
      <c r="ET704" s="36">
        <v>0</v>
      </c>
      <c r="EU704" s="36">
        <v>0</v>
      </c>
      <c r="EV704" s="36">
        <v>0</v>
      </c>
      <c r="EW704" s="36">
        <v>0</v>
      </c>
      <c r="EX704" s="36">
        <v>0</v>
      </c>
      <c r="EY704" s="36">
        <v>0</v>
      </c>
      <c r="EZ704" s="36">
        <v>0</v>
      </c>
      <c r="FA704" s="36">
        <v>0</v>
      </c>
      <c r="FB704" s="36">
        <v>0</v>
      </c>
      <c r="FC704" s="37">
        <v>0</v>
      </c>
    </row>
    <row r="705" spans="1:159" s="3" customFormat="1" ht="18" customHeight="1" x14ac:dyDescent="0.2">
      <c r="A705" s="140">
        <v>31</v>
      </c>
      <c r="B705" s="263">
        <v>1.43354706930348</v>
      </c>
      <c r="C705" s="325"/>
      <c r="D705" s="38"/>
      <c r="E705" s="39">
        <v>1</v>
      </c>
      <c r="G705" s="39">
        <v>3</v>
      </c>
      <c r="H705" s="39">
        <v>8</v>
      </c>
      <c r="J705" s="39">
        <v>8</v>
      </c>
      <c r="K705" s="39">
        <v>3</v>
      </c>
      <c r="L705" s="39">
        <v>1</v>
      </c>
      <c r="N705" s="39">
        <v>31</v>
      </c>
      <c r="O705" s="35">
        <v>8</v>
      </c>
      <c r="P705" s="36">
        <v>3</v>
      </c>
      <c r="Q705" s="37">
        <v>1</v>
      </c>
      <c r="T705" s="39">
        <v>31</v>
      </c>
      <c r="U705" s="39">
        <v>13</v>
      </c>
      <c r="V705" s="39">
        <v>2</v>
      </c>
      <c r="W705" s="39">
        <v>1</v>
      </c>
      <c r="Z705" s="39">
        <v>31</v>
      </c>
      <c r="AA705" s="35">
        <v>0</v>
      </c>
      <c r="AB705" s="36">
        <v>0</v>
      </c>
      <c r="AC705" s="36">
        <v>0</v>
      </c>
      <c r="AD705" s="36">
        <v>0</v>
      </c>
      <c r="AE705" s="36">
        <v>0</v>
      </c>
      <c r="AF705" s="36">
        <v>0</v>
      </c>
      <c r="AG705" s="36">
        <v>0</v>
      </c>
      <c r="AH705" s="36">
        <v>0</v>
      </c>
      <c r="AI705" s="36">
        <v>0</v>
      </c>
      <c r="AJ705" s="36">
        <v>0</v>
      </c>
      <c r="AK705" s="36">
        <v>0</v>
      </c>
      <c r="AL705" s="36">
        <v>0</v>
      </c>
      <c r="AM705" s="36">
        <v>0</v>
      </c>
      <c r="AN705" s="36">
        <v>0</v>
      </c>
      <c r="AO705" s="36">
        <v>0</v>
      </c>
      <c r="AP705" s="36">
        <v>0</v>
      </c>
      <c r="AQ705" s="36">
        <v>0</v>
      </c>
      <c r="AR705" s="36">
        <v>0</v>
      </c>
      <c r="AS705" s="36">
        <v>0</v>
      </c>
      <c r="AT705" s="36">
        <v>0</v>
      </c>
      <c r="AU705" s="36">
        <v>0</v>
      </c>
      <c r="AV705" s="36">
        <v>0</v>
      </c>
      <c r="AW705" s="36">
        <v>0</v>
      </c>
      <c r="AX705" s="36">
        <v>0</v>
      </c>
      <c r="AY705" s="36">
        <v>0</v>
      </c>
      <c r="AZ705" s="36">
        <v>0</v>
      </c>
      <c r="BA705" s="36">
        <v>0</v>
      </c>
      <c r="BB705" s="36">
        <v>0</v>
      </c>
      <c r="BC705" s="36">
        <v>0</v>
      </c>
      <c r="BD705" s="36">
        <v>0</v>
      </c>
      <c r="BE705" s="36">
        <v>0</v>
      </c>
      <c r="BF705" s="36">
        <v>0</v>
      </c>
      <c r="BG705" s="36">
        <v>0</v>
      </c>
      <c r="BH705" s="36">
        <v>0</v>
      </c>
      <c r="BI705" s="36">
        <v>0</v>
      </c>
      <c r="BJ705" s="36">
        <v>0</v>
      </c>
      <c r="BK705" s="36">
        <v>0</v>
      </c>
      <c r="BL705" s="36">
        <v>0</v>
      </c>
      <c r="BM705" s="36">
        <v>0</v>
      </c>
      <c r="BN705" s="36">
        <v>0</v>
      </c>
      <c r="BO705" s="36">
        <v>0</v>
      </c>
      <c r="BP705" s="36">
        <v>0</v>
      </c>
      <c r="BQ705" s="36">
        <v>0</v>
      </c>
      <c r="BR705" s="36">
        <v>0</v>
      </c>
      <c r="BS705" s="36">
        <v>0</v>
      </c>
      <c r="BT705" s="36">
        <v>0</v>
      </c>
      <c r="BU705" s="36">
        <v>0</v>
      </c>
      <c r="BV705" s="36">
        <v>0</v>
      </c>
      <c r="BW705" s="36">
        <v>0</v>
      </c>
      <c r="BX705" s="36">
        <v>0</v>
      </c>
      <c r="BY705" s="36">
        <v>0</v>
      </c>
      <c r="BZ705" s="36">
        <v>0</v>
      </c>
      <c r="CA705" s="36">
        <v>0</v>
      </c>
      <c r="CB705" s="36">
        <v>0</v>
      </c>
      <c r="CC705" s="36">
        <v>0</v>
      </c>
      <c r="CD705" s="36">
        <v>0</v>
      </c>
      <c r="CE705" s="36">
        <v>0</v>
      </c>
      <c r="CF705" s="36">
        <v>0</v>
      </c>
      <c r="CG705" s="36">
        <v>0</v>
      </c>
      <c r="CH705" s="36">
        <v>0</v>
      </c>
      <c r="CI705" s="36">
        <v>0</v>
      </c>
      <c r="CJ705" s="36">
        <v>0</v>
      </c>
      <c r="CK705" s="36">
        <v>0</v>
      </c>
      <c r="CL705" s="36">
        <v>0</v>
      </c>
      <c r="CM705" s="36">
        <v>0</v>
      </c>
      <c r="CN705" s="36">
        <v>0</v>
      </c>
      <c r="CO705" s="36">
        <v>0</v>
      </c>
      <c r="CP705" s="36">
        <v>0</v>
      </c>
      <c r="CQ705" s="36">
        <v>0</v>
      </c>
      <c r="CR705" s="36">
        <v>0</v>
      </c>
      <c r="CS705" s="36">
        <v>0</v>
      </c>
      <c r="CT705" s="36">
        <v>0</v>
      </c>
      <c r="CU705" s="36">
        <v>0</v>
      </c>
      <c r="CV705" s="36">
        <v>0</v>
      </c>
      <c r="CW705" s="36">
        <v>0</v>
      </c>
      <c r="CX705" s="36">
        <v>0</v>
      </c>
      <c r="CY705" s="36">
        <v>0</v>
      </c>
      <c r="CZ705" s="36">
        <v>0</v>
      </c>
      <c r="DA705" s="36">
        <v>0</v>
      </c>
      <c r="DB705" s="36">
        <v>0</v>
      </c>
      <c r="DC705" s="36">
        <v>0</v>
      </c>
      <c r="DD705" s="36">
        <v>0</v>
      </c>
      <c r="DE705" s="36">
        <v>0</v>
      </c>
      <c r="DF705" s="36">
        <v>0</v>
      </c>
      <c r="DG705" s="36">
        <v>0</v>
      </c>
      <c r="DH705" s="36">
        <v>0</v>
      </c>
      <c r="DI705" s="36">
        <v>0</v>
      </c>
      <c r="DJ705" s="36">
        <v>0</v>
      </c>
      <c r="DK705" s="36">
        <v>0</v>
      </c>
      <c r="DL705" s="36">
        <v>0</v>
      </c>
      <c r="DM705" s="36">
        <v>0</v>
      </c>
      <c r="DN705" s="36">
        <v>0</v>
      </c>
      <c r="DO705" s="36">
        <v>0</v>
      </c>
      <c r="DP705" s="36">
        <v>0</v>
      </c>
      <c r="DQ705" s="36">
        <v>0</v>
      </c>
      <c r="DR705" s="36">
        <v>1</v>
      </c>
      <c r="DS705" s="36">
        <v>1</v>
      </c>
      <c r="DT705" s="36">
        <v>0</v>
      </c>
      <c r="DU705" s="36">
        <v>0</v>
      </c>
      <c r="DV705" s="36">
        <v>0</v>
      </c>
      <c r="DW705" s="36">
        <v>0</v>
      </c>
      <c r="DX705" s="36">
        <v>0</v>
      </c>
      <c r="DY705" s="36">
        <v>0</v>
      </c>
      <c r="DZ705" s="36">
        <v>0</v>
      </c>
      <c r="EA705" s="36">
        <v>0</v>
      </c>
      <c r="EB705" s="36">
        <v>0</v>
      </c>
      <c r="EC705" s="36">
        <v>0</v>
      </c>
      <c r="ED705" s="36">
        <v>0</v>
      </c>
      <c r="EE705" s="36">
        <v>0</v>
      </c>
      <c r="EF705" s="36">
        <v>0</v>
      </c>
      <c r="EG705" s="36">
        <v>0</v>
      </c>
      <c r="EH705" s="36">
        <v>0</v>
      </c>
      <c r="EI705" s="36">
        <v>0</v>
      </c>
      <c r="EJ705" s="36">
        <v>0</v>
      </c>
      <c r="EK705" s="36">
        <v>0</v>
      </c>
      <c r="EL705" s="36">
        <v>0</v>
      </c>
      <c r="EM705" s="36">
        <v>0</v>
      </c>
      <c r="EN705" s="36">
        <v>0</v>
      </c>
      <c r="EO705" s="36">
        <v>0</v>
      </c>
      <c r="EP705" s="36">
        <v>0</v>
      </c>
      <c r="EQ705" s="36">
        <v>0</v>
      </c>
      <c r="ER705" s="36">
        <v>0</v>
      </c>
      <c r="ES705" s="36">
        <v>0</v>
      </c>
      <c r="ET705" s="36">
        <v>0</v>
      </c>
      <c r="EU705" s="36">
        <v>0</v>
      </c>
      <c r="EV705" s="36">
        <v>0</v>
      </c>
      <c r="EW705" s="36">
        <v>0</v>
      </c>
      <c r="EX705" s="36">
        <v>0</v>
      </c>
      <c r="EY705" s="36">
        <v>0</v>
      </c>
      <c r="EZ705" s="36">
        <v>0</v>
      </c>
      <c r="FA705" s="36">
        <v>0</v>
      </c>
      <c r="FB705" s="36">
        <v>0</v>
      </c>
      <c r="FC705" s="37">
        <v>0</v>
      </c>
    </row>
    <row r="706" spans="1:159" s="3" customFormat="1" ht="18" customHeight="1" x14ac:dyDescent="0.2">
      <c r="A706" s="140">
        <v>32</v>
      </c>
      <c r="B706" s="263">
        <v>1.4345454793199399</v>
      </c>
      <c r="C706" s="325"/>
      <c r="D706" s="38"/>
      <c r="E706" s="39">
        <v>1</v>
      </c>
      <c r="G706" s="39">
        <v>4</v>
      </c>
      <c r="H706" s="39">
        <v>8</v>
      </c>
      <c r="J706" s="39">
        <v>8</v>
      </c>
      <c r="K706" s="39">
        <v>4</v>
      </c>
      <c r="L706" s="39">
        <v>1</v>
      </c>
      <c r="N706" s="39">
        <v>32</v>
      </c>
      <c r="O706" s="35">
        <v>8</v>
      </c>
      <c r="P706" s="36">
        <v>4</v>
      </c>
      <c r="Q706" s="37">
        <v>1</v>
      </c>
      <c r="T706" s="39">
        <v>32</v>
      </c>
      <c r="U706" s="39">
        <v>13</v>
      </c>
      <c r="V706" s="39">
        <v>3</v>
      </c>
      <c r="W706" s="39">
        <v>1</v>
      </c>
      <c r="Z706" s="39">
        <v>32</v>
      </c>
      <c r="AA706" s="35">
        <v>0</v>
      </c>
      <c r="AB706" s="36">
        <v>0</v>
      </c>
      <c r="AC706" s="36">
        <v>0</v>
      </c>
      <c r="AD706" s="36">
        <v>0</v>
      </c>
      <c r="AE706" s="36">
        <v>0</v>
      </c>
      <c r="AF706" s="36">
        <v>0</v>
      </c>
      <c r="AG706" s="36">
        <v>0</v>
      </c>
      <c r="AH706" s="36">
        <v>0</v>
      </c>
      <c r="AI706" s="36">
        <v>0</v>
      </c>
      <c r="AJ706" s="36">
        <v>0</v>
      </c>
      <c r="AK706" s="36">
        <v>0</v>
      </c>
      <c r="AL706" s="36">
        <v>0</v>
      </c>
      <c r="AM706" s="36">
        <v>0</v>
      </c>
      <c r="AN706" s="36">
        <v>0</v>
      </c>
      <c r="AO706" s="36">
        <v>0</v>
      </c>
      <c r="AP706" s="36">
        <v>0</v>
      </c>
      <c r="AQ706" s="36">
        <v>0</v>
      </c>
      <c r="AR706" s="36">
        <v>0</v>
      </c>
      <c r="AS706" s="36">
        <v>0</v>
      </c>
      <c r="AT706" s="36">
        <v>0</v>
      </c>
      <c r="AU706" s="36">
        <v>0</v>
      </c>
      <c r="AV706" s="36">
        <v>0</v>
      </c>
      <c r="AW706" s="36">
        <v>0</v>
      </c>
      <c r="AX706" s="36">
        <v>0</v>
      </c>
      <c r="AY706" s="36">
        <v>0</v>
      </c>
      <c r="AZ706" s="36">
        <v>0</v>
      </c>
      <c r="BA706" s="36">
        <v>0</v>
      </c>
      <c r="BB706" s="36">
        <v>0</v>
      </c>
      <c r="BC706" s="36">
        <v>0</v>
      </c>
      <c r="BD706" s="36">
        <v>0</v>
      </c>
      <c r="BE706" s="36">
        <v>0</v>
      </c>
      <c r="BF706" s="36">
        <v>0</v>
      </c>
      <c r="BG706" s="36">
        <v>0</v>
      </c>
      <c r="BH706" s="36">
        <v>0</v>
      </c>
      <c r="BI706" s="36">
        <v>0</v>
      </c>
      <c r="BJ706" s="36">
        <v>0</v>
      </c>
      <c r="BK706" s="36">
        <v>0</v>
      </c>
      <c r="BL706" s="36">
        <v>0</v>
      </c>
      <c r="BM706" s="36">
        <v>0</v>
      </c>
      <c r="BN706" s="36">
        <v>0</v>
      </c>
      <c r="BO706" s="36">
        <v>0</v>
      </c>
      <c r="BP706" s="36">
        <v>0</v>
      </c>
      <c r="BQ706" s="36">
        <v>0</v>
      </c>
      <c r="BR706" s="36">
        <v>0</v>
      </c>
      <c r="BS706" s="36">
        <v>0</v>
      </c>
      <c r="BT706" s="36">
        <v>0</v>
      </c>
      <c r="BU706" s="36">
        <v>0</v>
      </c>
      <c r="BV706" s="36">
        <v>0</v>
      </c>
      <c r="BW706" s="36">
        <v>0</v>
      </c>
      <c r="BX706" s="36">
        <v>0</v>
      </c>
      <c r="BY706" s="36">
        <v>0</v>
      </c>
      <c r="BZ706" s="36">
        <v>0</v>
      </c>
      <c r="CA706" s="36">
        <v>0</v>
      </c>
      <c r="CB706" s="36">
        <v>0</v>
      </c>
      <c r="CC706" s="36">
        <v>0</v>
      </c>
      <c r="CD706" s="36">
        <v>0</v>
      </c>
      <c r="CE706" s="36">
        <v>0</v>
      </c>
      <c r="CF706" s="36">
        <v>0</v>
      </c>
      <c r="CG706" s="36">
        <v>0</v>
      </c>
      <c r="CH706" s="36">
        <v>0</v>
      </c>
      <c r="CI706" s="36">
        <v>0</v>
      </c>
      <c r="CJ706" s="36">
        <v>0</v>
      </c>
      <c r="CK706" s="36">
        <v>0</v>
      </c>
      <c r="CL706" s="36">
        <v>0</v>
      </c>
      <c r="CM706" s="36">
        <v>0</v>
      </c>
      <c r="CN706" s="36">
        <v>0</v>
      </c>
      <c r="CO706" s="36">
        <v>0</v>
      </c>
      <c r="CP706" s="36">
        <v>0</v>
      </c>
      <c r="CQ706" s="36">
        <v>0</v>
      </c>
      <c r="CR706" s="36">
        <v>0</v>
      </c>
      <c r="CS706" s="36">
        <v>0</v>
      </c>
      <c r="CT706" s="36">
        <v>0</v>
      </c>
      <c r="CU706" s="36">
        <v>0</v>
      </c>
      <c r="CV706" s="36">
        <v>0</v>
      </c>
      <c r="CW706" s="36">
        <v>0</v>
      </c>
      <c r="CX706" s="36">
        <v>0</v>
      </c>
      <c r="CY706" s="36">
        <v>0</v>
      </c>
      <c r="CZ706" s="36">
        <v>0</v>
      </c>
      <c r="DA706" s="36">
        <v>0</v>
      </c>
      <c r="DB706" s="36">
        <v>0</v>
      </c>
      <c r="DC706" s="36">
        <v>0</v>
      </c>
      <c r="DD706" s="36">
        <v>0</v>
      </c>
      <c r="DE706" s="36">
        <v>0</v>
      </c>
      <c r="DF706" s="36">
        <v>0</v>
      </c>
      <c r="DG706" s="36">
        <v>0</v>
      </c>
      <c r="DH706" s="36">
        <v>0</v>
      </c>
      <c r="DI706" s="36">
        <v>0</v>
      </c>
      <c r="DJ706" s="36">
        <v>0</v>
      </c>
      <c r="DK706" s="36">
        <v>0</v>
      </c>
      <c r="DL706" s="36">
        <v>0</v>
      </c>
      <c r="DM706" s="36">
        <v>0</v>
      </c>
      <c r="DN706" s="36">
        <v>0</v>
      </c>
      <c r="DO706" s="36">
        <v>0</v>
      </c>
      <c r="DP706" s="36">
        <v>0</v>
      </c>
      <c r="DQ706" s="36">
        <v>0</v>
      </c>
      <c r="DR706" s="36">
        <v>0</v>
      </c>
      <c r="DS706" s="36">
        <v>0</v>
      </c>
      <c r="DT706" s="36">
        <v>1</v>
      </c>
      <c r="DU706" s="36">
        <v>1</v>
      </c>
      <c r="DV706" s="36">
        <v>0</v>
      </c>
      <c r="DW706" s="36">
        <v>0</v>
      </c>
      <c r="DX706" s="36">
        <v>0</v>
      </c>
      <c r="DY706" s="36">
        <v>0</v>
      </c>
      <c r="DZ706" s="36">
        <v>0</v>
      </c>
      <c r="EA706" s="36">
        <v>0</v>
      </c>
      <c r="EB706" s="36">
        <v>0</v>
      </c>
      <c r="EC706" s="36">
        <v>0</v>
      </c>
      <c r="ED706" s="36">
        <v>0</v>
      </c>
      <c r="EE706" s="36">
        <v>0</v>
      </c>
      <c r="EF706" s="36">
        <v>0</v>
      </c>
      <c r="EG706" s="36">
        <v>0</v>
      </c>
      <c r="EH706" s="36">
        <v>0</v>
      </c>
      <c r="EI706" s="36">
        <v>0</v>
      </c>
      <c r="EJ706" s="36">
        <v>0</v>
      </c>
      <c r="EK706" s="36">
        <v>0</v>
      </c>
      <c r="EL706" s="36">
        <v>0</v>
      </c>
      <c r="EM706" s="36">
        <v>0</v>
      </c>
      <c r="EN706" s="36">
        <v>0</v>
      </c>
      <c r="EO706" s="36">
        <v>0</v>
      </c>
      <c r="EP706" s="36">
        <v>0</v>
      </c>
      <c r="EQ706" s="36">
        <v>0</v>
      </c>
      <c r="ER706" s="36">
        <v>0</v>
      </c>
      <c r="ES706" s="36">
        <v>0</v>
      </c>
      <c r="ET706" s="36">
        <v>0</v>
      </c>
      <c r="EU706" s="36">
        <v>0</v>
      </c>
      <c r="EV706" s="36">
        <v>0</v>
      </c>
      <c r="EW706" s="36">
        <v>0</v>
      </c>
      <c r="EX706" s="36">
        <v>0</v>
      </c>
      <c r="EY706" s="36">
        <v>0</v>
      </c>
      <c r="EZ706" s="36">
        <v>0</v>
      </c>
      <c r="FA706" s="36">
        <v>0</v>
      </c>
      <c r="FB706" s="36">
        <v>0</v>
      </c>
      <c r="FC706" s="37">
        <v>0</v>
      </c>
    </row>
    <row r="707" spans="1:159" s="3" customFormat="1" ht="18" customHeight="1" x14ac:dyDescent="0.2">
      <c r="A707" s="140">
        <v>33</v>
      </c>
      <c r="B707" s="263">
        <v>1.4364120591101801</v>
      </c>
      <c r="C707" s="325"/>
      <c r="D707" s="38"/>
      <c r="E707" s="39">
        <v>0</v>
      </c>
      <c r="G707" s="39">
        <v>1</v>
      </c>
      <c r="H707" s="39">
        <v>9</v>
      </c>
      <c r="J707" s="39">
        <v>9</v>
      </c>
      <c r="K707" s="39">
        <v>1</v>
      </c>
      <c r="L707" s="39">
        <v>0</v>
      </c>
      <c r="N707" s="39">
        <v>33</v>
      </c>
      <c r="O707" s="35">
        <v>9</v>
      </c>
      <c r="P707" s="36">
        <v>1</v>
      </c>
      <c r="Q707" s="37">
        <v>0</v>
      </c>
      <c r="T707" s="39">
        <v>33</v>
      </c>
      <c r="U707" s="39">
        <v>13</v>
      </c>
      <c r="V707" s="39">
        <v>4</v>
      </c>
      <c r="W707" s="39">
        <v>1</v>
      </c>
      <c r="Z707" s="39">
        <v>33</v>
      </c>
      <c r="AA707" s="35">
        <v>0</v>
      </c>
      <c r="AB707" s="36">
        <v>0</v>
      </c>
      <c r="AC707" s="36">
        <v>0</v>
      </c>
      <c r="AD707" s="36">
        <v>0</v>
      </c>
      <c r="AE707" s="36">
        <v>0</v>
      </c>
      <c r="AF707" s="36">
        <v>0</v>
      </c>
      <c r="AG707" s="36">
        <v>0</v>
      </c>
      <c r="AH707" s="36">
        <v>0</v>
      </c>
      <c r="AI707" s="36">
        <v>0</v>
      </c>
      <c r="AJ707" s="36">
        <v>0</v>
      </c>
      <c r="AK707" s="36">
        <v>0</v>
      </c>
      <c r="AL707" s="36">
        <v>0</v>
      </c>
      <c r="AM707" s="36">
        <v>0</v>
      </c>
      <c r="AN707" s="36">
        <v>0</v>
      </c>
      <c r="AO707" s="36">
        <v>0</v>
      </c>
      <c r="AP707" s="36">
        <v>0</v>
      </c>
      <c r="AQ707" s="36">
        <v>0</v>
      </c>
      <c r="AR707" s="36">
        <v>0</v>
      </c>
      <c r="AS707" s="36">
        <v>0</v>
      </c>
      <c r="AT707" s="36">
        <v>0</v>
      </c>
      <c r="AU707" s="36">
        <v>0</v>
      </c>
      <c r="AV707" s="36">
        <v>0</v>
      </c>
      <c r="AW707" s="36">
        <v>0</v>
      </c>
      <c r="AX707" s="36">
        <v>0</v>
      </c>
      <c r="AY707" s="36">
        <v>0</v>
      </c>
      <c r="AZ707" s="36">
        <v>0</v>
      </c>
      <c r="BA707" s="36">
        <v>0</v>
      </c>
      <c r="BB707" s="36">
        <v>0</v>
      </c>
      <c r="BC707" s="36">
        <v>0</v>
      </c>
      <c r="BD707" s="36">
        <v>0</v>
      </c>
      <c r="BE707" s="36">
        <v>0</v>
      </c>
      <c r="BF707" s="36">
        <v>0</v>
      </c>
      <c r="BG707" s="36">
        <v>0</v>
      </c>
      <c r="BH707" s="36">
        <v>0</v>
      </c>
      <c r="BI707" s="36">
        <v>0</v>
      </c>
      <c r="BJ707" s="36">
        <v>0</v>
      </c>
      <c r="BK707" s="36">
        <v>0</v>
      </c>
      <c r="BL707" s="36">
        <v>0</v>
      </c>
      <c r="BM707" s="36">
        <v>0</v>
      </c>
      <c r="BN707" s="36">
        <v>0</v>
      </c>
      <c r="BO707" s="36">
        <v>0</v>
      </c>
      <c r="BP707" s="36">
        <v>0</v>
      </c>
      <c r="BQ707" s="36">
        <v>0</v>
      </c>
      <c r="BR707" s="36">
        <v>0</v>
      </c>
      <c r="BS707" s="36">
        <v>0</v>
      </c>
      <c r="BT707" s="36">
        <v>0</v>
      </c>
      <c r="BU707" s="36">
        <v>0</v>
      </c>
      <c r="BV707" s="36">
        <v>0</v>
      </c>
      <c r="BW707" s="36">
        <v>0</v>
      </c>
      <c r="BX707" s="36">
        <v>0</v>
      </c>
      <c r="BY707" s="36">
        <v>0</v>
      </c>
      <c r="BZ707" s="36">
        <v>0</v>
      </c>
      <c r="CA707" s="36">
        <v>0</v>
      </c>
      <c r="CB707" s="36">
        <v>0</v>
      </c>
      <c r="CC707" s="36">
        <v>0</v>
      </c>
      <c r="CD707" s="36">
        <v>0</v>
      </c>
      <c r="CE707" s="36">
        <v>0</v>
      </c>
      <c r="CF707" s="36">
        <v>0</v>
      </c>
      <c r="CG707" s="36">
        <v>0</v>
      </c>
      <c r="CH707" s="36">
        <v>0</v>
      </c>
      <c r="CI707" s="36">
        <v>0</v>
      </c>
      <c r="CJ707" s="36">
        <v>0</v>
      </c>
      <c r="CK707" s="36">
        <v>0</v>
      </c>
      <c r="CL707" s="36">
        <v>0</v>
      </c>
      <c r="CM707" s="36">
        <v>0</v>
      </c>
      <c r="CN707" s="36">
        <v>0</v>
      </c>
      <c r="CO707" s="36">
        <v>0</v>
      </c>
      <c r="CP707" s="36">
        <v>0</v>
      </c>
      <c r="CQ707" s="36">
        <v>0</v>
      </c>
      <c r="CR707" s="36">
        <v>0</v>
      </c>
      <c r="CS707" s="36">
        <v>0</v>
      </c>
      <c r="CT707" s="36">
        <v>0</v>
      </c>
      <c r="CU707" s="36">
        <v>0</v>
      </c>
      <c r="CV707" s="36">
        <v>0</v>
      </c>
      <c r="CW707" s="36">
        <v>0</v>
      </c>
      <c r="CX707" s="36">
        <v>0</v>
      </c>
      <c r="CY707" s="36">
        <v>0</v>
      </c>
      <c r="CZ707" s="36">
        <v>0</v>
      </c>
      <c r="DA707" s="36">
        <v>0</v>
      </c>
      <c r="DB707" s="36">
        <v>0</v>
      </c>
      <c r="DC707" s="36">
        <v>0</v>
      </c>
      <c r="DD707" s="36">
        <v>0</v>
      </c>
      <c r="DE707" s="36">
        <v>0</v>
      </c>
      <c r="DF707" s="36">
        <v>0</v>
      </c>
      <c r="DG707" s="36">
        <v>0</v>
      </c>
      <c r="DH707" s="36">
        <v>0</v>
      </c>
      <c r="DI707" s="36">
        <v>0</v>
      </c>
      <c r="DJ707" s="36">
        <v>0</v>
      </c>
      <c r="DK707" s="36">
        <v>0</v>
      </c>
      <c r="DL707" s="36">
        <v>0</v>
      </c>
      <c r="DM707" s="36">
        <v>0</v>
      </c>
      <c r="DN707" s="36">
        <v>0</v>
      </c>
      <c r="DO707" s="36">
        <v>0</v>
      </c>
      <c r="DP707" s="36">
        <v>0</v>
      </c>
      <c r="DQ707" s="36">
        <v>0</v>
      </c>
      <c r="DR707" s="36">
        <v>0</v>
      </c>
      <c r="DS707" s="36">
        <v>0</v>
      </c>
      <c r="DT707" s="36">
        <v>0</v>
      </c>
      <c r="DU707" s="36">
        <v>0</v>
      </c>
      <c r="DV707" s="36">
        <v>1</v>
      </c>
      <c r="DW707" s="36">
        <v>1</v>
      </c>
      <c r="DX707" s="36">
        <v>0</v>
      </c>
      <c r="DY707" s="36">
        <v>0</v>
      </c>
      <c r="DZ707" s="36">
        <v>0</v>
      </c>
      <c r="EA707" s="36">
        <v>0</v>
      </c>
      <c r="EB707" s="36">
        <v>0</v>
      </c>
      <c r="EC707" s="36">
        <v>0</v>
      </c>
      <c r="ED707" s="36">
        <v>0</v>
      </c>
      <c r="EE707" s="36">
        <v>0</v>
      </c>
      <c r="EF707" s="36">
        <v>0</v>
      </c>
      <c r="EG707" s="36">
        <v>0</v>
      </c>
      <c r="EH707" s="36">
        <v>0</v>
      </c>
      <c r="EI707" s="36">
        <v>0</v>
      </c>
      <c r="EJ707" s="36">
        <v>0</v>
      </c>
      <c r="EK707" s="36">
        <v>0</v>
      </c>
      <c r="EL707" s="36">
        <v>0</v>
      </c>
      <c r="EM707" s="36">
        <v>0</v>
      </c>
      <c r="EN707" s="36">
        <v>0</v>
      </c>
      <c r="EO707" s="36">
        <v>0</v>
      </c>
      <c r="EP707" s="36">
        <v>0</v>
      </c>
      <c r="EQ707" s="36">
        <v>0</v>
      </c>
      <c r="ER707" s="36">
        <v>0</v>
      </c>
      <c r="ES707" s="36">
        <v>0</v>
      </c>
      <c r="ET707" s="36">
        <v>0</v>
      </c>
      <c r="EU707" s="36">
        <v>0</v>
      </c>
      <c r="EV707" s="36">
        <v>0</v>
      </c>
      <c r="EW707" s="36">
        <v>0</v>
      </c>
      <c r="EX707" s="36">
        <v>0</v>
      </c>
      <c r="EY707" s="36">
        <v>0</v>
      </c>
      <c r="EZ707" s="36">
        <v>0</v>
      </c>
      <c r="FA707" s="36">
        <v>0</v>
      </c>
      <c r="FB707" s="36">
        <v>0</v>
      </c>
      <c r="FC707" s="37">
        <v>0</v>
      </c>
    </row>
    <row r="708" spans="1:159" s="3" customFormat="1" ht="18" customHeight="1" x14ac:dyDescent="0.2">
      <c r="A708" s="140">
        <v>34</v>
      </c>
      <c r="B708" s="263">
        <v>1.43162191132165</v>
      </c>
      <c r="C708" s="325"/>
      <c r="D708" s="38"/>
      <c r="E708" s="39">
        <v>1</v>
      </c>
      <c r="G708" s="39">
        <v>2</v>
      </c>
      <c r="H708" s="39">
        <v>9</v>
      </c>
      <c r="J708" s="39">
        <v>9</v>
      </c>
      <c r="K708" s="39">
        <v>2</v>
      </c>
      <c r="L708" s="39">
        <v>1</v>
      </c>
      <c r="N708" s="39">
        <v>34</v>
      </c>
      <c r="O708" s="35">
        <v>9</v>
      </c>
      <c r="P708" s="36">
        <v>2</v>
      </c>
      <c r="Q708" s="37">
        <v>1</v>
      </c>
      <c r="T708" s="39">
        <v>34</v>
      </c>
      <c r="U708" s="39">
        <v>14</v>
      </c>
      <c r="V708" s="39">
        <v>2</v>
      </c>
      <c r="W708" s="39">
        <v>1</v>
      </c>
      <c r="Z708" s="39">
        <v>34</v>
      </c>
      <c r="AA708" s="35">
        <v>0</v>
      </c>
      <c r="AB708" s="36">
        <v>0</v>
      </c>
      <c r="AC708" s="36">
        <v>0</v>
      </c>
      <c r="AD708" s="36">
        <v>0</v>
      </c>
      <c r="AE708" s="36">
        <v>0</v>
      </c>
      <c r="AF708" s="36">
        <v>0</v>
      </c>
      <c r="AG708" s="36">
        <v>0</v>
      </c>
      <c r="AH708" s="36">
        <v>0</v>
      </c>
      <c r="AI708" s="36">
        <v>0</v>
      </c>
      <c r="AJ708" s="36">
        <v>0</v>
      </c>
      <c r="AK708" s="36">
        <v>0</v>
      </c>
      <c r="AL708" s="36">
        <v>0</v>
      </c>
      <c r="AM708" s="36">
        <v>0</v>
      </c>
      <c r="AN708" s="36">
        <v>0</v>
      </c>
      <c r="AO708" s="36">
        <v>0</v>
      </c>
      <c r="AP708" s="36">
        <v>0</v>
      </c>
      <c r="AQ708" s="36">
        <v>0</v>
      </c>
      <c r="AR708" s="36">
        <v>0</v>
      </c>
      <c r="AS708" s="36">
        <v>0</v>
      </c>
      <c r="AT708" s="36">
        <v>0</v>
      </c>
      <c r="AU708" s="36">
        <v>0</v>
      </c>
      <c r="AV708" s="36">
        <v>0</v>
      </c>
      <c r="AW708" s="36">
        <v>0</v>
      </c>
      <c r="AX708" s="36">
        <v>0</v>
      </c>
      <c r="AY708" s="36">
        <v>0</v>
      </c>
      <c r="AZ708" s="36">
        <v>0</v>
      </c>
      <c r="BA708" s="36">
        <v>0</v>
      </c>
      <c r="BB708" s="36">
        <v>0</v>
      </c>
      <c r="BC708" s="36">
        <v>0</v>
      </c>
      <c r="BD708" s="36">
        <v>0</v>
      </c>
      <c r="BE708" s="36">
        <v>0</v>
      </c>
      <c r="BF708" s="36">
        <v>0</v>
      </c>
      <c r="BG708" s="36">
        <v>0</v>
      </c>
      <c r="BH708" s="36">
        <v>0</v>
      </c>
      <c r="BI708" s="36">
        <v>0</v>
      </c>
      <c r="BJ708" s="36">
        <v>0</v>
      </c>
      <c r="BK708" s="36">
        <v>0</v>
      </c>
      <c r="BL708" s="36">
        <v>0</v>
      </c>
      <c r="BM708" s="36">
        <v>0</v>
      </c>
      <c r="BN708" s="36">
        <v>0</v>
      </c>
      <c r="BO708" s="36">
        <v>0</v>
      </c>
      <c r="BP708" s="36">
        <v>0</v>
      </c>
      <c r="BQ708" s="36">
        <v>0</v>
      </c>
      <c r="BR708" s="36">
        <v>0</v>
      </c>
      <c r="BS708" s="36">
        <v>0</v>
      </c>
      <c r="BT708" s="36">
        <v>0</v>
      </c>
      <c r="BU708" s="36">
        <v>0</v>
      </c>
      <c r="BV708" s="36">
        <v>0</v>
      </c>
      <c r="BW708" s="36">
        <v>0</v>
      </c>
      <c r="BX708" s="36">
        <v>0</v>
      </c>
      <c r="BY708" s="36">
        <v>0</v>
      </c>
      <c r="BZ708" s="36">
        <v>0</v>
      </c>
      <c r="CA708" s="36">
        <v>0</v>
      </c>
      <c r="CB708" s="36">
        <v>0</v>
      </c>
      <c r="CC708" s="36">
        <v>0</v>
      </c>
      <c r="CD708" s="36">
        <v>0</v>
      </c>
      <c r="CE708" s="36">
        <v>0</v>
      </c>
      <c r="CF708" s="36">
        <v>0</v>
      </c>
      <c r="CG708" s="36">
        <v>0</v>
      </c>
      <c r="CH708" s="36">
        <v>0</v>
      </c>
      <c r="CI708" s="36">
        <v>0</v>
      </c>
      <c r="CJ708" s="36">
        <v>0</v>
      </c>
      <c r="CK708" s="36">
        <v>0</v>
      </c>
      <c r="CL708" s="36">
        <v>0</v>
      </c>
      <c r="CM708" s="36">
        <v>0</v>
      </c>
      <c r="CN708" s="36">
        <v>0</v>
      </c>
      <c r="CO708" s="36">
        <v>0</v>
      </c>
      <c r="CP708" s="36">
        <v>0</v>
      </c>
      <c r="CQ708" s="36">
        <v>0</v>
      </c>
      <c r="CR708" s="36">
        <v>0</v>
      </c>
      <c r="CS708" s="36">
        <v>0</v>
      </c>
      <c r="CT708" s="36">
        <v>0</v>
      </c>
      <c r="CU708" s="36">
        <v>0</v>
      </c>
      <c r="CV708" s="36">
        <v>0</v>
      </c>
      <c r="CW708" s="36">
        <v>0</v>
      </c>
      <c r="CX708" s="36">
        <v>0</v>
      </c>
      <c r="CY708" s="36">
        <v>0</v>
      </c>
      <c r="CZ708" s="36">
        <v>0</v>
      </c>
      <c r="DA708" s="36">
        <v>0</v>
      </c>
      <c r="DB708" s="36">
        <v>0</v>
      </c>
      <c r="DC708" s="36">
        <v>0</v>
      </c>
      <c r="DD708" s="36">
        <v>0</v>
      </c>
      <c r="DE708" s="36">
        <v>0</v>
      </c>
      <c r="DF708" s="36">
        <v>0</v>
      </c>
      <c r="DG708" s="36">
        <v>0</v>
      </c>
      <c r="DH708" s="36">
        <v>0</v>
      </c>
      <c r="DI708" s="36">
        <v>0</v>
      </c>
      <c r="DJ708" s="36">
        <v>0</v>
      </c>
      <c r="DK708" s="36">
        <v>0</v>
      </c>
      <c r="DL708" s="36">
        <v>0</v>
      </c>
      <c r="DM708" s="36">
        <v>0</v>
      </c>
      <c r="DN708" s="36">
        <v>0</v>
      </c>
      <c r="DO708" s="36">
        <v>0</v>
      </c>
      <c r="DP708" s="36">
        <v>0</v>
      </c>
      <c r="DQ708" s="36">
        <v>0</v>
      </c>
      <c r="DR708" s="36">
        <v>0</v>
      </c>
      <c r="DS708" s="36">
        <v>0</v>
      </c>
      <c r="DT708" s="36">
        <v>0</v>
      </c>
      <c r="DU708" s="36">
        <v>0</v>
      </c>
      <c r="DV708" s="36">
        <v>0</v>
      </c>
      <c r="DW708" s="36">
        <v>0</v>
      </c>
      <c r="DX708" s="36">
        <v>1</v>
      </c>
      <c r="DY708" s="36">
        <v>1</v>
      </c>
      <c r="DZ708" s="36">
        <v>0</v>
      </c>
      <c r="EA708" s="36">
        <v>0</v>
      </c>
      <c r="EB708" s="36">
        <v>0</v>
      </c>
      <c r="EC708" s="36">
        <v>0</v>
      </c>
      <c r="ED708" s="36">
        <v>0</v>
      </c>
      <c r="EE708" s="36">
        <v>0</v>
      </c>
      <c r="EF708" s="36">
        <v>0</v>
      </c>
      <c r="EG708" s="36">
        <v>0</v>
      </c>
      <c r="EH708" s="36">
        <v>0</v>
      </c>
      <c r="EI708" s="36">
        <v>0</v>
      </c>
      <c r="EJ708" s="36">
        <v>0</v>
      </c>
      <c r="EK708" s="36">
        <v>0</v>
      </c>
      <c r="EL708" s="36">
        <v>0</v>
      </c>
      <c r="EM708" s="36">
        <v>0</v>
      </c>
      <c r="EN708" s="36">
        <v>0</v>
      </c>
      <c r="EO708" s="36">
        <v>0</v>
      </c>
      <c r="EP708" s="36">
        <v>0</v>
      </c>
      <c r="EQ708" s="36">
        <v>0</v>
      </c>
      <c r="ER708" s="36">
        <v>0</v>
      </c>
      <c r="ES708" s="36">
        <v>0</v>
      </c>
      <c r="ET708" s="36">
        <v>0</v>
      </c>
      <c r="EU708" s="36">
        <v>0</v>
      </c>
      <c r="EV708" s="36">
        <v>0</v>
      </c>
      <c r="EW708" s="36">
        <v>0</v>
      </c>
      <c r="EX708" s="36">
        <v>0</v>
      </c>
      <c r="EY708" s="36">
        <v>0</v>
      </c>
      <c r="EZ708" s="36">
        <v>0</v>
      </c>
      <c r="FA708" s="36">
        <v>0</v>
      </c>
      <c r="FB708" s="36">
        <v>0</v>
      </c>
      <c r="FC708" s="37">
        <v>0</v>
      </c>
    </row>
    <row r="709" spans="1:159" s="3" customFormat="1" ht="18" customHeight="1" x14ac:dyDescent="0.2">
      <c r="A709" s="140">
        <v>35</v>
      </c>
      <c r="B709" s="263">
        <v>1.4366978203901899</v>
      </c>
      <c r="C709" s="325"/>
      <c r="D709" s="38"/>
      <c r="E709" s="39">
        <v>1</v>
      </c>
      <c r="G709" s="39">
        <v>3</v>
      </c>
      <c r="H709" s="39">
        <v>9</v>
      </c>
      <c r="J709" s="39">
        <v>9</v>
      </c>
      <c r="K709" s="39">
        <v>3</v>
      </c>
      <c r="L709" s="39">
        <v>1</v>
      </c>
      <c r="N709" s="39">
        <v>35</v>
      </c>
      <c r="O709" s="35">
        <v>9</v>
      </c>
      <c r="P709" s="36">
        <v>3</v>
      </c>
      <c r="Q709" s="37">
        <v>1</v>
      </c>
      <c r="T709" s="39">
        <v>35</v>
      </c>
      <c r="U709" s="39">
        <v>14</v>
      </c>
      <c r="V709" s="39">
        <v>3</v>
      </c>
      <c r="W709" s="39">
        <v>1</v>
      </c>
      <c r="Z709" s="39">
        <v>35</v>
      </c>
      <c r="AA709" s="35">
        <v>0</v>
      </c>
      <c r="AB709" s="36">
        <v>0</v>
      </c>
      <c r="AC709" s="36">
        <v>0</v>
      </c>
      <c r="AD709" s="36">
        <v>0</v>
      </c>
      <c r="AE709" s="36">
        <v>0</v>
      </c>
      <c r="AF709" s="36">
        <v>0</v>
      </c>
      <c r="AG709" s="36">
        <v>0</v>
      </c>
      <c r="AH709" s="36">
        <v>0</v>
      </c>
      <c r="AI709" s="36">
        <v>0</v>
      </c>
      <c r="AJ709" s="36">
        <v>0</v>
      </c>
      <c r="AK709" s="36">
        <v>0</v>
      </c>
      <c r="AL709" s="36">
        <v>0</v>
      </c>
      <c r="AM709" s="36">
        <v>0</v>
      </c>
      <c r="AN709" s="36">
        <v>0</v>
      </c>
      <c r="AO709" s="36">
        <v>0</v>
      </c>
      <c r="AP709" s="36">
        <v>0</v>
      </c>
      <c r="AQ709" s="36">
        <v>0</v>
      </c>
      <c r="AR709" s="36">
        <v>0</v>
      </c>
      <c r="AS709" s="36">
        <v>0</v>
      </c>
      <c r="AT709" s="36">
        <v>0</v>
      </c>
      <c r="AU709" s="36">
        <v>0</v>
      </c>
      <c r="AV709" s="36">
        <v>0</v>
      </c>
      <c r="AW709" s="36">
        <v>0</v>
      </c>
      <c r="AX709" s="36">
        <v>0</v>
      </c>
      <c r="AY709" s="36">
        <v>0</v>
      </c>
      <c r="AZ709" s="36">
        <v>0</v>
      </c>
      <c r="BA709" s="36">
        <v>0</v>
      </c>
      <c r="BB709" s="36">
        <v>0</v>
      </c>
      <c r="BC709" s="36">
        <v>0</v>
      </c>
      <c r="BD709" s="36">
        <v>0</v>
      </c>
      <c r="BE709" s="36">
        <v>0</v>
      </c>
      <c r="BF709" s="36">
        <v>0</v>
      </c>
      <c r="BG709" s="36">
        <v>0</v>
      </c>
      <c r="BH709" s="36">
        <v>0</v>
      </c>
      <c r="BI709" s="36">
        <v>0</v>
      </c>
      <c r="BJ709" s="36">
        <v>0</v>
      </c>
      <c r="BK709" s="36">
        <v>0</v>
      </c>
      <c r="BL709" s="36">
        <v>0</v>
      </c>
      <c r="BM709" s="36">
        <v>0</v>
      </c>
      <c r="BN709" s="36">
        <v>0</v>
      </c>
      <c r="BO709" s="36">
        <v>0</v>
      </c>
      <c r="BP709" s="36">
        <v>0</v>
      </c>
      <c r="BQ709" s="36">
        <v>0</v>
      </c>
      <c r="BR709" s="36">
        <v>0</v>
      </c>
      <c r="BS709" s="36">
        <v>0</v>
      </c>
      <c r="BT709" s="36">
        <v>0</v>
      </c>
      <c r="BU709" s="36">
        <v>0</v>
      </c>
      <c r="BV709" s="36">
        <v>0</v>
      </c>
      <c r="BW709" s="36">
        <v>0</v>
      </c>
      <c r="BX709" s="36">
        <v>0</v>
      </c>
      <c r="BY709" s="36">
        <v>0</v>
      </c>
      <c r="BZ709" s="36">
        <v>0</v>
      </c>
      <c r="CA709" s="36">
        <v>0</v>
      </c>
      <c r="CB709" s="36">
        <v>0</v>
      </c>
      <c r="CC709" s="36">
        <v>0</v>
      </c>
      <c r="CD709" s="36">
        <v>0</v>
      </c>
      <c r="CE709" s="36">
        <v>0</v>
      </c>
      <c r="CF709" s="36">
        <v>0</v>
      </c>
      <c r="CG709" s="36">
        <v>0</v>
      </c>
      <c r="CH709" s="36">
        <v>0</v>
      </c>
      <c r="CI709" s="36">
        <v>0</v>
      </c>
      <c r="CJ709" s="36">
        <v>0</v>
      </c>
      <c r="CK709" s="36">
        <v>0</v>
      </c>
      <c r="CL709" s="36">
        <v>0</v>
      </c>
      <c r="CM709" s="36">
        <v>0</v>
      </c>
      <c r="CN709" s="36">
        <v>0</v>
      </c>
      <c r="CO709" s="36">
        <v>0</v>
      </c>
      <c r="CP709" s="36">
        <v>0</v>
      </c>
      <c r="CQ709" s="36">
        <v>0</v>
      </c>
      <c r="CR709" s="36">
        <v>0</v>
      </c>
      <c r="CS709" s="36">
        <v>0</v>
      </c>
      <c r="CT709" s="36">
        <v>0</v>
      </c>
      <c r="CU709" s="36">
        <v>0</v>
      </c>
      <c r="CV709" s="36">
        <v>0</v>
      </c>
      <c r="CW709" s="36">
        <v>0</v>
      </c>
      <c r="CX709" s="36">
        <v>0</v>
      </c>
      <c r="CY709" s="36">
        <v>0</v>
      </c>
      <c r="CZ709" s="36">
        <v>0</v>
      </c>
      <c r="DA709" s="36">
        <v>0</v>
      </c>
      <c r="DB709" s="36">
        <v>0</v>
      </c>
      <c r="DC709" s="36">
        <v>0</v>
      </c>
      <c r="DD709" s="36">
        <v>0</v>
      </c>
      <c r="DE709" s="36">
        <v>0</v>
      </c>
      <c r="DF709" s="36">
        <v>0</v>
      </c>
      <c r="DG709" s="36">
        <v>0</v>
      </c>
      <c r="DH709" s="36">
        <v>0</v>
      </c>
      <c r="DI709" s="36">
        <v>0</v>
      </c>
      <c r="DJ709" s="36">
        <v>0</v>
      </c>
      <c r="DK709" s="36">
        <v>0</v>
      </c>
      <c r="DL709" s="36">
        <v>0</v>
      </c>
      <c r="DM709" s="36">
        <v>0</v>
      </c>
      <c r="DN709" s="36">
        <v>0</v>
      </c>
      <c r="DO709" s="36">
        <v>0</v>
      </c>
      <c r="DP709" s="36">
        <v>0</v>
      </c>
      <c r="DQ709" s="36">
        <v>0</v>
      </c>
      <c r="DR709" s="36">
        <v>0</v>
      </c>
      <c r="DS709" s="36">
        <v>0</v>
      </c>
      <c r="DT709" s="36">
        <v>0</v>
      </c>
      <c r="DU709" s="36">
        <v>0</v>
      </c>
      <c r="DV709" s="36">
        <v>0</v>
      </c>
      <c r="DW709" s="36">
        <v>0</v>
      </c>
      <c r="DX709" s="36">
        <v>0</v>
      </c>
      <c r="DY709" s="36">
        <v>0</v>
      </c>
      <c r="DZ709" s="36">
        <v>1</v>
      </c>
      <c r="EA709" s="36">
        <v>1</v>
      </c>
      <c r="EB709" s="36">
        <v>0</v>
      </c>
      <c r="EC709" s="36">
        <v>0</v>
      </c>
      <c r="ED709" s="36">
        <v>0</v>
      </c>
      <c r="EE709" s="36">
        <v>0</v>
      </c>
      <c r="EF709" s="36">
        <v>0</v>
      </c>
      <c r="EG709" s="36">
        <v>0</v>
      </c>
      <c r="EH709" s="36">
        <v>0</v>
      </c>
      <c r="EI709" s="36">
        <v>0</v>
      </c>
      <c r="EJ709" s="36">
        <v>0</v>
      </c>
      <c r="EK709" s="36">
        <v>0</v>
      </c>
      <c r="EL709" s="36">
        <v>0</v>
      </c>
      <c r="EM709" s="36">
        <v>0</v>
      </c>
      <c r="EN709" s="36">
        <v>0</v>
      </c>
      <c r="EO709" s="36">
        <v>0</v>
      </c>
      <c r="EP709" s="36">
        <v>0</v>
      </c>
      <c r="EQ709" s="36">
        <v>0</v>
      </c>
      <c r="ER709" s="36">
        <v>0</v>
      </c>
      <c r="ES709" s="36">
        <v>0</v>
      </c>
      <c r="ET709" s="36">
        <v>0</v>
      </c>
      <c r="EU709" s="36">
        <v>0</v>
      </c>
      <c r="EV709" s="36">
        <v>0</v>
      </c>
      <c r="EW709" s="36">
        <v>0</v>
      </c>
      <c r="EX709" s="36">
        <v>0</v>
      </c>
      <c r="EY709" s="36">
        <v>0</v>
      </c>
      <c r="EZ709" s="36">
        <v>0</v>
      </c>
      <c r="FA709" s="36">
        <v>0</v>
      </c>
      <c r="FB709" s="36">
        <v>0</v>
      </c>
      <c r="FC709" s="37">
        <v>0</v>
      </c>
    </row>
    <row r="710" spans="1:159" s="3" customFormat="1" ht="18" customHeight="1" x14ac:dyDescent="0.2">
      <c r="A710" s="140">
        <v>36</v>
      </c>
      <c r="B710" s="263">
        <v>1.4379624063256</v>
      </c>
      <c r="C710" s="325"/>
      <c r="D710" s="38"/>
      <c r="E710" s="39">
        <v>1</v>
      </c>
      <c r="G710" s="39">
        <v>4</v>
      </c>
      <c r="H710" s="39">
        <v>9</v>
      </c>
      <c r="J710" s="39">
        <v>9</v>
      </c>
      <c r="K710" s="39">
        <v>4</v>
      </c>
      <c r="L710" s="39">
        <v>1</v>
      </c>
      <c r="N710" s="39">
        <v>36</v>
      </c>
      <c r="O710" s="35">
        <v>9</v>
      </c>
      <c r="P710" s="36">
        <v>4</v>
      </c>
      <c r="Q710" s="37">
        <v>1</v>
      </c>
      <c r="T710" s="39">
        <v>36</v>
      </c>
      <c r="U710" s="39">
        <v>14</v>
      </c>
      <c r="V710" s="39">
        <v>4</v>
      </c>
      <c r="W710" s="39">
        <v>1</v>
      </c>
      <c r="Z710" s="39">
        <v>36</v>
      </c>
      <c r="AA710" s="35">
        <v>0</v>
      </c>
      <c r="AB710" s="36">
        <v>0</v>
      </c>
      <c r="AC710" s="36">
        <v>0</v>
      </c>
      <c r="AD710" s="36">
        <v>0</v>
      </c>
      <c r="AE710" s="36">
        <v>0</v>
      </c>
      <c r="AF710" s="36">
        <v>0</v>
      </c>
      <c r="AG710" s="36">
        <v>0</v>
      </c>
      <c r="AH710" s="36">
        <v>0</v>
      </c>
      <c r="AI710" s="36">
        <v>0</v>
      </c>
      <c r="AJ710" s="36">
        <v>0</v>
      </c>
      <c r="AK710" s="36">
        <v>0</v>
      </c>
      <c r="AL710" s="36">
        <v>0</v>
      </c>
      <c r="AM710" s="36">
        <v>0</v>
      </c>
      <c r="AN710" s="36">
        <v>0</v>
      </c>
      <c r="AO710" s="36">
        <v>0</v>
      </c>
      <c r="AP710" s="36">
        <v>0</v>
      </c>
      <c r="AQ710" s="36">
        <v>0</v>
      </c>
      <c r="AR710" s="36">
        <v>0</v>
      </c>
      <c r="AS710" s="36">
        <v>0</v>
      </c>
      <c r="AT710" s="36">
        <v>0</v>
      </c>
      <c r="AU710" s="36">
        <v>0</v>
      </c>
      <c r="AV710" s="36">
        <v>0</v>
      </c>
      <c r="AW710" s="36">
        <v>0</v>
      </c>
      <c r="AX710" s="36">
        <v>0</v>
      </c>
      <c r="AY710" s="36">
        <v>0</v>
      </c>
      <c r="AZ710" s="36">
        <v>0</v>
      </c>
      <c r="BA710" s="36">
        <v>0</v>
      </c>
      <c r="BB710" s="36">
        <v>0</v>
      </c>
      <c r="BC710" s="36">
        <v>0</v>
      </c>
      <c r="BD710" s="36">
        <v>0</v>
      </c>
      <c r="BE710" s="36">
        <v>0</v>
      </c>
      <c r="BF710" s="36">
        <v>0</v>
      </c>
      <c r="BG710" s="36">
        <v>0</v>
      </c>
      <c r="BH710" s="36">
        <v>0</v>
      </c>
      <c r="BI710" s="36">
        <v>0</v>
      </c>
      <c r="BJ710" s="36">
        <v>0</v>
      </c>
      <c r="BK710" s="36">
        <v>0</v>
      </c>
      <c r="BL710" s="36">
        <v>0</v>
      </c>
      <c r="BM710" s="36">
        <v>0</v>
      </c>
      <c r="BN710" s="36">
        <v>0</v>
      </c>
      <c r="BO710" s="36">
        <v>0</v>
      </c>
      <c r="BP710" s="36">
        <v>0</v>
      </c>
      <c r="BQ710" s="36">
        <v>0</v>
      </c>
      <c r="BR710" s="36">
        <v>0</v>
      </c>
      <c r="BS710" s="36">
        <v>0</v>
      </c>
      <c r="BT710" s="36">
        <v>0</v>
      </c>
      <c r="BU710" s="36">
        <v>0</v>
      </c>
      <c r="BV710" s="36">
        <v>0</v>
      </c>
      <c r="BW710" s="36">
        <v>0</v>
      </c>
      <c r="BX710" s="36">
        <v>0</v>
      </c>
      <c r="BY710" s="36">
        <v>0</v>
      </c>
      <c r="BZ710" s="36">
        <v>0</v>
      </c>
      <c r="CA710" s="36">
        <v>0</v>
      </c>
      <c r="CB710" s="36">
        <v>0</v>
      </c>
      <c r="CC710" s="36">
        <v>0</v>
      </c>
      <c r="CD710" s="36">
        <v>0</v>
      </c>
      <c r="CE710" s="36">
        <v>0</v>
      </c>
      <c r="CF710" s="36">
        <v>0</v>
      </c>
      <c r="CG710" s="36">
        <v>0</v>
      </c>
      <c r="CH710" s="36">
        <v>0</v>
      </c>
      <c r="CI710" s="36">
        <v>0</v>
      </c>
      <c r="CJ710" s="36">
        <v>0</v>
      </c>
      <c r="CK710" s="36">
        <v>0</v>
      </c>
      <c r="CL710" s="36">
        <v>0</v>
      </c>
      <c r="CM710" s="36">
        <v>0</v>
      </c>
      <c r="CN710" s="36">
        <v>0</v>
      </c>
      <c r="CO710" s="36">
        <v>0</v>
      </c>
      <c r="CP710" s="36">
        <v>0</v>
      </c>
      <c r="CQ710" s="36">
        <v>0</v>
      </c>
      <c r="CR710" s="36">
        <v>0</v>
      </c>
      <c r="CS710" s="36">
        <v>0</v>
      </c>
      <c r="CT710" s="36">
        <v>0</v>
      </c>
      <c r="CU710" s="36">
        <v>0</v>
      </c>
      <c r="CV710" s="36">
        <v>0</v>
      </c>
      <c r="CW710" s="36">
        <v>0</v>
      </c>
      <c r="CX710" s="36">
        <v>0</v>
      </c>
      <c r="CY710" s="36">
        <v>0</v>
      </c>
      <c r="CZ710" s="36">
        <v>0</v>
      </c>
      <c r="DA710" s="36">
        <v>0</v>
      </c>
      <c r="DB710" s="36">
        <v>0</v>
      </c>
      <c r="DC710" s="36">
        <v>0</v>
      </c>
      <c r="DD710" s="36">
        <v>0</v>
      </c>
      <c r="DE710" s="36">
        <v>0</v>
      </c>
      <c r="DF710" s="36">
        <v>0</v>
      </c>
      <c r="DG710" s="36">
        <v>0</v>
      </c>
      <c r="DH710" s="36">
        <v>0</v>
      </c>
      <c r="DI710" s="36">
        <v>0</v>
      </c>
      <c r="DJ710" s="36">
        <v>0</v>
      </c>
      <c r="DK710" s="36">
        <v>0</v>
      </c>
      <c r="DL710" s="36">
        <v>0</v>
      </c>
      <c r="DM710" s="36">
        <v>0</v>
      </c>
      <c r="DN710" s="36">
        <v>0</v>
      </c>
      <c r="DO710" s="36">
        <v>0</v>
      </c>
      <c r="DP710" s="36">
        <v>0</v>
      </c>
      <c r="DQ710" s="36">
        <v>0</v>
      </c>
      <c r="DR710" s="36">
        <v>0</v>
      </c>
      <c r="DS710" s="36">
        <v>0</v>
      </c>
      <c r="DT710" s="36">
        <v>0</v>
      </c>
      <c r="DU710" s="36">
        <v>0</v>
      </c>
      <c r="DV710" s="36">
        <v>0</v>
      </c>
      <c r="DW710" s="36">
        <v>0</v>
      </c>
      <c r="DX710" s="36">
        <v>0</v>
      </c>
      <c r="DY710" s="36">
        <v>0</v>
      </c>
      <c r="DZ710" s="36">
        <v>0</v>
      </c>
      <c r="EA710" s="36">
        <v>0</v>
      </c>
      <c r="EB710" s="36">
        <v>1</v>
      </c>
      <c r="EC710" s="36">
        <v>1</v>
      </c>
      <c r="ED710" s="36">
        <v>0</v>
      </c>
      <c r="EE710" s="36">
        <v>0</v>
      </c>
      <c r="EF710" s="36">
        <v>0</v>
      </c>
      <c r="EG710" s="36">
        <v>0</v>
      </c>
      <c r="EH710" s="36">
        <v>0</v>
      </c>
      <c r="EI710" s="36">
        <v>0</v>
      </c>
      <c r="EJ710" s="36">
        <v>0</v>
      </c>
      <c r="EK710" s="36">
        <v>0</v>
      </c>
      <c r="EL710" s="36">
        <v>0</v>
      </c>
      <c r="EM710" s="36">
        <v>0</v>
      </c>
      <c r="EN710" s="36">
        <v>0</v>
      </c>
      <c r="EO710" s="36">
        <v>0</v>
      </c>
      <c r="EP710" s="36">
        <v>0</v>
      </c>
      <c r="EQ710" s="36">
        <v>0</v>
      </c>
      <c r="ER710" s="36">
        <v>0</v>
      </c>
      <c r="ES710" s="36">
        <v>0</v>
      </c>
      <c r="ET710" s="36">
        <v>0</v>
      </c>
      <c r="EU710" s="36">
        <v>0</v>
      </c>
      <c r="EV710" s="36">
        <v>0</v>
      </c>
      <c r="EW710" s="36">
        <v>0</v>
      </c>
      <c r="EX710" s="36">
        <v>0</v>
      </c>
      <c r="EY710" s="36">
        <v>0</v>
      </c>
      <c r="EZ710" s="36">
        <v>0</v>
      </c>
      <c r="FA710" s="36">
        <v>0</v>
      </c>
      <c r="FB710" s="36">
        <v>0</v>
      </c>
      <c r="FC710" s="37">
        <v>0</v>
      </c>
    </row>
    <row r="711" spans="1:159" s="3" customFormat="1" ht="18" customHeight="1" x14ac:dyDescent="0.2">
      <c r="A711" s="140">
        <v>37</v>
      </c>
      <c r="B711" s="263">
        <v>1.4232614254832601</v>
      </c>
      <c r="C711" s="325"/>
      <c r="D711" s="38"/>
      <c r="E711" s="39">
        <v>0</v>
      </c>
      <c r="G711" s="39">
        <v>1</v>
      </c>
      <c r="H711" s="39">
        <v>10</v>
      </c>
      <c r="J711" s="39">
        <v>10</v>
      </c>
      <c r="K711" s="39">
        <v>1</v>
      </c>
      <c r="L711" s="39">
        <v>0</v>
      </c>
      <c r="N711" s="39">
        <v>37</v>
      </c>
      <c r="O711" s="35">
        <v>10</v>
      </c>
      <c r="P711" s="36">
        <v>1</v>
      </c>
      <c r="Q711" s="37">
        <v>0</v>
      </c>
      <c r="T711" s="39">
        <v>37</v>
      </c>
      <c r="U711" s="39">
        <v>15</v>
      </c>
      <c r="V711" s="39">
        <v>2</v>
      </c>
      <c r="W711" s="39">
        <v>1</v>
      </c>
      <c r="Z711" s="39">
        <v>37</v>
      </c>
      <c r="AA711" s="35">
        <v>0</v>
      </c>
      <c r="AB711" s="36">
        <v>0</v>
      </c>
      <c r="AC711" s="36">
        <v>0</v>
      </c>
      <c r="AD711" s="36">
        <v>0</v>
      </c>
      <c r="AE711" s="36">
        <v>0</v>
      </c>
      <c r="AF711" s="36">
        <v>0</v>
      </c>
      <c r="AG711" s="36">
        <v>0</v>
      </c>
      <c r="AH711" s="36">
        <v>0</v>
      </c>
      <c r="AI711" s="36">
        <v>0</v>
      </c>
      <c r="AJ711" s="36">
        <v>0</v>
      </c>
      <c r="AK711" s="36">
        <v>0</v>
      </c>
      <c r="AL711" s="36">
        <v>0</v>
      </c>
      <c r="AM711" s="36">
        <v>0</v>
      </c>
      <c r="AN711" s="36">
        <v>0</v>
      </c>
      <c r="AO711" s="36">
        <v>0</v>
      </c>
      <c r="AP711" s="36">
        <v>0</v>
      </c>
      <c r="AQ711" s="36">
        <v>0</v>
      </c>
      <c r="AR711" s="36">
        <v>0</v>
      </c>
      <c r="AS711" s="36">
        <v>0</v>
      </c>
      <c r="AT711" s="36">
        <v>0</v>
      </c>
      <c r="AU711" s="36">
        <v>0</v>
      </c>
      <c r="AV711" s="36">
        <v>0</v>
      </c>
      <c r="AW711" s="36">
        <v>0</v>
      </c>
      <c r="AX711" s="36">
        <v>0</v>
      </c>
      <c r="AY711" s="36">
        <v>0</v>
      </c>
      <c r="AZ711" s="36">
        <v>0</v>
      </c>
      <c r="BA711" s="36">
        <v>0</v>
      </c>
      <c r="BB711" s="36">
        <v>0</v>
      </c>
      <c r="BC711" s="36">
        <v>0</v>
      </c>
      <c r="BD711" s="36">
        <v>0</v>
      </c>
      <c r="BE711" s="36">
        <v>0</v>
      </c>
      <c r="BF711" s="36">
        <v>0</v>
      </c>
      <c r="BG711" s="36">
        <v>0</v>
      </c>
      <c r="BH711" s="36">
        <v>0</v>
      </c>
      <c r="BI711" s="36">
        <v>0</v>
      </c>
      <c r="BJ711" s="36">
        <v>0</v>
      </c>
      <c r="BK711" s="36">
        <v>0</v>
      </c>
      <c r="BL711" s="36">
        <v>0</v>
      </c>
      <c r="BM711" s="36">
        <v>0</v>
      </c>
      <c r="BN711" s="36">
        <v>0</v>
      </c>
      <c r="BO711" s="36">
        <v>0</v>
      </c>
      <c r="BP711" s="36">
        <v>0</v>
      </c>
      <c r="BQ711" s="36">
        <v>0</v>
      </c>
      <c r="BR711" s="36">
        <v>0</v>
      </c>
      <c r="BS711" s="36">
        <v>0</v>
      </c>
      <c r="BT711" s="36">
        <v>0</v>
      </c>
      <c r="BU711" s="36">
        <v>0</v>
      </c>
      <c r="BV711" s="36">
        <v>0</v>
      </c>
      <c r="BW711" s="36">
        <v>0</v>
      </c>
      <c r="BX711" s="36">
        <v>0</v>
      </c>
      <c r="BY711" s="36">
        <v>0</v>
      </c>
      <c r="BZ711" s="36">
        <v>0</v>
      </c>
      <c r="CA711" s="36">
        <v>0</v>
      </c>
      <c r="CB711" s="36">
        <v>0</v>
      </c>
      <c r="CC711" s="36">
        <v>0</v>
      </c>
      <c r="CD711" s="36">
        <v>0</v>
      </c>
      <c r="CE711" s="36">
        <v>0</v>
      </c>
      <c r="CF711" s="36">
        <v>0</v>
      </c>
      <c r="CG711" s="36">
        <v>0</v>
      </c>
      <c r="CH711" s="36">
        <v>0</v>
      </c>
      <c r="CI711" s="36">
        <v>0</v>
      </c>
      <c r="CJ711" s="36">
        <v>0</v>
      </c>
      <c r="CK711" s="36">
        <v>0</v>
      </c>
      <c r="CL711" s="36">
        <v>0</v>
      </c>
      <c r="CM711" s="36">
        <v>0</v>
      </c>
      <c r="CN711" s="36">
        <v>0</v>
      </c>
      <c r="CO711" s="36">
        <v>0</v>
      </c>
      <c r="CP711" s="36">
        <v>0</v>
      </c>
      <c r="CQ711" s="36">
        <v>0</v>
      </c>
      <c r="CR711" s="36">
        <v>0</v>
      </c>
      <c r="CS711" s="36">
        <v>0</v>
      </c>
      <c r="CT711" s="36">
        <v>0</v>
      </c>
      <c r="CU711" s="36">
        <v>0</v>
      </c>
      <c r="CV711" s="36">
        <v>0</v>
      </c>
      <c r="CW711" s="36">
        <v>0</v>
      </c>
      <c r="CX711" s="36">
        <v>0</v>
      </c>
      <c r="CY711" s="36">
        <v>0</v>
      </c>
      <c r="CZ711" s="36">
        <v>0</v>
      </c>
      <c r="DA711" s="36">
        <v>0</v>
      </c>
      <c r="DB711" s="36">
        <v>0</v>
      </c>
      <c r="DC711" s="36">
        <v>0</v>
      </c>
      <c r="DD711" s="36">
        <v>0</v>
      </c>
      <c r="DE711" s="36">
        <v>0</v>
      </c>
      <c r="DF711" s="36">
        <v>0</v>
      </c>
      <c r="DG711" s="36">
        <v>0</v>
      </c>
      <c r="DH711" s="36">
        <v>0</v>
      </c>
      <c r="DI711" s="36">
        <v>0</v>
      </c>
      <c r="DJ711" s="36">
        <v>0</v>
      </c>
      <c r="DK711" s="36">
        <v>0</v>
      </c>
      <c r="DL711" s="36">
        <v>0</v>
      </c>
      <c r="DM711" s="36">
        <v>0</v>
      </c>
      <c r="DN711" s="36">
        <v>0</v>
      </c>
      <c r="DO711" s="36">
        <v>0</v>
      </c>
      <c r="DP711" s="36">
        <v>0</v>
      </c>
      <c r="DQ711" s="36">
        <v>0</v>
      </c>
      <c r="DR711" s="36">
        <v>0</v>
      </c>
      <c r="DS711" s="36">
        <v>0</v>
      </c>
      <c r="DT711" s="36">
        <v>0</v>
      </c>
      <c r="DU711" s="36">
        <v>0</v>
      </c>
      <c r="DV711" s="36">
        <v>0</v>
      </c>
      <c r="DW711" s="36">
        <v>0</v>
      </c>
      <c r="DX711" s="36">
        <v>0</v>
      </c>
      <c r="DY711" s="36">
        <v>0</v>
      </c>
      <c r="DZ711" s="36">
        <v>0</v>
      </c>
      <c r="EA711" s="36">
        <v>0</v>
      </c>
      <c r="EB711" s="36">
        <v>0</v>
      </c>
      <c r="EC711" s="36">
        <v>0</v>
      </c>
      <c r="ED711" s="36">
        <v>1</v>
      </c>
      <c r="EE711" s="36">
        <v>1</v>
      </c>
      <c r="EF711" s="36">
        <v>0</v>
      </c>
      <c r="EG711" s="36">
        <v>0</v>
      </c>
      <c r="EH711" s="36">
        <v>0</v>
      </c>
      <c r="EI711" s="36">
        <v>0</v>
      </c>
      <c r="EJ711" s="36">
        <v>0</v>
      </c>
      <c r="EK711" s="36">
        <v>0</v>
      </c>
      <c r="EL711" s="36">
        <v>0</v>
      </c>
      <c r="EM711" s="36">
        <v>0</v>
      </c>
      <c r="EN711" s="36">
        <v>0</v>
      </c>
      <c r="EO711" s="36">
        <v>0</v>
      </c>
      <c r="EP711" s="36">
        <v>0</v>
      </c>
      <c r="EQ711" s="36">
        <v>0</v>
      </c>
      <c r="ER711" s="36">
        <v>0</v>
      </c>
      <c r="ES711" s="36">
        <v>0</v>
      </c>
      <c r="ET711" s="36">
        <v>0</v>
      </c>
      <c r="EU711" s="36">
        <v>0</v>
      </c>
      <c r="EV711" s="36">
        <v>0</v>
      </c>
      <c r="EW711" s="36">
        <v>0</v>
      </c>
      <c r="EX711" s="36">
        <v>0</v>
      </c>
      <c r="EY711" s="36">
        <v>0</v>
      </c>
      <c r="EZ711" s="36">
        <v>0</v>
      </c>
      <c r="FA711" s="36">
        <v>0</v>
      </c>
      <c r="FB711" s="36">
        <v>0</v>
      </c>
      <c r="FC711" s="37">
        <v>0</v>
      </c>
    </row>
    <row r="712" spans="1:159" s="3" customFormat="1" ht="18" customHeight="1" x14ac:dyDescent="0.2">
      <c r="A712" s="140">
        <v>38</v>
      </c>
      <c r="B712" s="263">
        <v>1.4322032710799399</v>
      </c>
      <c r="C712" s="325"/>
      <c r="D712" s="38"/>
      <c r="E712" s="39">
        <v>1</v>
      </c>
      <c r="G712" s="39">
        <v>2</v>
      </c>
      <c r="H712" s="39">
        <v>10</v>
      </c>
      <c r="J712" s="39">
        <v>10</v>
      </c>
      <c r="K712" s="39">
        <v>2</v>
      </c>
      <c r="L712" s="39">
        <v>1</v>
      </c>
      <c r="N712" s="39">
        <v>38</v>
      </c>
      <c r="O712" s="35">
        <v>10</v>
      </c>
      <c r="P712" s="36">
        <v>2</v>
      </c>
      <c r="Q712" s="37">
        <v>1</v>
      </c>
      <c r="T712" s="39">
        <v>38</v>
      </c>
      <c r="U712" s="39">
        <v>15</v>
      </c>
      <c r="V712" s="39">
        <v>3</v>
      </c>
      <c r="W712" s="39">
        <v>1</v>
      </c>
      <c r="Z712" s="39">
        <v>38</v>
      </c>
      <c r="AA712" s="35">
        <v>0</v>
      </c>
      <c r="AB712" s="36">
        <v>0</v>
      </c>
      <c r="AC712" s="36">
        <v>0</v>
      </c>
      <c r="AD712" s="36">
        <v>0</v>
      </c>
      <c r="AE712" s="36">
        <v>0</v>
      </c>
      <c r="AF712" s="36">
        <v>0</v>
      </c>
      <c r="AG712" s="36">
        <v>0</v>
      </c>
      <c r="AH712" s="36">
        <v>0</v>
      </c>
      <c r="AI712" s="36">
        <v>0</v>
      </c>
      <c r="AJ712" s="36">
        <v>0</v>
      </c>
      <c r="AK712" s="36">
        <v>0</v>
      </c>
      <c r="AL712" s="36">
        <v>0</v>
      </c>
      <c r="AM712" s="36">
        <v>0</v>
      </c>
      <c r="AN712" s="36">
        <v>0</v>
      </c>
      <c r="AO712" s="36">
        <v>0</v>
      </c>
      <c r="AP712" s="36">
        <v>0</v>
      </c>
      <c r="AQ712" s="36">
        <v>0</v>
      </c>
      <c r="AR712" s="36">
        <v>0</v>
      </c>
      <c r="AS712" s="36">
        <v>0</v>
      </c>
      <c r="AT712" s="36">
        <v>0</v>
      </c>
      <c r="AU712" s="36">
        <v>0</v>
      </c>
      <c r="AV712" s="36">
        <v>0</v>
      </c>
      <c r="AW712" s="36">
        <v>0</v>
      </c>
      <c r="AX712" s="36">
        <v>0</v>
      </c>
      <c r="AY712" s="36">
        <v>0</v>
      </c>
      <c r="AZ712" s="36">
        <v>0</v>
      </c>
      <c r="BA712" s="36">
        <v>0</v>
      </c>
      <c r="BB712" s="36">
        <v>0</v>
      </c>
      <c r="BC712" s="36">
        <v>0</v>
      </c>
      <c r="BD712" s="36">
        <v>0</v>
      </c>
      <c r="BE712" s="36">
        <v>0</v>
      </c>
      <c r="BF712" s="36">
        <v>0</v>
      </c>
      <c r="BG712" s="36">
        <v>0</v>
      </c>
      <c r="BH712" s="36">
        <v>0</v>
      </c>
      <c r="BI712" s="36">
        <v>0</v>
      </c>
      <c r="BJ712" s="36">
        <v>0</v>
      </c>
      <c r="BK712" s="36">
        <v>0</v>
      </c>
      <c r="BL712" s="36">
        <v>0</v>
      </c>
      <c r="BM712" s="36">
        <v>0</v>
      </c>
      <c r="BN712" s="36">
        <v>0</v>
      </c>
      <c r="BO712" s="36">
        <v>0</v>
      </c>
      <c r="BP712" s="36">
        <v>0</v>
      </c>
      <c r="BQ712" s="36">
        <v>0</v>
      </c>
      <c r="BR712" s="36">
        <v>0</v>
      </c>
      <c r="BS712" s="36">
        <v>0</v>
      </c>
      <c r="BT712" s="36">
        <v>0</v>
      </c>
      <c r="BU712" s="36">
        <v>0</v>
      </c>
      <c r="BV712" s="36">
        <v>0</v>
      </c>
      <c r="BW712" s="36">
        <v>0</v>
      </c>
      <c r="BX712" s="36">
        <v>0</v>
      </c>
      <c r="BY712" s="36">
        <v>0</v>
      </c>
      <c r="BZ712" s="36">
        <v>0</v>
      </c>
      <c r="CA712" s="36">
        <v>0</v>
      </c>
      <c r="CB712" s="36">
        <v>0</v>
      </c>
      <c r="CC712" s="36">
        <v>0</v>
      </c>
      <c r="CD712" s="36">
        <v>0</v>
      </c>
      <c r="CE712" s="36">
        <v>0</v>
      </c>
      <c r="CF712" s="36">
        <v>0</v>
      </c>
      <c r="CG712" s="36">
        <v>0</v>
      </c>
      <c r="CH712" s="36">
        <v>0</v>
      </c>
      <c r="CI712" s="36">
        <v>0</v>
      </c>
      <c r="CJ712" s="36">
        <v>0</v>
      </c>
      <c r="CK712" s="36">
        <v>0</v>
      </c>
      <c r="CL712" s="36">
        <v>0</v>
      </c>
      <c r="CM712" s="36">
        <v>0</v>
      </c>
      <c r="CN712" s="36">
        <v>0</v>
      </c>
      <c r="CO712" s="36">
        <v>0</v>
      </c>
      <c r="CP712" s="36">
        <v>0</v>
      </c>
      <c r="CQ712" s="36">
        <v>0</v>
      </c>
      <c r="CR712" s="36">
        <v>0</v>
      </c>
      <c r="CS712" s="36">
        <v>0</v>
      </c>
      <c r="CT712" s="36">
        <v>0</v>
      </c>
      <c r="CU712" s="36">
        <v>0</v>
      </c>
      <c r="CV712" s="36">
        <v>0</v>
      </c>
      <c r="CW712" s="36">
        <v>0</v>
      </c>
      <c r="CX712" s="36">
        <v>0</v>
      </c>
      <c r="CY712" s="36">
        <v>0</v>
      </c>
      <c r="CZ712" s="36">
        <v>0</v>
      </c>
      <c r="DA712" s="36">
        <v>0</v>
      </c>
      <c r="DB712" s="36">
        <v>0</v>
      </c>
      <c r="DC712" s="36">
        <v>0</v>
      </c>
      <c r="DD712" s="36">
        <v>0</v>
      </c>
      <c r="DE712" s="36">
        <v>0</v>
      </c>
      <c r="DF712" s="36">
        <v>0</v>
      </c>
      <c r="DG712" s="36">
        <v>0</v>
      </c>
      <c r="DH712" s="36">
        <v>0</v>
      </c>
      <c r="DI712" s="36">
        <v>0</v>
      </c>
      <c r="DJ712" s="36">
        <v>0</v>
      </c>
      <c r="DK712" s="36">
        <v>0</v>
      </c>
      <c r="DL712" s="36">
        <v>0</v>
      </c>
      <c r="DM712" s="36">
        <v>0</v>
      </c>
      <c r="DN712" s="36">
        <v>0</v>
      </c>
      <c r="DO712" s="36">
        <v>0</v>
      </c>
      <c r="DP712" s="36">
        <v>0</v>
      </c>
      <c r="DQ712" s="36">
        <v>0</v>
      </c>
      <c r="DR712" s="36">
        <v>0</v>
      </c>
      <c r="DS712" s="36">
        <v>0</v>
      </c>
      <c r="DT712" s="36">
        <v>0</v>
      </c>
      <c r="DU712" s="36">
        <v>0</v>
      </c>
      <c r="DV712" s="36">
        <v>0</v>
      </c>
      <c r="DW712" s="36">
        <v>0</v>
      </c>
      <c r="DX712" s="36">
        <v>0</v>
      </c>
      <c r="DY712" s="36">
        <v>0</v>
      </c>
      <c r="DZ712" s="36">
        <v>0</v>
      </c>
      <c r="EA712" s="36">
        <v>0</v>
      </c>
      <c r="EB712" s="36">
        <v>0</v>
      </c>
      <c r="EC712" s="36">
        <v>0</v>
      </c>
      <c r="ED712" s="36">
        <v>0</v>
      </c>
      <c r="EE712" s="36">
        <v>0</v>
      </c>
      <c r="EF712" s="36">
        <v>1</v>
      </c>
      <c r="EG712" s="36">
        <v>1</v>
      </c>
      <c r="EH712" s="36">
        <v>0</v>
      </c>
      <c r="EI712" s="36">
        <v>0</v>
      </c>
      <c r="EJ712" s="36">
        <v>0</v>
      </c>
      <c r="EK712" s="36">
        <v>0</v>
      </c>
      <c r="EL712" s="36">
        <v>0</v>
      </c>
      <c r="EM712" s="36">
        <v>0</v>
      </c>
      <c r="EN712" s="36">
        <v>0</v>
      </c>
      <c r="EO712" s="36">
        <v>0</v>
      </c>
      <c r="EP712" s="36">
        <v>0</v>
      </c>
      <c r="EQ712" s="36">
        <v>0</v>
      </c>
      <c r="ER712" s="36">
        <v>0</v>
      </c>
      <c r="ES712" s="36">
        <v>0</v>
      </c>
      <c r="ET712" s="36">
        <v>0</v>
      </c>
      <c r="EU712" s="36">
        <v>0</v>
      </c>
      <c r="EV712" s="36">
        <v>0</v>
      </c>
      <c r="EW712" s="36">
        <v>0</v>
      </c>
      <c r="EX712" s="36">
        <v>0</v>
      </c>
      <c r="EY712" s="36">
        <v>0</v>
      </c>
      <c r="EZ712" s="36">
        <v>0</v>
      </c>
      <c r="FA712" s="36">
        <v>0</v>
      </c>
      <c r="FB712" s="36">
        <v>0</v>
      </c>
      <c r="FC712" s="37">
        <v>0</v>
      </c>
    </row>
    <row r="713" spans="1:159" s="3" customFormat="1" ht="18" customHeight="1" x14ac:dyDescent="0.2">
      <c r="A713" s="140">
        <v>39</v>
      </c>
      <c r="B713" s="263">
        <v>0.20254124037507301</v>
      </c>
      <c r="C713" s="325"/>
      <c r="D713" s="38"/>
      <c r="E713" s="39">
        <v>1</v>
      </c>
      <c r="G713" s="39">
        <v>3</v>
      </c>
      <c r="H713" s="39">
        <v>10</v>
      </c>
      <c r="J713" s="39">
        <v>10</v>
      </c>
      <c r="K713" s="39">
        <v>3</v>
      </c>
      <c r="L713" s="39">
        <v>1</v>
      </c>
      <c r="N713" s="39">
        <v>39</v>
      </c>
      <c r="O713" s="35">
        <v>10</v>
      </c>
      <c r="P713" s="36">
        <v>3</v>
      </c>
      <c r="Q713" s="37">
        <v>1</v>
      </c>
      <c r="T713" s="39">
        <v>39</v>
      </c>
      <c r="U713" s="39">
        <v>15</v>
      </c>
      <c r="V713" s="39">
        <v>4</v>
      </c>
      <c r="W713" s="39">
        <v>1</v>
      </c>
      <c r="Z713" s="39">
        <v>39</v>
      </c>
      <c r="AA713" s="35">
        <v>0</v>
      </c>
      <c r="AB713" s="36">
        <v>0</v>
      </c>
      <c r="AC713" s="36">
        <v>0</v>
      </c>
      <c r="AD713" s="36">
        <v>0</v>
      </c>
      <c r="AE713" s="36">
        <v>0</v>
      </c>
      <c r="AF713" s="36">
        <v>0</v>
      </c>
      <c r="AG713" s="36">
        <v>0</v>
      </c>
      <c r="AH713" s="36">
        <v>0</v>
      </c>
      <c r="AI713" s="36">
        <v>0</v>
      </c>
      <c r="AJ713" s="36">
        <v>0</v>
      </c>
      <c r="AK713" s="36">
        <v>0</v>
      </c>
      <c r="AL713" s="36">
        <v>0</v>
      </c>
      <c r="AM713" s="36">
        <v>0</v>
      </c>
      <c r="AN713" s="36">
        <v>0</v>
      </c>
      <c r="AO713" s="36">
        <v>0</v>
      </c>
      <c r="AP713" s="36">
        <v>0</v>
      </c>
      <c r="AQ713" s="36">
        <v>0</v>
      </c>
      <c r="AR713" s="36">
        <v>0</v>
      </c>
      <c r="AS713" s="36">
        <v>0</v>
      </c>
      <c r="AT713" s="36">
        <v>0</v>
      </c>
      <c r="AU713" s="36">
        <v>0</v>
      </c>
      <c r="AV713" s="36">
        <v>0</v>
      </c>
      <c r="AW713" s="36">
        <v>0</v>
      </c>
      <c r="AX713" s="36">
        <v>0</v>
      </c>
      <c r="AY713" s="36">
        <v>0</v>
      </c>
      <c r="AZ713" s="36">
        <v>0</v>
      </c>
      <c r="BA713" s="36">
        <v>0</v>
      </c>
      <c r="BB713" s="36">
        <v>0</v>
      </c>
      <c r="BC713" s="36">
        <v>0</v>
      </c>
      <c r="BD713" s="36">
        <v>0</v>
      </c>
      <c r="BE713" s="36">
        <v>0</v>
      </c>
      <c r="BF713" s="36">
        <v>0</v>
      </c>
      <c r="BG713" s="36">
        <v>0</v>
      </c>
      <c r="BH713" s="36">
        <v>0</v>
      </c>
      <c r="BI713" s="36">
        <v>0</v>
      </c>
      <c r="BJ713" s="36">
        <v>0</v>
      </c>
      <c r="BK713" s="36">
        <v>0</v>
      </c>
      <c r="BL713" s="36">
        <v>0</v>
      </c>
      <c r="BM713" s="36">
        <v>0</v>
      </c>
      <c r="BN713" s="36">
        <v>0</v>
      </c>
      <c r="BO713" s="36">
        <v>0</v>
      </c>
      <c r="BP713" s="36">
        <v>0</v>
      </c>
      <c r="BQ713" s="36">
        <v>0</v>
      </c>
      <c r="BR713" s="36">
        <v>0</v>
      </c>
      <c r="BS713" s="36">
        <v>0</v>
      </c>
      <c r="BT713" s="36">
        <v>0</v>
      </c>
      <c r="BU713" s="36">
        <v>0</v>
      </c>
      <c r="BV713" s="36">
        <v>0</v>
      </c>
      <c r="BW713" s="36">
        <v>0</v>
      </c>
      <c r="BX713" s="36">
        <v>0</v>
      </c>
      <c r="BY713" s="36">
        <v>0</v>
      </c>
      <c r="BZ713" s="36">
        <v>0</v>
      </c>
      <c r="CA713" s="36">
        <v>0</v>
      </c>
      <c r="CB713" s="36">
        <v>0</v>
      </c>
      <c r="CC713" s="36">
        <v>0</v>
      </c>
      <c r="CD713" s="36">
        <v>0</v>
      </c>
      <c r="CE713" s="36">
        <v>0</v>
      </c>
      <c r="CF713" s="36">
        <v>0</v>
      </c>
      <c r="CG713" s="36">
        <v>0</v>
      </c>
      <c r="CH713" s="36">
        <v>0</v>
      </c>
      <c r="CI713" s="36">
        <v>0</v>
      </c>
      <c r="CJ713" s="36">
        <v>0</v>
      </c>
      <c r="CK713" s="36">
        <v>0</v>
      </c>
      <c r="CL713" s="36">
        <v>0</v>
      </c>
      <c r="CM713" s="36">
        <v>0</v>
      </c>
      <c r="CN713" s="36">
        <v>0</v>
      </c>
      <c r="CO713" s="36">
        <v>0</v>
      </c>
      <c r="CP713" s="36">
        <v>0</v>
      </c>
      <c r="CQ713" s="36">
        <v>0</v>
      </c>
      <c r="CR713" s="36">
        <v>0</v>
      </c>
      <c r="CS713" s="36">
        <v>0</v>
      </c>
      <c r="CT713" s="36">
        <v>0</v>
      </c>
      <c r="CU713" s="36">
        <v>0</v>
      </c>
      <c r="CV713" s="36">
        <v>0</v>
      </c>
      <c r="CW713" s="36">
        <v>0</v>
      </c>
      <c r="CX713" s="36">
        <v>0</v>
      </c>
      <c r="CY713" s="36">
        <v>0</v>
      </c>
      <c r="CZ713" s="36">
        <v>0</v>
      </c>
      <c r="DA713" s="36">
        <v>0</v>
      </c>
      <c r="DB713" s="36">
        <v>0</v>
      </c>
      <c r="DC713" s="36">
        <v>0</v>
      </c>
      <c r="DD713" s="36">
        <v>0</v>
      </c>
      <c r="DE713" s="36">
        <v>0</v>
      </c>
      <c r="DF713" s="36">
        <v>0</v>
      </c>
      <c r="DG713" s="36">
        <v>0</v>
      </c>
      <c r="DH713" s="36">
        <v>0</v>
      </c>
      <c r="DI713" s="36">
        <v>0</v>
      </c>
      <c r="DJ713" s="36">
        <v>0</v>
      </c>
      <c r="DK713" s="36">
        <v>0</v>
      </c>
      <c r="DL713" s="36">
        <v>0</v>
      </c>
      <c r="DM713" s="36">
        <v>0</v>
      </c>
      <c r="DN713" s="36">
        <v>0</v>
      </c>
      <c r="DO713" s="36">
        <v>0</v>
      </c>
      <c r="DP713" s="36">
        <v>0</v>
      </c>
      <c r="DQ713" s="36">
        <v>0</v>
      </c>
      <c r="DR713" s="36">
        <v>0</v>
      </c>
      <c r="DS713" s="36">
        <v>0</v>
      </c>
      <c r="DT713" s="36">
        <v>0</v>
      </c>
      <c r="DU713" s="36">
        <v>0</v>
      </c>
      <c r="DV713" s="36">
        <v>0</v>
      </c>
      <c r="DW713" s="36">
        <v>0</v>
      </c>
      <c r="DX713" s="36">
        <v>0</v>
      </c>
      <c r="DY713" s="36">
        <v>0</v>
      </c>
      <c r="DZ713" s="36">
        <v>0</v>
      </c>
      <c r="EA713" s="36">
        <v>0</v>
      </c>
      <c r="EB713" s="36">
        <v>0</v>
      </c>
      <c r="EC713" s="36">
        <v>0</v>
      </c>
      <c r="ED713" s="36">
        <v>0</v>
      </c>
      <c r="EE713" s="36">
        <v>0</v>
      </c>
      <c r="EF713" s="36">
        <v>0</v>
      </c>
      <c r="EG713" s="36">
        <v>0</v>
      </c>
      <c r="EH713" s="36">
        <v>1</v>
      </c>
      <c r="EI713" s="36">
        <v>1</v>
      </c>
      <c r="EJ713" s="36">
        <v>0</v>
      </c>
      <c r="EK713" s="36">
        <v>0</v>
      </c>
      <c r="EL713" s="36">
        <v>0</v>
      </c>
      <c r="EM713" s="36">
        <v>0</v>
      </c>
      <c r="EN713" s="36">
        <v>0</v>
      </c>
      <c r="EO713" s="36">
        <v>0</v>
      </c>
      <c r="EP713" s="36">
        <v>0</v>
      </c>
      <c r="EQ713" s="36">
        <v>0</v>
      </c>
      <c r="ER713" s="36">
        <v>0</v>
      </c>
      <c r="ES713" s="36">
        <v>0</v>
      </c>
      <c r="ET713" s="36">
        <v>0</v>
      </c>
      <c r="EU713" s="36">
        <v>0</v>
      </c>
      <c r="EV713" s="36">
        <v>0</v>
      </c>
      <c r="EW713" s="36">
        <v>0</v>
      </c>
      <c r="EX713" s="36">
        <v>0</v>
      </c>
      <c r="EY713" s="36">
        <v>0</v>
      </c>
      <c r="EZ713" s="36">
        <v>0</v>
      </c>
      <c r="FA713" s="36">
        <v>0</v>
      </c>
      <c r="FB713" s="36">
        <v>0</v>
      </c>
      <c r="FC713" s="37">
        <v>0</v>
      </c>
    </row>
    <row r="714" spans="1:159" s="3" customFormat="1" ht="18" customHeight="1" x14ac:dyDescent="0.2">
      <c r="A714" s="140">
        <v>40</v>
      </c>
      <c r="B714" s="263">
        <v>0.20209827249017701</v>
      </c>
      <c r="C714" s="325"/>
      <c r="D714" s="38"/>
      <c r="E714" s="39">
        <v>1</v>
      </c>
      <c r="G714" s="39">
        <v>4</v>
      </c>
      <c r="H714" s="39">
        <v>10</v>
      </c>
      <c r="J714" s="39">
        <v>10</v>
      </c>
      <c r="K714" s="39">
        <v>4</v>
      </c>
      <c r="L714" s="39">
        <v>1</v>
      </c>
      <c r="N714" s="39">
        <v>40</v>
      </c>
      <c r="O714" s="35">
        <v>10</v>
      </c>
      <c r="P714" s="36">
        <v>4</v>
      </c>
      <c r="Q714" s="37">
        <v>1</v>
      </c>
      <c r="T714" s="39">
        <v>40</v>
      </c>
      <c r="U714" s="39">
        <v>16</v>
      </c>
      <c r="V714" s="39">
        <v>1</v>
      </c>
      <c r="W714" s="39">
        <v>1</v>
      </c>
      <c r="Z714" s="39">
        <v>40</v>
      </c>
      <c r="AA714" s="35">
        <v>0</v>
      </c>
      <c r="AB714" s="36">
        <v>0</v>
      </c>
      <c r="AC714" s="36">
        <v>0</v>
      </c>
      <c r="AD714" s="36">
        <v>0</v>
      </c>
      <c r="AE714" s="36">
        <v>0</v>
      </c>
      <c r="AF714" s="36">
        <v>0</v>
      </c>
      <c r="AG714" s="36">
        <v>0</v>
      </c>
      <c r="AH714" s="36">
        <v>0</v>
      </c>
      <c r="AI714" s="36">
        <v>0</v>
      </c>
      <c r="AJ714" s="36">
        <v>0</v>
      </c>
      <c r="AK714" s="36">
        <v>0</v>
      </c>
      <c r="AL714" s="36">
        <v>0</v>
      </c>
      <c r="AM714" s="36">
        <v>0</v>
      </c>
      <c r="AN714" s="36">
        <v>0</v>
      </c>
      <c r="AO714" s="36">
        <v>0</v>
      </c>
      <c r="AP714" s="36">
        <v>0</v>
      </c>
      <c r="AQ714" s="36">
        <v>0</v>
      </c>
      <c r="AR714" s="36">
        <v>0</v>
      </c>
      <c r="AS714" s="36">
        <v>0</v>
      </c>
      <c r="AT714" s="36">
        <v>0</v>
      </c>
      <c r="AU714" s="36">
        <v>0</v>
      </c>
      <c r="AV714" s="36">
        <v>0</v>
      </c>
      <c r="AW714" s="36">
        <v>0</v>
      </c>
      <c r="AX714" s="36">
        <v>0</v>
      </c>
      <c r="AY714" s="36">
        <v>0</v>
      </c>
      <c r="AZ714" s="36">
        <v>0</v>
      </c>
      <c r="BA714" s="36">
        <v>0</v>
      </c>
      <c r="BB714" s="36">
        <v>0</v>
      </c>
      <c r="BC714" s="36">
        <v>0</v>
      </c>
      <c r="BD714" s="36">
        <v>0</v>
      </c>
      <c r="BE714" s="36">
        <v>0</v>
      </c>
      <c r="BF714" s="36">
        <v>0</v>
      </c>
      <c r="BG714" s="36">
        <v>0</v>
      </c>
      <c r="BH714" s="36">
        <v>0</v>
      </c>
      <c r="BI714" s="36">
        <v>0</v>
      </c>
      <c r="BJ714" s="36">
        <v>0</v>
      </c>
      <c r="BK714" s="36">
        <v>0</v>
      </c>
      <c r="BL714" s="36">
        <v>0</v>
      </c>
      <c r="BM714" s="36">
        <v>0</v>
      </c>
      <c r="BN714" s="36">
        <v>0</v>
      </c>
      <c r="BO714" s="36">
        <v>0</v>
      </c>
      <c r="BP714" s="36">
        <v>0</v>
      </c>
      <c r="BQ714" s="36">
        <v>0</v>
      </c>
      <c r="BR714" s="36">
        <v>0</v>
      </c>
      <c r="BS714" s="36">
        <v>0</v>
      </c>
      <c r="BT714" s="36">
        <v>0</v>
      </c>
      <c r="BU714" s="36">
        <v>0</v>
      </c>
      <c r="BV714" s="36">
        <v>0</v>
      </c>
      <c r="BW714" s="36">
        <v>0</v>
      </c>
      <c r="BX714" s="36">
        <v>0</v>
      </c>
      <c r="BY714" s="36">
        <v>0</v>
      </c>
      <c r="BZ714" s="36">
        <v>0</v>
      </c>
      <c r="CA714" s="36">
        <v>0</v>
      </c>
      <c r="CB714" s="36">
        <v>0</v>
      </c>
      <c r="CC714" s="36">
        <v>0</v>
      </c>
      <c r="CD714" s="36">
        <v>0</v>
      </c>
      <c r="CE714" s="36">
        <v>0</v>
      </c>
      <c r="CF714" s="36">
        <v>0</v>
      </c>
      <c r="CG714" s="36">
        <v>0</v>
      </c>
      <c r="CH714" s="36">
        <v>0</v>
      </c>
      <c r="CI714" s="36">
        <v>0</v>
      </c>
      <c r="CJ714" s="36">
        <v>0</v>
      </c>
      <c r="CK714" s="36">
        <v>0</v>
      </c>
      <c r="CL714" s="36">
        <v>0</v>
      </c>
      <c r="CM714" s="36">
        <v>0</v>
      </c>
      <c r="CN714" s="36">
        <v>0</v>
      </c>
      <c r="CO714" s="36">
        <v>0</v>
      </c>
      <c r="CP714" s="36">
        <v>0</v>
      </c>
      <c r="CQ714" s="36">
        <v>0</v>
      </c>
      <c r="CR714" s="36">
        <v>0</v>
      </c>
      <c r="CS714" s="36">
        <v>0</v>
      </c>
      <c r="CT714" s="36">
        <v>0</v>
      </c>
      <c r="CU714" s="36">
        <v>0</v>
      </c>
      <c r="CV714" s="36">
        <v>0</v>
      </c>
      <c r="CW714" s="36">
        <v>0</v>
      </c>
      <c r="CX714" s="36">
        <v>0</v>
      </c>
      <c r="CY714" s="36">
        <v>0</v>
      </c>
      <c r="CZ714" s="36">
        <v>0</v>
      </c>
      <c r="DA714" s="36">
        <v>0</v>
      </c>
      <c r="DB714" s="36">
        <v>0</v>
      </c>
      <c r="DC714" s="36">
        <v>0</v>
      </c>
      <c r="DD714" s="36">
        <v>0</v>
      </c>
      <c r="DE714" s="36">
        <v>0</v>
      </c>
      <c r="DF714" s="36">
        <v>0</v>
      </c>
      <c r="DG714" s="36">
        <v>0</v>
      </c>
      <c r="DH714" s="36">
        <v>0</v>
      </c>
      <c r="DI714" s="36">
        <v>0</v>
      </c>
      <c r="DJ714" s="36">
        <v>0</v>
      </c>
      <c r="DK714" s="36">
        <v>0</v>
      </c>
      <c r="DL714" s="36">
        <v>0</v>
      </c>
      <c r="DM714" s="36">
        <v>0</v>
      </c>
      <c r="DN714" s="36">
        <v>0</v>
      </c>
      <c r="DO714" s="36">
        <v>0</v>
      </c>
      <c r="DP714" s="36">
        <v>0</v>
      </c>
      <c r="DQ714" s="36">
        <v>0</v>
      </c>
      <c r="DR714" s="36">
        <v>0</v>
      </c>
      <c r="DS714" s="36">
        <v>0</v>
      </c>
      <c r="DT714" s="36">
        <v>0</v>
      </c>
      <c r="DU714" s="36">
        <v>0</v>
      </c>
      <c r="DV714" s="36">
        <v>0</v>
      </c>
      <c r="DW714" s="36">
        <v>0</v>
      </c>
      <c r="DX714" s="36">
        <v>0</v>
      </c>
      <c r="DY714" s="36">
        <v>0</v>
      </c>
      <c r="DZ714" s="36">
        <v>0</v>
      </c>
      <c r="EA714" s="36">
        <v>0</v>
      </c>
      <c r="EB714" s="36">
        <v>0</v>
      </c>
      <c r="EC714" s="36">
        <v>0</v>
      </c>
      <c r="ED714" s="36">
        <v>0</v>
      </c>
      <c r="EE714" s="36">
        <v>0</v>
      </c>
      <c r="EF714" s="36">
        <v>0</v>
      </c>
      <c r="EG714" s="36">
        <v>0</v>
      </c>
      <c r="EH714" s="36">
        <v>0</v>
      </c>
      <c r="EI714" s="36">
        <v>0</v>
      </c>
      <c r="EJ714" s="36">
        <v>1</v>
      </c>
      <c r="EK714" s="36">
        <v>1</v>
      </c>
      <c r="EL714" s="36">
        <v>0</v>
      </c>
      <c r="EM714" s="36">
        <v>0</v>
      </c>
      <c r="EN714" s="36">
        <v>0</v>
      </c>
      <c r="EO714" s="36">
        <v>0</v>
      </c>
      <c r="EP714" s="36">
        <v>0</v>
      </c>
      <c r="EQ714" s="36">
        <v>0</v>
      </c>
      <c r="ER714" s="36">
        <v>0</v>
      </c>
      <c r="ES714" s="36">
        <v>0</v>
      </c>
      <c r="ET714" s="36">
        <v>0</v>
      </c>
      <c r="EU714" s="36">
        <v>0</v>
      </c>
      <c r="EV714" s="36">
        <v>0</v>
      </c>
      <c r="EW714" s="36">
        <v>0</v>
      </c>
      <c r="EX714" s="36">
        <v>0</v>
      </c>
      <c r="EY714" s="36">
        <v>0</v>
      </c>
      <c r="EZ714" s="36">
        <v>0</v>
      </c>
      <c r="FA714" s="36">
        <v>0</v>
      </c>
      <c r="FB714" s="36">
        <v>0</v>
      </c>
      <c r="FC714" s="37">
        <v>0</v>
      </c>
    </row>
    <row r="715" spans="1:159" s="3" customFormat="1" ht="18" customHeight="1" x14ac:dyDescent="0.2">
      <c r="A715" s="140">
        <v>41</v>
      </c>
      <c r="B715" s="263">
        <v>0.20229512298778199</v>
      </c>
      <c r="C715" s="325"/>
      <c r="D715" s="38"/>
      <c r="E715" s="39">
        <v>0</v>
      </c>
      <c r="G715" s="39">
        <v>1</v>
      </c>
      <c r="H715" s="39">
        <v>11</v>
      </c>
      <c r="J715" s="39">
        <v>11</v>
      </c>
      <c r="K715" s="39">
        <v>1</v>
      </c>
      <c r="L715" s="39">
        <v>0</v>
      </c>
      <c r="N715" s="39">
        <v>41</v>
      </c>
      <c r="O715" s="35">
        <v>11</v>
      </c>
      <c r="P715" s="36">
        <v>1</v>
      </c>
      <c r="Q715" s="37">
        <v>0</v>
      </c>
      <c r="T715" s="39">
        <v>41</v>
      </c>
      <c r="U715" s="39">
        <v>16</v>
      </c>
      <c r="V715" s="39">
        <v>2</v>
      </c>
      <c r="W715" s="39">
        <v>1</v>
      </c>
      <c r="Z715" s="39">
        <v>41</v>
      </c>
      <c r="AA715" s="35">
        <v>0</v>
      </c>
      <c r="AB715" s="36">
        <v>0</v>
      </c>
      <c r="AC715" s="36">
        <v>0</v>
      </c>
      <c r="AD715" s="36">
        <v>0</v>
      </c>
      <c r="AE715" s="36">
        <v>0</v>
      </c>
      <c r="AF715" s="36">
        <v>0</v>
      </c>
      <c r="AG715" s="36">
        <v>0</v>
      </c>
      <c r="AH715" s="36">
        <v>0</v>
      </c>
      <c r="AI715" s="36">
        <v>0</v>
      </c>
      <c r="AJ715" s="36">
        <v>0</v>
      </c>
      <c r="AK715" s="36">
        <v>0</v>
      </c>
      <c r="AL715" s="36">
        <v>0</v>
      </c>
      <c r="AM715" s="36">
        <v>0</v>
      </c>
      <c r="AN715" s="36">
        <v>0</v>
      </c>
      <c r="AO715" s="36">
        <v>0</v>
      </c>
      <c r="AP715" s="36">
        <v>0</v>
      </c>
      <c r="AQ715" s="36">
        <v>0</v>
      </c>
      <c r="AR715" s="36">
        <v>0</v>
      </c>
      <c r="AS715" s="36">
        <v>0</v>
      </c>
      <c r="AT715" s="36">
        <v>0</v>
      </c>
      <c r="AU715" s="36">
        <v>0</v>
      </c>
      <c r="AV715" s="36">
        <v>0</v>
      </c>
      <c r="AW715" s="36">
        <v>0</v>
      </c>
      <c r="AX715" s="36">
        <v>0</v>
      </c>
      <c r="AY715" s="36">
        <v>0</v>
      </c>
      <c r="AZ715" s="36">
        <v>0</v>
      </c>
      <c r="BA715" s="36">
        <v>0</v>
      </c>
      <c r="BB715" s="36">
        <v>0</v>
      </c>
      <c r="BC715" s="36">
        <v>0</v>
      </c>
      <c r="BD715" s="36">
        <v>0</v>
      </c>
      <c r="BE715" s="36">
        <v>0</v>
      </c>
      <c r="BF715" s="36">
        <v>0</v>
      </c>
      <c r="BG715" s="36">
        <v>0</v>
      </c>
      <c r="BH715" s="36">
        <v>0</v>
      </c>
      <c r="BI715" s="36">
        <v>0</v>
      </c>
      <c r="BJ715" s="36">
        <v>0</v>
      </c>
      <c r="BK715" s="36">
        <v>0</v>
      </c>
      <c r="BL715" s="36">
        <v>0</v>
      </c>
      <c r="BM715" s="36">
        <v>0</v>
      </c>
      <c r="BN715" s="36">
        <v>0</v>
      </c>
      <c r="BO715" s="36">
        <v>0</v>
      </c>
      <c r="BP715" s="36">
        <v>0</v>
      </c>
      <c r="BQ715" s="36">
        <v>0</v>
      </c>
      <c r="BR715" s="36">
        <v>0</v>
      </c>
      <c r="BS715" s="36">
        <v>0</v>
      </c>
      <c r="BT715" s="36">
        <v>0</v>
      </c>
      <c r="BU715" s="36">
        <v>0</v>
      </c>
      <c r="BV715" s="36">
        <v>0</v>
      </c>
      <c r="BW715" s="36">
        <v>0</v>
      </c>
      <c r="BX715" s="36">
        <v>0</v>
      </c>
      <c r="BY715" s="36">
        <v>0</v>
      </c>
      <c r="BZ715" s="36">
        <v>0</v>
      </c>
      <c r="CA715" s="36">
        <v>0</v>
      </c>
      <c r="CB715" s="36">
        <v>0</v>
      </c>
      <c r="CC715" s="36">
        <v>0</v>
      </c>
      <c r="CD715" s="36">
        <v>0</v>
      </c>
      <c r="CE715" s="36">
        <v>0</v>
      </c>
      <c r="CF715" s="36">
        <v>0</v>
      </c>
      <c r="CG715" s="36">
        <v>0</v>
      </c>
      <c r="CH715" s="36">
        <v>0</v>
      </c>
      <c r="CI715" s="36">
        <v>0</v>
      </c>
      <c r="CJ715" s="36">
        <v>0</v>
      </c>
      <c r="CK715" s="36">
        <v>0</v>
      </c>
      <c r="CL715" s="36">
        <v>0</v>
      </c>
      <c r="CM715" s="36">
        <v>0</v>
      </c>
      <c r="CN715" s="36">
        <v>0</v>
      </c>
      <c r="CO715" s="36">
        <v>0</v>
      </c>
      <c r="CP715" s="36">
        <v>0</v>
      </c>
      <c r="CQ715" s="36">
        <v>0</v>
      </c>
      <c r="CR715" s="36">
        <v>0</v>
      </c>
      <c r="CS715" s="36">
        <v>0</v>
      </c>
      <c r="CT715" s="36">
        <v>0</v>
      </c>
      <c r="CU715" s="36">
        <v>0</v>
      </c>
      <c r="CV715" s="36">
        <v>0</v>
      </c>
      <c r="CW715" s="36">
        <v>0</v>
      </c>
      <c r="CX715" s="36">
        <v>0</v>
      </c>
      <c r="CY715" s="36">
        <v>0</v>
      </c>
      <c r="CZ715" s="36">
        <v>0</v>
      </c>
      <c r="DA715" s="36">
        <v>0</v>
      </c>
      <c r="DB715" s="36">
        <v>0</v>
      </c>
      <c r="DC715" s="36">
        <v>0</v>
      </c>
      <c r="DD715" s="36">
        <v>0</v>
      </c>
      <c r="DE715" s="36">
        <v>0</v>
      </c>
      <c r="DF715" s="36">
        <v>0</v>
      </c>
      <c r="DG715" s="36">
        <v>0</v>
      </c>
      <c r="DH715" s="36">
        <v>0</v>
      </c>
      <c r="DI715" s="36">
        <v>0</v>
      </c>
      <c r="DJ715" s="36">
        <v>0</v>
      </c>
      <c r="DK715" s="36">
        <v>0</v>
      </c>
      <c r="DL715" s="36">
        <v>0</v>
      </c>
      <c r="DM715" s="36">
        <v>0</v>
      </c>
      <c r="DN715" s="36">
        <v>0</v>
      </c>
      <c r="DO715" s="36">
        <v>0</v>
      </c>
      <c r="DP715" s="36">
        <v>0</v>
      </c>
      <c r="DQ715" s="36">
        <v>0</v>
      </c>
      <c r="DR715" s="36">
        <v>0</v>
      </c>
      <c r="DS715" s="36">
        <v>0</v>
      </c>
      <c r="DT715" s="36">
        <v>0</v>
      </c>
      <c r="DU715" s="36">
        <v>0</v>
      </c>
      <c r="DV715" s="36">
        <v>0</v>
      </c>
      <c r="DW715" s="36">
        <v>0</v>
      </c>
      <c r="DX715" s="36">
        <v>0</v>
      </c>
      <c r="DY715" s="36">
        <v>0</v>
      </c>
      <c r="DZ715" s="36">
        <v>0</v>
      </c>
      <c r="EA715" s="36">
        <v>0</v>
      </c>
      <c r="EB715" s="36">
        <v>0</v>
      </c>
      <c r="EC715" s="36">
        <v>0</v>
      </c>
      <c r="ED715" s="36">
        <v>0</v>
      </c>
      <c r="EE715" s="36">
        <v>0</v>
      </c>
      <c r="EF715" s="36">
        <v>0</v>
      </c>
      <c r="EG715" s="36">
        <v>0</v>
      </c>
      <c r="EH715" s="36">
        <v>0</v>
      </c>
      <c r="EI715" s="36">
        <v>0</v>
      </c>
      <c r="EJ715" s="36">
        <v>0</v>
      </c>
      <c r="EK715" s="36">
        <v>0</v>
      </c>
      <c r="EL715" s="36">
        <v>1</v>
      </c>
      <c r="EM715" s="36">
        <v>1</v>
      </c>
      <c r="EN715" s="36">
        <v>0</v>
      </c>
      <c r="EO715" s="36">
        <v>0</v>
      </c>
      <c r="EP715" s="36">
        <v>0</v>
      </c>
      <c r="EQ715" s="36">
        <v>0</v>
      </c>
      <c r="ER715" s="36">
        <v>0</v>
      </c>
      <c r="ES715" s="36">
        <v>0</v>
      </c>
      <c r="ET715" s="36">
        <v>0</v>
      </c>
      <c r="EU715" s="36">
        <v>0</v>
      </c>
      <c r="EV715" s="36">
        <v>0</v>
      </c>
      <c r="EW715" s="36">
        <v>0</v>
      </c>
      <c r="EX715" s="36">
        <v>0</v>
      </c>
      <c r="EY715" s="36">
        <v>0</v>
      </c>
      <c r="EZ715" s="36">
        <v>0</v>
      </c>
      <c r="FA715" s="36">
        <v>0</v>
      </c>
      <c r="FB715" s="36">
        <v>0</v>
      </c>
      <c r="FC715" s="37">
        <v>0</v>
      </c>
    </row>
    <row r="716" spans="1:159" s="3" customFormat="1" ht="18" customHeight="1" x14ac:dyDescent="0.2">
      <c r="A716" s="140">
        <v>42</v>
      </c>
      <c r="B716" s="263">
        <v>0.20246068768596701</v>
      </c>
      <c r="C716" s="325"/>
      <c r="D716" s="38"/>
      <c r="E716" s="39">
        <v>1</v>
      </c>
      <c r="G716" s="39">
        <v>2</v>
      </c>
      <c r="H716" s="39">
        <v>11</v>
      </c>
      <c r="J716" s="39">
        <v>11</v>
      </c>
      <c r="K716" s="39">
        <v>2</v>
      </c>
      <c r="L716" s="39">
        <v>1</v>
      </c>
      <c r="N716" s="39">
        <v>42</v>
      </c>
      <c r="O716" s="35">
        <v>11</v>
      </c>
      <c r="P716" s="36">
        <v>2</v>
      </c>
      <c r="Q716" s="37">
        <v>1</v>
      </c>
      <c r="T716" s="39">
        <v>42</v>
      </c>
      <c r="U716" s="39">
        <v>16</v>
      </c>
      <c r="V716" s="39">
        <v>3</v>
      </c>
      <c r="W716" s="39">
        <v>1</v>
      </c>
      <c r="Z716" s="39">
        <v>42</v>
      </c>
      <c r="AA716" s="35">
        <v>0</v>
      </c>
      <c r="AB716" s="36">
        <v>0</v>
      </c>
      <c r="AC716" s="36">
        <v>0</v>
      </c>
      <c r="AD716" s="36">
        <v>0</v>
      </c>
      <c r="AE716" s="36">
        <v>0</v>
      </c>
      <c r="AF716" s="36">
        <v>0</v>
      </c>
      <c r="AG716" s="36">
        <v>0</v>
      </c>
      <c r="AH716" s="36">
        <v>0</v>
      </c>
      <c r="AI716" s="36">
        <v>0</v>
      </c>
      <c r="AJ716" s="36">
        <v>0</v>
      </c>
      <c r="AK716" s="36">
        <v>0</v>
      </c>
      <c r="AL716" s="36">
        <v>0</v>
      </c>
      <c r="AM716" s="36">
        <v>0</v>
      </c>
      <c r="AN716" s="36">
        <v>0</v>
      </c>
      <c r="AO716" s="36">
        <v>0</v>
      </c>
      <c r="AP716" s="36">
        <v>0</v>
      </c>
      <c r="AQ716" s="36">
        <v>0</v>
      </c>
      <c r="AR716" s="36">
        <v>0</v>
      </c>
      <c r="AS716" s="36">
        <v>0</v>
      </c>
      <c r="AT716" s="36">
        <v>0</v>
      </c>
      <c r="AU716" s="36">
        <v>0</v>
      </c>
      <c r="AV716" s="36">
        <v>0</v>
      </c>
      <c r="AW716" s="36">
        <v>0</v>
      </c>
      <c r="AX716" s="36">
        <v>0</v>
      </c>
      <c r="AY716" s="36">
        <v>0</v>
      </c>
      <c r="AZ716" s="36">
        <v>0</v>
      </c>
      <c r="BA716" s="36">
        <v>0</v>
      </c>
      <c r="BB716" s="36">
        <v>0</v>
      </c>
      <c r="BC716" s="36">
        <v>0</v>
      </c>
      <c r="BD716" s="36">
        <v>0</v>
      </c>
      <c r="BE716" s="36">
        <v>0</v>
      </c>
      <c r="BF716" s="36">
        <v>0</v>
      </c>
      <c r="BG716" s="36">
        <v>0</v>
      </c>
      <c r="BH716" s="36">
        <v>0</v>
      </c>
      <c r="BI716" s="36">
        <v>0</v>
      </c>
      <c r="BJ716" s="36">
        <v>0</v>
      </c>
      <c r="BK716" s="36">
        <v>0</v>
      </c>
      <c r="BL716" s="36">
        <v>0</v>
      </c>
      <c r="BM716" s="36">
        <v>0</v>
      </c>
      <c r="BN716" s="36">
        <v>0</v>
      </c>
      <c r="BO716" s="36">
        <v>0</v>
      </c>
      <c r="BP716" s="36">
        <v>0</v>
      </c>
      <c r="BQ716" s="36">
        <v>0</v>
      </c>
      <c r="BR716" s="36">
        <v>0</v>
      </c>
      <c r="BS716" s="36">
        <v>0</v>
      </c>
      <c r="BT716" s="36">
        <v>0</v>
      </c>
      <c r="BU716" s="36">
        <v>0</v>
      </c>
      <c r="BV716" s="36">
        <v>0</v>
      </c>
      <c r="BW716" s="36">
        <v>0</v>
      </c>
      <c r="BX716" s="36">
        <v>0</v>
      </c>
      <c r="BY716" s="36">
        <v>0</v>
      </c>
      <c r="BZ716" s="36">
        <v>0</v>
      </c>
      <c r="CA716" s="36">
        <v>0</v>
      </c>
      <c r="CB716" s="36">
        <v>0</v>
      </c>
      <c r="CC716" s="36">
        <v>0</v>
      </c>
      <c r="CD716" s="36">
        <v>0</v>
      </c>
      <c r="CE716" s="36">
        <v>0</v>
      </c>
      <c r="CF716" s="36">
        <v>0</v>
      </c>
      <c r="CG716" s="36">
        <v>0</v>
      </c>
      <c r="CH716" s="36">
        <v>0</v>
      </c>
      <c r="CI716" s="36">
        <v>0</v>
      </c>
      <c r="CJ716" s="36">
        <v>0</v>
      </c>
      <c r="CK716" s="36">
        <v>0</v>
      </c>
      <c r="CL716" s="36">
        <v>0</v>
      </c>
      <c r="CM716" s="36">
        <v>0</v>
      </c>
      <c r="CN716" s="36">
        <v>0</v>
      </c>
      <c r="CO716" s="36">
        <v>0</v>
      </c>
      <c r="CP716" s="36">
        <v>0</v>
      </c>
      <c r="CQ716" s="36">
        <v>0</v>
      </c>
      <c r="CR716" s="36">
        <v>0</v>
      </c>
      <c r="CS716" s="36">
        <v>0</v>
      </c>
      <c r="CT716" s="36">
        <v>0</v>
      </c>
      <c r="CU716" s="36">
        <v>0</v>
      </c>
      <c r="CV716" s="36">
        <v>0</v>
      </c>
      <c r="CW716" s="36">
        <v>0</v>
      </c>
      <c r="CX716" s="36">
        <v>0</v>
      </c>
      <c r="CY716" s="36">
        <v>0</v>
      </c>
      <c r="CZ716" s="36">
        <v>0</v>
      </c>
      <c r="DA716" s="36">
        <v>0</v>
      </c>
      <c r="DB716" s="36">
        <v>0</v>
      </c>
      <c r="DC716" s="36">
        <v>0</v>
      </c>
      <c r="DD716" s="36">
        <v>0</v>
      </c>
      <c r="DE716" s="36">
        <v>0</v>
      </c>
      <c r="DF716" s="36">
        <v>0</v>
      </c>
      <c r="DG716" s="36">
        <v>0</v>
      </c>
      <c r="DH716" s="36">
        <v>0</v>
      </c>
      <c r="DI716" s="36">
        <v>0</v>
      </c>
      <c r="DJ716" s="36">
        <v>0</v>
      </c>
      <c r="DK716" s="36">
        <v>0</v>
      </c>
      <c r="DL716" s="36">
        <v>0</v>
      </c>
      <c r="DM716" s="36">
        <v>0</v>
      </c>
      <c r="DN716" s="36">
        <v>0</v>
      </c>
      <c r="DO716" s="36">
        <v>0</v>
      </c>
      <c r="DP716" s="36">
        <v>0</v>
      </c>
      <c r="DQ716" s="36">
        <v>0</v>
      </c>
      <c r="DR716" s="36">
        <v>0</v>
      </c>
      <c r="DS716" s="36">
        <v>0</v>
      </c>
      <c r="DT716" s="36">
        <v>0</v>
      </c>
      <c r="DU716" s="36">
        <v>0</v>
      </c>
      <c r="DV716" s="36">
        <v>0</v>
      </c>
      <c r="DW716" s="36">
        <v>0</v>
      </c>
      <c r="DX716" s="36">
        <v>0</v>
      </c>
      <c r="DY716" s="36">
        <v>0</v>
      </c>
      <c r="DZ716" s="36">
        <v>0</v>
      </c>
      <c r="EA716" s="36">
        <v>0</v>
      </c>
      <c r="EB716" s="36">
        <v>0</v>
      </c>
      <c r="EC716" s="36">
        <v>0</v>
      </c>
      <c r="ED716" s="36">
        <v>0</v>
      </c>
      <c r="EE716" s="36">
        <v>0</v>
      </c>
      <c r="EF716" s="36">
        <v>0</v>
      </c>
      <c r="EG716" s="36">
        <v>0</v>
      </c>
      <c r="EH716" s="36">
        <v>0</v>
      </c>
      <c r="EI716" s="36">
        <v>0</v>
      </c>
      <c r="EJ716" s="36">
        <v>0</v>
      </c>
      <c r="EK716" s="36">
        <v>0</v>
      </c>
      <c r="EL716" s="36">
        <v>0</v>
      </c>
      <c r="EM716" s="36">
        <v>0</v>
      </c>
      <c r="EN716" s="36">
        <v>1</v>
      </c>
      <c r="EO716" s="36">
        <v>1</v>
      </c>
      <c r="EP716" s="36">
        <v>0</v>
      </c>
      <c r="EQ716" s="36">
        <v>0</v>
      </c>
      <c r="ER716" s="36">
        <v>0</v>
      </c>
      <c r="ES716" s="36">
        <v>0</v>
      </c>
      <c r="ET716" s="36">
        <v>0</v>
      </c>
      <c r="EU716" s="36">
        <v>0</v>
      </c>
      <c r="EV716" s="36">
        <v>0</v>
      </c>
      <c r="EW716" s="36">
        <v>0</v>
      </c>
      <c r="EX716" s="36">
        <v>0</v>
      </c>
      <c r="EY716" s="36">
        <v>0</v>
      </c>
      <c r="EZ716" s="36">
        <v>0</v>
      </c>
      <c r="FA716" s="36">
        <v>0</v>
      </c>
      <c r="FB716" s="36">
        <v>0</v>
      </c>
      <c r="FC716" s="37">
        <v>0</v>
      </c>
    </row>
    <row r="717" spans="1:159" s="3" customFormat="1" ht="18" customHeight="1" x14ac:dyDescent="0.2">
      <c r="A717" s="140">
        <v>43</v>
      </c>
      <c r="B717" s="263">
        <v>0.20142711884665099</v>
      </c>
      <c r="C717" s="325"/>
      <c r="D717" s="38"/>
      <c r="E717" s="39">
        <v>1</v>
      </c>
      <c r="G717" s="39">
        <v>3</v>
      </c>
      <c r="H717" s="39">
        <v>11</v>
      </c>
      <c r="J717" s="39">
        <v>11</v>
      </c>
      <c r="K717" s="39">
        <v>3</v>
      </c>
      <c r="L717" s="39">
        <v>1</v>
      </c>
      <c r="N717" s="39">
        <v>43</v>
      </c>
      <c r="O717" s="35">
        <v>11</v>
      </c>
      <c r="P717" s="36">
        <v>3</v>
      </c>
      <c r="Q717" s="37">
        <v>1</v>
      </c>
      <c r="T717" s="39">
        <v>43</v>
      </c>
      <c r="U717" s="39">
        <v>16</v>
      </c>
      <c r="V717" s="39">
        <v>4</v>
      </c>
      <c r="W717" s="39">
        <v>1</v>
      </c>
      <c r="Z717" s="39">
        <v>43</v>
      </c>
      <c r="AA717" s="35">
        <v>0</v>
      </c>
      <c r="AB717" s="36">
        <v>0</v>
      </c>
      <c r="AC717" s="36">
        <v>0</v>
      </c>
      <c r="AD717" s="36">
        <v>0</v>
      </c>
      <c r="AE717" s="36">
        <v>0</v>
      </c>
      <c r="AF717" s="36">
        <v>0</v>
      </c>
      <c r="AG717" s="36">
        <v>0</v>
      </c>
      <c r="AH717" s="36">
        <v>0</v>
      </c>
      <c r="AI717" s="36">
        <v>0</v>
      </c>
      <c r="AJ717" s="36">
        <v>0</v>
      </c>
      <c r="AK717" s="36">
        <v>0</v>
      </c>
      <c r="AL717" s="36">
        <v>0</v>
      </c>
      <c r="AM717" s="36">
        <v>0</v>
      </c>
      <c r="AN717" s="36">
        <v>0</v>
      </c>
      <c r="AO717" s="36">
        <v>0</v>
      </c>
      <c r="AP717" s="36">
        <v>0</v>
      </c>
      <c r="AQ717" s="36">
        <v>0</v>
      </c>
      <c r="AR717" s="36">
        <v>0</v>
      </c>
      <c r="AS717" s="36">
        <v>0</v>
      </c>
      <c r="AT717" s="36">
        <v>0</v>
      </c>
      <c r="AU717" s="36">
        <v>0</v>
      </c>
      <c r="AV717" s="36">
        <v>0</v>
      </c>
      <c r="AW717" s="36">
        <v>0</v>
      </c>
      <c r="AX717" s="36">
        <v>0</v>
      </c>
      <c r="AY717" s="36">
        <v>0</v>
      </c>
      <c r="AZ717" s="36">
        <v>0</v>
      </c>
      <c r="BA717" s="36">
        <v>0</v>
      </c>
      <c r="BB717" s="36">
        <v>0</v>
      </c>
      <c r="BC717" s="36">
        <v>0</v>
      </c>
      <c r="BD717" s="36">
        <v>0</v>
      </c>
      <c r="BE717" s="36">
        <v>0</v>
      </c>
      <c r="BF717" s="36">
        <v>0</v>
      </c>
      <c r="BG717" s="36">
        <v>0</v>
      </c>
      <c r="BH717" s="36">
        <v>0</v>
      </c>
      <c r="BI717" s="36">
        <v>0</v>
      </c>
      <c r="BJ717" s="36">
        <v>0</v>
      </c>
      <c r="BK717" s="36">
        <v>0</v>
      </c>
      <c r="BL717" s="36">
        <v>0</v>
      </c>
      <c r="BM717" s="36">
        <v>0</v>
      </c>
      <c r="BN717" s="36">
        <v>0</v>
      </c>
      <c r="BO717" s="36">
        <v>0</v>
      </c>
      <c r="BP717" s="36">
        <v>0</v>
      </c>
      <c r="BQ717" s="36">
        <v>0</v>
      </c>
      <c r="BR717" s="36">
        <v>0</v>
      </c>
      <c r="BS717" s="36">
        <v>0</v>
      </c>
      <c r="BT717" s="36">
        <v>0</v>
      </c>
      <c r="BU717" s="36">
        <v>0</v>
      </c>
      <c r="BV717" s="36">
        <v>0</v>
      </c>
      <c r="BW717" s="36">
        <v>0</v>
      </c>
      <c r="BX717" s="36">
        <v>0</v>
      </c>
      <c r="BY717" s="36">
        <v>0</v>
      </c>
      <c r="BZ717" s="36">
        <v>0</v>
      </c>
      <c r="CA717" s="36">
        <v>0</v>
      </c>
      <c r="CB717" s="36">
        <v>0</v>
      </c>
      <c r="CC717" s="36">
        <v>0</v>
      </c>
      <c r="CD717" s="36">
        <v>0</v>
      </c>
      <c r="CE717" s="36">
        <v>0</v>
      </c>
      <c r="CF717" s="36">
        <v>0</v>
      </c>
      <c r="CG717" s="36">
        <v>0</v>
      </c>
      <c r="CH717" s="36">
        <v>0</v>
      </c>
      <c r="CI717" s="36">
        <v>0</v>
      </c>
      <c r="CJ717" s="36">
        <v>0</v>
      </c>
      <c r="CK717" s="36">
        <v>0</v>
      </c>
      <c r="CL717" s="36">
        <v>0</v>
      </c>
      <c r="CM717" s="36">
        <v>0</v>
      </c>
      <c r="CN717" s="36">
        <v>0</v>
      </c>
      <c r="CO717" s="36">
        <v>0</v>
      </c>
      <c r="CP717" s="36">
        <v>0</v>
      </c>
      <c r="CQ717" s="36">
        <v>0</v>
      </c>
      <c r="CR717" s="36">
        <v>0</v>
      </c>
      <c r="CS717" s="36">
        <v>0</v>
      </c>
      <c r="CT717" s="36">
        <v>0</v>
      </c>
      <c r="CU717" s="36">
        <v>0</v>
      </c>
      <c r="CV717" s="36">
        <v>0</v>
      </c>
      <c r="CW717" s="36">
        <v>0</v>
      </c>
      <c r="CX717" s="36">
        <v>0</v>
      </c>
      <c r="CY717" s="36">
        <v>0</v>
      </c>
      <c r="CZ717" s="36">
        <v>0</v>
      </c>
      <c r="DA717" s="36">
        <v>0</v>
      </c>
      <c r="DB717" s="36">
        <v>0</v>
      </c>
      <c r="DC717" s="36">
        <v>0</v>
      </c>
      <c r="DD717" s="36">
        <v>0</v>
      </c>
      <c r="DE717" s="36">
        <v>0</v>
      </c>
      <c r="DF717" s="36">
        <v>0</v>
      </c>
      <c r="DG717" s="36">
        <v>0</v>
      </c>
      <c r="DH717" s="36">
        <v>0</v>
      </c>
      <c r="DI717" s="36">
        <v>0</v>
      </c>
      <c r="DJ717" s="36">
        <v>0</v>
      </c>
      <c r="DK717" s="36">
        <v>0</v>
      </c>
      <c r="DL717" s="36">
        <v>0</v>
      </c>
      <c r="DM717" s="36">
        <v>0</v>
      </c>
      <c r="DN717" s="36">
        <v>0</v>
      </c>
      <c r="DO717" s="36">
        <v>0</v>
      </c>
      <c r="DP717" s="36">
        <v>0</v>
      </c>
      <c r="DQ717" s="36">
        <v>0</v>
      </c>
      <c r="DR717" s="36">
        <v>0</v>
      </c>
      <c r="DS717" s="36">
        <v>0</v>
      </c>
      <c r="DT717" s="36">
        <v>0</v>
      </c>
      <c r="DU717" s="36">
        <v>0</v>
      </c>
      <c r="DV717" s="36">
        <v>0</v>
      </c>
      <c r="DW717" s="36">
        <v>0</v>
      </c>
      <c r="DX717" s="36">
        <v>0</v>
      </c>
      <c r="DY717" s="36">
        <v>0</v>
      </c>
      <c r="DZ717" s="36">
        <v>0</v>
      </c>
      <c r="EA717" s="36">
        <v>0</v>
      </c>
      <c r="EB717" s="36">
        <v>0</v>
      </c>
      <c r="EC717" s="36">
        <v>0</v>
      </c>
      <c r="ED717" s="36">
        <v>0</v>
      </c>
      <c r="EE717" s="36">
        <v>0</v>
      </c>
      <c r="EF717" s="36">
        <v>0</v>
      </c>
      <c r="EG717" s="36">
        <v>0</v>
      </c>
      <c r="EH717" s="36">
        <v>0</v>
      </c>
      <c r="EI717" s="36">
        <v>0</v>
      </c>
      <c r="EJ717" s="36">
        <v>0</v>
      </c>
      <c r="EK717" s="36">
        <v>0</v>
      </c>
      <c r="EL717" s="36">
        <v>0</v>
      </c>
      <c r="EM717" s="36">
        <v>0</v>
      </c>
      <c r="EN717" s="36">
        <v>0</v>
      </c>
      <c r="EO717" s="36">
        <v>0</v>
      </c>
      <c r="EP717" s="36">
        <v>1</v>
      </c>
      <c r="EQ717" s="36">
        <v>1</v>
      </c>
      <c r="ER717" s="36">
        <v>0</v>
      </c>
      <c r="ES717" s="36">
        <v>0</v>
      </c>
      <c r="ET717" s="36">
        <v>0</v>
      </c>
      <c r="EU717" s="36">
        <v>0</v>
      </c>
      <c r="EV717" s="36">
        <v>0</v>
      </c>
      <c r="EW717" s="36">
        <v>0</v>
      </c>
      <c r="EX717" s="36">
        <v>0</v>
      </c>
      <c r="EY717" s="36">
        <v>0</v>
      </c>
      <c r="EZ717" s="36">
        <v>0</v>
      </c>
      <c r="FA717" s="36">
        <v>0</v>
      </c>
      <c r="FB717" s="36">
        <v>0</v>
      </c>
      <c r="FC717" s="37">
        <v>0</v>
      </c>
    </row>
    <row r="718" spans="1:159" s="3" customFormat="1" ht="18" customHeight="1" x14ac:dyDescent="0.2">
      <c r="A718" s="140">
        <v>44</v>
      </c>
      <c r="B718" s="263">
        <v>0.60655878268678998</v>
      </c>
      <c r="C718" s="325"/>
      <c r="D718" s="38"/>
      <c r="E718" s="39">
        <v>1</v>
      </c>
      <c r="G718" s="39">
        <v>4</v>
      </c>
      <c r="H718" s="39">
        <v>11</v>
      </c>
      <c r="J718" s="39">
        <v>11</v>
      </c>
      <c r="K718" s="39">
        <v>4</v>
      </c>
      <c r="L718" s="39">
        <v>1</v>
      </c>
      <c r="N718" s="39">
        <v>44</v>
      </c>
      <c r="O718" s="35">
        <v>11</v>
      </c>
      <c r="P718" s="36">
        <v>4</v>
      </c>
      <c r="Q718" s="37">
        <v>1</v>
      </c>
      <c r="T718" s="39">
        <v>44</v>
      </c>
      <c r="U718" s="39">
        <v>17</v>
      </c>
      <c r="V718" s="39">
        <v>1</v>
      </c>
      <c r="W718" s="39">
        <v>1</v>
      </c>
      <c r="Z718" s="39">
        <v>44</v>
      </c>
      <c r="AA718" s="35">
        <v>0</v>
      </c>
      <c r="AB718" s="36">
        <v>0</v>
      </c>
      <c r="AC718" s="36">
        <v>0</v>
      </c>
      <c r="AD718" s="36">
        <v>0</v>
      </c>
      <c r="AE718" s="36">
        <v>0</v>
      </c>
      <c r="AF718" s="36">
        <v>0</v>
      </c>
      <c r="AG718" s="36">
        <v>0</v>
      </c>
      <c r="AH718" s="36">
        <v>0</v>
      </c>
      <c r="AI718" s="36">
        <v>0</v>
      </c>
      <c r="AJ718" s="36">
        <v>0</v>
      </c>
      <c r="AK718" s="36">
        <v>0</v>
      </c>
      <c r="AL718" s="36">
        <v>0</v>
      </c>
      <c r="AM718" s="36">
        <v>0</v>
      </c>
      <c r="AN718" s="36">
        <v>0</v>
      </c>
      <c r="AO718" s="36">
        <v>0</v>
      </c>
      <c r="AP718" s="36">
        <v>0</v>
      </c>
      <c r="AQ718" s="36">
        <v>0</v>
      </c>
      <c r="AR718" s="36">
        <v>0</v>
      </c>
      <c r="AS718" s="36">
        <v>0</v>
      </c>
      <c r="AT718" s="36">
        <v>0</v>
      </c>
      <c r="AU718" s="36">
        <v>0</v>
      </c>
      <c r="AV718" s="36">
        <v>0</v>
      </c>
      <c r="AW718" s="36">
        <v>0</v>
      </c>
      <c r="AX718" s="36">
        <v>0</v>
      </c>
      <c r="AY718" s="36">
        <v>0</v>
      </c>
      <c r="AZ718" s="36">
        <v>0</v>
      </c>
      <c r="BA718" s="36">
        <v>0</v>
      </c>
      <c r="BB718" s="36">
        <v>0</v>
      </c>
      <c r="BC718" s="36">
        <v>0</v>
      </c>
      <c r="BD718" s="36">
        <v>0</v>
      </c>
      <c r="BE718" s="36">
        <v>0</v>
      </c>
      <c r="BF718" s="36">
        <v>0</v>
      </c>
      <c r="BG718" s="36">
        <v>0</v>
      </c>
      <c r="BH718" s="36">
        <v>0</v>
      </c>
      <c r="BI718" s="36">
        <v>0</v>
      </c>
      <c r="BJ718" s="36">
        <v>0</v>
      </c>
      <c r="BK718" s="36">
        <v>0</v>
      </c>
      <c r="BL718" s="36">
        <v>0</v>
      </c>
      <c r="BM718" s="36">
        <v>0</v>
      </c>
      <c r="BN718" s="36">
        <v>0</v>
      </c>
      <c r="BO718" s="36">
        <v>0</v>
      </c>
      <c r="BP718" s="36">
        <v>0</v>
      </c>
      <c r="BQ718" s="36">
        <v>0</v>
      </c>
      <c r="BR718" s="36">
        <v>0</v>
      </c>
      <c r="BS718" s="36">
        <v>0</v>
      </c>
      <c r="BT718" s="36">
        <v>0</v>
      </c>
      <c r="BU718" s="36">
        <v>0</v>
      </c>
      <c r="BV718" s="36">
        <v>0</v>
      </c>
      <c r="BW718" s="36">
        <v>0</v>
      </c>
      <c r="BX718" s="36">
        <v>0</v>
      </c>
      <c r="BY718" s="36">
        <v>0</v>
      </c>
      <c r="BZ718" s="36">
        <v>0</v>
      </c>
      <c r="CA718" s="36">
        <v>0</v>
      </c>
      <c r="CB718" s="36">
        <v>0</v>
      </c>
      <c r="CC718" s="36">
        <v>0</v>
      </c>
      <c r="CD718" s="36">
        <v>0</v>
      </c>
      <c r="CE718" s="36">
        <v>0</v>
      </c>
      <c r="CF718" s="36">
        <v>0</v>
      </c>
      <c r="CG718" s="36">
        <v>0</v>
      </c>
      <c r="CH718" s="36">
        <v>0</v>
      </c>
      <c r="CI718" s="36">
        <v>0</v>
      </c>
      <c r="CJ718" s="36">
        <v>0</v>
      </c>
      <c r="CK718" s="36">
        <v>0</v>
      </c>
      <c r="CL718" s="36">
        <v>0</v>
      </c>
      <c r="CM718" s="36">
        <v>0</v>
      </c>
      <c r="CN718" s="36">
        <v>0</v>
      </c>
      <c r="CO718" s="36">
        <v>0</v>
      </c>
      <c r="CP718" s="36">
        <v>0</v>
      </c>
      <c r="CQ718" s="36">
        <v>0</v>
      </c>
      <c r="CR718" s="36">
        <v>0</v>
      </c>
      <c r="CS718" s="36">
        <v>0</v>
      </c>
      <c r="CT718" s="36">
        <v>0</v>
      </c>
      <c r="CU718" s="36">
        <v>0</v>
      </c>
      <c r="CV718" s="36">
        <v>0</v>
      </c>
      <c r="CW718" s="36">
        <v>0</v>
      </c>
      <c r="CX718" s="36">
        <v>0</v>
      </c>
      <c r="CY718" s="36">
        <v>0</v>
      </c>
      <c r="CZ718" s="36">
        <v>0</v>
      </c>
      <c r="DA718" s="36">
        <v>0</v>
      </c>
      <c r="DB718" s="36">
        <v>0</v>
      </c>
      <c r="DC718" s="36">
        <v>0</v>
      </c>
      <c r="DD718" s="36">
        <v>0</v>
      </c>
      <c r="DE718" s="36">
        <v>0</v>
      </c>
      <c r="DF718" s="36">
        <v>0</v>
      </c>
      <c r="DG718" s="36">
        <v>0</v>
      </c>
      <c r="DH718" s="36">
        <v>0</v>
      </c>
      <c r="DI718" s="36">
        <v>0</v>
      </c>
      <c r="DJ718" s="36">
        <v>0</v>
      </c>
      <c r="DK718" s="36">
        <v>0</v>
      </c>
      <c r="DL718" s="36">
        <v>0</v>
      </c>
      <c r="DM718" s="36">
        <v>0</v>
      </c>
      <c r="DN718" s="36">
        <v>0</v>
      </c>
      <c r="DO718" s="36">
        <v>0</v>
      </c>
      <c r="DP718" s="36">
        <v>0</v>
      </c>
      <c r="DQ718" s="36">
        <v>0</v>
      </c>
      <c r="DR718" s="36">
        <v>0</v>
      </c>
      <c r="DS718" s="36">
        <v>0</v>
      </c>
      <c r="DT718" s="36">
        <v>0</v>
      </c>
      <c r="DU718" s="36">
        <v>0</v>
      </c>
      <c r="DV718" s="36">
        <v>0</v>
      </c>
      <c r="DW718" s="36">
        <v>0</v>
      </c>
      <c r="DX718" s="36">
        <v>0</v>
      </c>
      <c r="DY718" s="36">
        <v>0</v>
      </c>
      <c r="DZ718" s="36">
        <v>0</v>
      </c>
      <c r="EA718" s="36">
        <v>0</v>
      </c>
      <c r="EB718" s="36">
        <v>0</v>
      </c>
      <c r="EC718" s="36">
        <v>0</v>
      </c>
      <c r="ED718" s="36">
        <v>0</v>
      </c>
      <c r="EE718" s="36">
        <v>0</v>
      </c>
      <c r="EF718" s="36">
        <v>0</v>
      </c>
      <c r="EG718" s="36">
        <v>0</v>
      </c>
      <c r="EH718" s="36">
        <v>0</v>
      </c>
      <c r="EI718" s="36">
        <v>0</v>
      </c>
      <c r="EJ718" s="36">
        <v>0</v>
      </c>
      <c r="EK718" s="36">
        <v>0</v>
      </c>
      <c r="EL718" s="36">
        <v>0</v>
      </c>
      <c r="EM718" s="36">
        <v>0</v>
      </c>
      <c r="EN718" s="36">
        <v>0</v>
      </c>
      <c r="EO718" s="36">
        <v>0</v>
      </c>
      <c r="EP718" s="36">
        <v>0</v>
      </c>
      <c r="EQ718" s="36">
        <v>0</v>
      </c>
      <c r="ER718" s="36">
        <v>1</v>
      </c>
      <c r="ES718" s="36">
        <v>1</v>
      </c>
      <c r="ET718" s="36">
        <v>1</v>
      </c>
      <c r="EU718" s="36">
        <v>1</v>
      </c>
      <c r="EV718" s="36">
        <v>0</v>
      </c>
      <c r="EW718" s="36">
        <v>0</v>
      </c>
      <c r="EX718" s="36">
        <v>0</v>
      </c>
      <c r="EY718" s="36">
        <v>0</v>
      </c>
      <c r="EZ718" s="36">
        <v>0</v>
      </c>
      <c r="FA718" s="36">
        <v>0</v>
      </c>
      <c r="FB718" s="36">
        <v>0</v>
      </c>
      <c r="FC718" s="37">
        <v>0</v>
      </c>
    </row>
    <row r="719" spans="1:159" s="3" customFormat="1" ht="18" customHeight="1" x14ac:dyDescent="0.2">
      <c r="A719" s="140">
        <v>45</v>
      </c>
      <c r="B719" s="263">
        <v>0.606910002408383</v>
      </c>
      <c r="C719" s="325"/>
      <c r="D719" s="38"/>
      <c r="E719" s="39">
        <v>0</v>
      </c>
      <c r="G719" s="39">
        <v>1</v>
      </c>
      <c r="H719" s="39">
        <v>12</v>
      </c>
      <c r="J719" s="39">
        <v>12</v>
      </c>
      <c r="K719" s="39">
        <v>1</v>
      </c>
      <c r="L719" s="39">
        <v>0</v>
      </c>
      <c r="N719" s="39">
        <v>45</v>
      </c>
      <c r="O719" s="35">
        <v>12</v>
      </c>
      <c r="P719" s="36">
        <v>1</v>
      </c>
      <c r="Q719" s="37">
        <v>0</v>
      </c>
      <c r="T719" s="39">
        <v>45</v>
      </c>
      <c r="U719" s="39">
        <v>17</v>
      </c>
      <c r="V719" s="39">
        <v>2</v>
      </c>
      <c r="W719" s="39">
        <v>1</v>
      </c>
      <c r="Z719" s="39">
        <v>45</v>
      </c>
      <c r="AA719" s="35">
        <v>0</v>
      </c>
      <c r="AB719" s="36">
        <v>0</v>
      </c>
      <c r="AC719" s="36">
        <v>0</v>
      </c>
      <c r="AD719" s="36">
        <v>0</v>
      </c>
      <c r="AE719" s="36">
        <v>0</v>
      </c>
      <c r="AF719" s="36">
        <v>0</v>
      </c>
      <c r="AG719" s="36">
        <v>0</v>
      </c>
      <c r="AH719" s="36">
        <v>0</v>
      </c>
      <c r="AI719" s="36">
        <v>0</v>
      </c>
      <c r="AJ719" s="36">
        <v>0</v>
      </c>
      <c r="AK719" s="36">
        <v>0</v>
      </c>
      <c r="AL719" s="36">
        <v>0</v>
      </c>
      <c r="AM719" s="36">
        <v>0</v>
      </c>
      <c r="AN719" s="36">
        <v>0</v>
      </c>
      <c r="AO719" s="36">
        <v>0</v>
      </c>
      <c r="AP719" s="36">
        <v>0</v>
      </c>
      <c r="AQ719" s="36">
        <v>0</v>
      </c>
      <c r="AR719" s="36">
        <v>0</v>
      </c>
      <c r="AS719" s="36">
        <v>0</v>
      </c>
      <c r="AT719" s="36">
        <v>0</v>
      </c>
      <c r="AU719" s="36">
        <v>0</v>
      </c>
      <c r="AV719" s="36">
        <v>0</v>
      </c>
      <c r="AW719" s="36">
        <v>0</v>
      </c>
      <c r="AX719" s="36">
        <v>0</v>
      </c>
      <c r="AY719" s="36">
        <v>0</v>
      </c>
      <c r="AZ719" s="36">
        <v>0</v>
      </c>
      <c r="BA719" s="36">
        <v>0</v>
      </c>
      <c r="BB719" s="36">
        <v>0</v>
      </c>
      <c r="BC719" s="36">
        <v>0</v>
      </c>
      <c r="BD719" s="36">
        <v>0</v>
      </c>
      <c r="BE719" s="36">
        <v>0</v>
      </c>
      <c r="BF719" s="36">
        <v>0</v>
      </c>
      <c r="BG719" s="36">
        <v>0</v>
      </c>
      <c r="BH719" s="36">
        <v>0</v>
      </c>
      <c r="BI719" s="36">
        <v>0</v>
      </c>
      <c r="BJ719" s="36">
        <v>0</v>
      </c>
      <c r="BK719" s="36">
        <v>0</v>
      </c>
      <c r="BL719" s="36">
        <v>0</v>
      </c>
      <c r="BM719" s="36">
        <v>0</v>
      </c>
      <c r="BN719" s="36">
        <v>0</v>
      </c>
      <c r="BO719" s="36">
        <v>0</v>
      </c>
      <c r="BP719" s="36">
        <v>0</v>
      </c>
      <c r="BQ719" s="36">
        <v>0</v>
      </c>
      <c r="BR719" s="36">
        <v>0</v>
      </c>
      <c r="BS719" s="36">
        <v>0</v>
      </c>
      <c r="BT719" s="36">
        <v>0</v>
      </c>
      <c r="BU719" s="36">
        <v>0</v>
      </c>
      <c r="BV719" s="36">
        <v>0</v>
      </c>
      <c r="BW719" s="36">
        <v>0</v>
      </c>
      <c r="BX719" s="36">
        <v>0</v>
      </c>
      <c r="BY719" s="36">
        <v>0</v>
      </c>
      <c r="BZ719" s="36">
        <v>0</v>
      </c>
      <c r="CA719" s="36">
        <v>0</v>
      </c>
      <c r="CB719" s="36">
        <v>0</v>
      </c>
      <c r="CC719" s="36">
        <v>0</v>
      </c>
      <c r="CD719" s="36">
        <v>0</v>
      </c>
      <c r="CE719" s="36">
        <v>0</v>
      </c>
      <c r="CF719" s="36">
        <v>0</v>
      </c>
      <c r="CG719" s="36">
        <v>0</v>
      </c>
      <c r="CH719" s="36">
        <v>0</v>
      </c>
      <c r="CI719" s="36">
        <v>0</v>
      </c>
      <c r="CJ719" s="36">
        <v>0</v>
      </c>
      <c r="CK719" s="36">
        <v>0</v>
      </c>
      <c r="CL719" s="36">
        <v>0</v>
      </c>
      <c r="CM719" s="36">
        <v>0</v>
      </c>
      <c r="CN719" s="36">
        <v>0</v>
      </c>
      <c r="CO719" s="36">
        <v>0</v>
      </c>
      <c r="CP719" s="36">
        <v>0</v>
      </c>
      <c r="CQ719" s="36">
        <v>0</v>
      </c>
      <c r="CR719" s="36">
        <v>0</v>
      </c>
      <c r="CS719" s="36">
        <v>0</v>
      </c>
      <c r="CT719" s="36">
        <v>0</v>
      </c>
      <c r="CU719" s="36">
        <v>0</v>
      </c>
      <c r="CV719" s="36">
        <v>0</v>
      </c>
      <c r="CW719" s="36">
        <v>0</v>
      </c>
      <c r="CX719" s="36">
        <v>0</v>
      </c>
      <c r="CY719" s="36">
        <v>0</v>
      </c>
      <c r="CZ719" s="36">
        <v>0</v>
      </c>
      <c r="DA719" s="36">
        <v>0</v>
      </c>
      <c r="DB719" s="36">
        <v>0</v>
      </c>
      <c r="DC719" s="36">
        <v>0</v>
      </c>
      <c r="DD719" s="36">
        <v>0</v>
      </c>
      <c r="DE719" s="36">
        <v>0</v>
      </c>
      <c r="DF719" s="36">
        <v>0</v>
      </c>
      <c r="DG719" s="36">
        <v>0</v>
      </c>
      <c r="DH719" s="36">
        <v>0</v>
      </c>
      <c r="DI719" s="36">
        <v>0</v>
      </c>
      <c r="DJ719" s="36">
        <v>0</v>
      </c>
      <c r="DK719" s="36">
        <v>0</v>
      </c>
      <c r="DL719" s="36">
        <v>0</v>
      </c>
      <c r="DM719" s="36">
        <v>0</v>
      </c>
      <c r="DN719" s="36">
        <v>0</v>
      </c>
      <c r="DO719" s="36">
        <v>0</v>
      </c>
      <c r="DP719" s="36">
        <v>0</v>
      </c>
      <c r="DQ719" s="36">
        <v>0</v>
      </c>
      <c r="DR719" s="36">
        <v>0</v>
      </c>
      <c r="DS719" s="36">
        <v>0</v>
      </c>
      <c r="DT719" s="36">
        <v>0</v>
      </c>
      <c r="DU719" s="36">
        <v>0</v>
      </c>
      <c r="DV719" s="36">
        <v>0</v>
      </c>
      <c r="DW719" s="36">
        <v>0</v>
      </c>
      <c r="DX719" s="36">
        <v>0</v>
      </c>
      <c r="DY719" s="36">
        <v>0</v>
      </c>
      <c r="DZ719" s="36">
        <v>0</v>
      </c>
      <c r="EA719" s="36">
        <v>0</v>
      </c>
      <c r="EB719" s="36">
        <v>0</v>
      </c>
      <c r="EC719" s="36">
        <v>0</v>
      </c>
      <c r="ED719" s="36">
        <v>0</v>
      </c>
      <c r="EE719" s="36">
        <v>0</v>
      </c>
      <c r="EF719" s="36">
        <v>0</v>
      </c>
      <c r="EG719" s="36">
        <v>0</v>
      </c>
      <c r="EH719" s="36">
        <v>0</v>
      </c>
      <c r="EI719" s="36">
        <v>0</v>
      </c>
      <c r="EJ719" s="36">
        <v>0</v>
      </c>
      <c r="EK719" s="36">
        <v>0</v>
      </c>
      <c r="EL719" s="36">
        <v>0</v>
      </c>
      <c r="EM719" s="36">
        <v>0</v>
      </c>
      <c r="EN719" s="36">
        <v>0</v>
      </c>
      <c r="EO719" s="36">
        <v>0</v>
      </c>
      <c r="EP719" s="36">
        <v>0</v>
      </c>
      <c r="EQ719" s="36">
        <v>0</v>
      </c>
      <c r="ER719" s="36">
        <v>0</v>
      </c>
      <c r="ES719" s="36">
        <v>0</v>
      </c>
      <c r="ET719" s="36">
        <v>0</v>
      </c>
      <c r="EU719" s="36">
        <v>0</v>
      </c>
      <c r="EV719" s="36">
        <v>1</v>
      </c>
      <c r="EW719" s="36">
        <v>1</v>
      </c>
      <c r="EX719" s="36">
        <v>0</v>
      </c>
      <c r="EY719" s="36">
        <v>0</v>
      </c>
      <c r="EZ719" s="36">
        <v>0</v>
      </c>
      <c r="FA719" s="36">
        <v>0</v>
      </c>
      <c r="FB719" s="36">
        <v>0</v>
      </c>
      <c r="FC719" s="37">
        <v>0</v>
      </c>
    </row>
    <row r="720" spans="1:159" s="3" customFormat="1" ht="18" customHeight="1" x14ac:dyDescent="0.2">
      <c r="A720" s="140">
        <v>46</v>
      </c>
      <c r="B720" s="263">
        <v>0.60724113180488304</v>
      </c>
      <c r="C720" s="325"/>
      <c r="D720" s="38"/>
      <c r="E720" s="39">
        <v>1</v>
      </c>
      <c r="G720" s="39">
        <v>2</v>
      </c>
      <c r="H720" s="39">
        <v>12</v>
      </c>
      <c r="J720" s="39">
        <v>12</v>
      </c>
      <c r="K720" s="39">
        <v>2</v>
      </c>
      <c r="L720" s="39">
        <v>1</v>
      </c>
      <c r="N720" s="39">
        <v>46</v>
      </c>
      <c r="O720" s="35">
        <v>12</v>
      </c>
      <c r="P720" s="36">
        <v>2</v>
      </c>
      <c r="Q720" s="37">
        <v>1</v>
      </c>
      <c r="T720" s="39">
        <v>46</v>
      </c>
      <c r="U720" s="39">
        <v>17</v>
      </c>
      <c r="V720" s="39">
        <v>3</v>
      </c>
      <c r="W720" s="39">
        <v>1</v>
      </c>
      <c r="Z720" s="39">
        <v>46</v>
      </c>
      <c r="AA720" s="35">
        <v>0</v>
      </c>
      <c r="AB720" s="36">
        <v>0</v>
      </c>
      <c r="AC720" s="36">
        <v>0</v>
      </c>
      <c r="AD720" s="36">
        <v>0</v>
      </c>
      <c r="AE720" s="36">
        <v>0</v>
      </c>
      <c r="AF720" s="36">
        <v>0</v>
      </c>
      <c r="AG720" s="36">
        <v>0</v>
      </c>
      <c r="AH720" s="36">
        <v>0</v>
      </c>
      <c r="AI720" s="36">
        <v>0</v>
      </c>
      <c r="AJ720" s="36">
        <v>0</v>
      </c>
      <c r="AK720" s="36">
        <v>0</v>
      </c>
      <c r="AL720" s="36">
        <v>0</v>
      </c>
      <c r="AM720" s="36">
        <v>0</v>
      </c>
      <c r="AN720" s="36">
        <v>0</v>
      </c>
      <c r="AO720" s="36">
        <v>0</v>
      </c>
      <c r="AP720" s="36">
        <v>0</v>
      </c>
      <c r="AQ720" s="36">
        <v>0</v>
      </c>
      <c r="AR720" s="36">
        <v>0</v>
      </c>
      <c r="AS720" s="36">
        <v>0</v>
      </c>
      <c r="AT720" s="36">
        <v>0</v>
      </c>
      <c r="AU720" s="36">
        <v>0</v>
      </c>
      <c r="AV720" s="36">
        <v>0</v>
      </c>
      <c r="AW720" s="36">
        <v>0</v>
      </c>
      <c r="AX720" s="36">
        <v>0</v>
      </c>
      <c r="AY720" s="36">
        <v>0</v>
      </c>
      <c r="AZ720" s="36">
        <v>0</v>
      </c>
      <c r="BA720" s="36">
        <v>0</v>
      </c>
      <c r="BB720" s="36">
        <v>0</v>
      </c>
      <c r="BC720" s="36">
        <v>0</v>
      </c>
      <c r="BD720" s="36">
        <v>0</v>
      </c>
      <c r="BE720" s="36">
        <v>0</v>
      </c>
      <c r="BF720" s="36">
        <v>0</v>
      </c>
      <c r="BG720" s="36">
        <v>0</v>
      </c>
      <c r="BH720" s="36">
        <v>0</v>
      </c>
      <c r="BI720" s="36">
        <v>0</v>
      </c>
      <c r="BJ720" s="36">
        <v>0</v>
      </c>
      <c r="BK720" s="36">
        <v>0</v>
      </c>
      <c r="BL720" s="36">
        <v>0</v>
      </c>
      <c r="BM720" s="36">
        <v>0</v>
      </c>
      <c r="BN720" s="36">
        <v>0</v>
      </c>
      <c r="BO720" s="36">
        <v>0</v>
      </c>
      <c r="BP720" s="36">
        <v>0</v>
      </c>
      <c r="BQ720" s="36">
        <v>0</v>
      </c>
      <c r="BR720" s="36">
        <v>0</v>
      </c>
      <c r="BS720" s="36">
        <v>0</v>
      </c>
      <c r="BT720" s="36">
        <v>0</v>
      </c>
      <c r="BU720" s="36">
        <v>0</v>
      </c>
      <c r="BV720" s="36">
        <v>0</v>
      </c>
      <c r="BW720" s="36">
        <v>0</v>
      </c>
      <c r="BX720" s="36">
        <v>0</v>
      </c>
      <c r="BY720" s="36">
        <v>0</v>
      </c>
      <c r="BZ720" s="36">
        <v>0</v>
      </c>
      <c r="CA720" s="36">
        <v>0</v>
      </c>
      <c r="CB720" s="36">
        <v>0</v>
      </c>
      <c r="CC720" s="36">
        <v>0</v>
      </c>
      <c r="CD720" s="36">
        <v>0</v>
      </c>
      <c r="CE720" s="36">
        <v>0</v>
      </c>
      <c r="CF720" s="36">
        <v>0</v>
      </c>
      <c r="CG720" s="36">
        <v>0</v>
      </c>
      <c r="CH720" s="36">
        <v>0</v>
      </c>
      <c r="CI720" s="36">
        <v>0</v>
      </c>
      <c r="CJ720" s="36">
        <v>0</v>
      </c>
      <c r="CK720" s="36">
        <v>0</v>
      </c>
      <c r="CL720" s="36">
        <v>0</v>
      </c>
      <c r="CM720" s="36">
        <v>0</v>
      </c>
      <c r="CN720" s="36">
        <v>0</v>
      </c>
      <c r="CO720" s="36">
        <v>0</v>
      </c>
      <c r="CP720" s="36">
        <v>0</v>
      </c>
      <c r="CQ720" s="36">
        <v>0</v>
      </c>
      <c r="CR720" s="36">
        <v>0</v>
      </c>
      <c r="CS720" s="36">
        <v>0</v>
      </c>
      <c r="CT720" s="36">
        <v>0</v>
      </c>
      <c r="CU720" s="36">
        <v>0</v>
      </c>
      <c r="CV720" s="36">
        <v>0</v>
      </c>
      <c r="CW720" s="36">
        <v>0</v>
      </c>
      <c r="CX720" s="36">
        <v>0</v>
      </c>
      <c r="CY720" s="36">
        <v>0</v>
      </c>
      <c r="CZ720" s="36">
        <v>0</v>
      </c>
      <c r="DA720" s="36">
        <v>0</v>
      </c>
      <c r="DB720" s="36">
        <v>0</v>
      </c>
      <c r="DC720" s="36">
        <v>0</v>
      </c>
      <c r="DD720" s="36">
        <v>0</v>
      </c>
      <c r="DE720" s="36">
        <v>0</v>
      </c>
      <c r="DF720" s="36">
        <v>0</v>
      </c>
      <c r="DG720" s="36">
        <v>0</v>
      </c>
      <c r="DH720" s="36">
        <v>0</v>
      </c>
      <c r="DI720" s="36">
        <v>0</v>
      </c>
      <c r="DJ720" s="36">
        <v>0</v>
      </c>
      <c r="DK720" s="36">
        <v>0</v>
      </c>
      <c r="DL720" s="36">
        <v>0</v>
      </c>
      <c r="DM720" s="36">
        <v>0</v>
      </c>
      <c r="DN720" s="36">
        <v>0</v>
      </c>
      <c r="DO720" s="36">
        <v>0</v>
      </c>
      <c r="DP720" s="36">
        <v>0</v>
      </c>
      <c r="DQ720" s="36">
        <v>0</v>
      </c>
      <c r="DR720" s="36">
        <v>0</v>
      </c>
      <c r="DS720" s="36">
        <v>0</v>
      </c>
      <c r="DT720" s="36">
        <v>0</v>
      </c>
      <c r="DU720" s="36">
        <v>0</v>
      </c>
      <c r="DV720" s="36">
        <v>0</v>
      </c>
      <c r="DW720" s="36">
        <v>0</v>
      </c>
      <c r="DX720" s="36">
        <v>0</v>
      </c>
      <c r="DY720" s="36">
        <v>0</v>
      </c>
      <c r="DZ720" s="36">
        <v>0</v>
      </c>
      <c r="EA720" s="36">
        <v>0</v>
      </c>
      <c r="EB720" s="36">
        <v>0</v>
      </c>
      <c r="EC720" s="36">
        <v>0</v>
      </c>
      <c r="ED720" s="36">
        <v>0</v>
      </c>
      <c r="EE720" s="36">
        <v>0</v>
      </c>
      <c r="EF720" s="36">
        <v>0</v>
      </c>
      <c r="EG720" s="36">
        <v>0</v>
      </c>
      <c r="EH720" s="36">
        <v>0</v>
      </c>
      <c r="EI720" s="36">
        <v>0</v>
      </c>
      <c r="EJ720" s="36">
        <v>0</v>
      </c>
      <c r="EK720" s="36">
        <v>0</v>
      </c>
      <c r="EL720" s="36">
        <v>0</v>
      </c>
      <c r="EM720" s="36">
        <v>0</v>
      </c>
      <c r="EN720" s="36">
        <v>0</v>
      </c>
      <c r="EO720" s="36">
        <v>0</v>
      </c>
      <c r="EP720" s="36">
        <v>0</v>
      </c>
      <c r="EQ720" s="36">
        <v>0</v>
      </c>
      <c r="ER720" s="36">
        <v>0</v>
      </c>
      <c r="ES720" s="36">
        <v>0</v>
      </c>
      <c r="ET720" s="36">
        <v>0</v>
      </c>
      <c r="EU720" s="36">
        <v>0</v>
      </c>
      <c r="EV720" s="36">
        <v>0</v>
      </c>
      <c r="EW720" s="36">
        <v>0</v>
      </c>
      <c r="EX720" s="36">
        <v>1</v>
      </c>
      <c r="EY720" s="36">
        <v>1</v>
      </c>
      <c r="EZ720" s="36">
        <v>0</v>
      </c>
      <c r="FA720" s="36">
        <v>0</v>
      </c>
      <c r="FB720" s="36">
        <v>0</v>
      </c>
      <c r="FC720" s="37">
        <v>0</v>
      </c>
    </row>
    <row r="721" spans="1:159" s="3" customFormat="1" ht="18" customHeight="1" x14ac:dyDescent="0.2">
      <c r="A721" s="140">
        <v>47</v>
      </c>
      <c r="B721" s="263">
        <v>0.60517399412587403</v>
      </c>
      <c r="C721" s="325"/>
      <c r="D721" s="38"/>
      <c r="E721" s="39">
        <v>1</v>
      </c>
      <c r="G721" s="39">
        <v>3</v>
      </c>
      <c r="H721" s="39">
        <v>12</v>
      </c>
      <c r="J721" s="39">
        <v>12</v>
      </c>
      <c r="K721" s="39">
        <v>3</v>
      </c>
      <c r="L721" s="39">
        <v>1</v>
      </c>
      <c r="N721" s="39">
        <v>47</v>
      </c>
      <c r="O721" s="35">
        <v>12</v>
      </c>
      <c r="P721" s="36">
        <v>3</v>
      </c>
      <c r="Q721" s="37">
        <v>1</v>
      </c>
      <c r="T721" s="39">
        <v>47</v>
      </c>
      <c r="U721" s="39">
        <v>17</v>
      </c>
      <c r="V721" s="39">
        <v>4</v>
      </c>
      <c r="W721" s="39">
        <v>1</v>
      </c>
      <c r="Z721" s="39">
        <v>47</v>
      </c>
      <c r="AA721" s="35">
        <v>0</v>
      </c>
      <c r="AB721" s="36">
        <v>0</v>
      </c>
      <c r="AC721" s="36">
        <v>0</v>
      </c>
      <c r="AD721" s="36">
        <v>0</v>
      </c>
      <c r="AE721" s="36">
        <v>0</v>
      </c>
      <c r="AF721" s="36">
        <v>0</v>
      </c>
      <c r="AG721" s="36">
        <v>0</v>
      </c>
      <c r="AH721" s="36">
        <v>0</v>
      </c>
      <c r="AI721" s="36">
        <v>0</v>
      </c>
      <c r="AJ721" s="36">
        <v>0</v>
      </c>
      <c r="AK721" s="36">
        <v>0</v>
      </c>
      <c r="AL721" s="36">
        <v>0</v>
      </c>
      <c r="AM721" s="36">
        <v>0</v>
      </c>
      <c r="AN721" s="36">
        <v>0</v>
      </c>
      <c r="AO721" s="36">
        <v>0</v>
      </c>
      <c r="AP721" s="36">
        <v>0</v>
      </c>
      <c r="AQ721" s="36">
        <v>0</v>
      </c>
      <c r="AR721" s="36">
        <v>0</v>
      </c>
      <c r="AS721" s="36">
        <v>0</v>
      </c>
      <c r="AT721" s="36">
        <v>0</v>
      </c>
      <c r="AU721" s="36">
        <v>0</v>
      </c>
      <c r="AV721" s="36">
        <v>0</v>
      </c>
      <c r="AW721" s="36">
        <v>0</v>
      </c>
      <c r="AX721" s="36">
        <v>0</v>
      </c>
      <c r="AY721" s="36">
        <v>0</v>
      </c>
      <c r="AZ721" s="36">
        <v>0</v>
      </c>
      <c r="BA721" s="36">
        <v>0</v>
      </c>
      <c r="BB721" s="36">
        <v>0</v>
      </c>
      <c r="BC721" s="36">
        <v>0</v>
      </c>
      <c r="BD721" s="36">
        <v>0</v>
      </c>
      <c r="BE721" s="36">
        <v>0</v>
      </c>
      <c r="BF721" s="36">
        <v>0</v>
      </c>
      <c r="BG721" s="36">
        <v>0</v>
      </c>
      <c r="BH721" s="36">
        <v>0</v>
      </c>
      <c r="BI721" s="36">
        <v>0</v>
      </c>
      <c r="BJ721" s="36">
        <v>0</v>
      </c>
      <c r="BK721" s="36">
        <v>0</v>
      </c>
      <c r="BL721" s="36">
        <v>0</v>
      </c>
      <c r="BM721" s="36">
        <v>0</v>
      </c>
      <c r="BN721" s="36">
        <v>0</v>
      </c>
      <c r="BO721" s="36">
        <v>0</v>
      </c>
      <c r="BP721" s="36">
        <v>0</v>
      </c>
      <c r="BQ721" s="36">
        <v>0</v>
      </c>
      <c r="BR721" s="36">
        <v>0</v>
      </c>
      <c r="BS721" s="36">
        <v>0</v>
      </c>
      <c r="BT721" s="36">
        <v>0</v>
      </c>
      <c r="BU721" s="36">
        <v>0</v>
      </c>
      <c r="BV721" s="36">
        <v>0</v>
      </c>
      <c r="BW721" s="36">
        <v>0</v>
      </c>
      <c r="BX721" s="36">
        <v>0</v>
      </c>
      <c r="BY721" s="36">
        <v>0</v>
      </c>
      <c r="BZ721" s="36">
        <v>0</v>
      </c>
      <c r="CA721" s="36">
        <v>0</v>
      </c>
      <c r="CB721" s="36">
        <v>0</v>
      </c>
      <c r="CC721" s="36">
        <v>0</v>
      </c>
      <c r="CD721" s="36">
        <v>0</v>
      </c>
      <c r="CE721" s="36">
        <v>0</v>
      </c>
      <c r="CF721" s="36">
        <v>0</v>
      </c>
      <c r="CG721" s="36">
        <v>0</v>
      </c>
      <c r="CH721" s="36">
        <v>0</v>
      </c>
      <c r="CI721" s="36">
        <v>0</v>
      </c>
      <c r="CJ721" s="36">
        <v>0</v>
      </c>
      <c r="CK721" s="36">
        <v>0</v>
      </c>
      <c r="CL721" s="36">
        <v>0</v>
      </c>
      <c r="CM721" s="36">
        <v>0</v>
      </c>
      <c r="CN721" s="36">
        <v>0</v>
      </c>
      <c r="CO721" s="36">
        <v>0</v>
      </c>
      <c r="CP721" s="36">
        <v>0</v>
      </c>
      <c r="CQ721" s="36">
        <v>0</v>
      </c>
      <c r="CR721" s="36">
        <v>0</v>
      </c>
      <c r="CS721" s="36">
        <v>0</v>
      </c>
      <c r="CT721" s="36">
        <v>0</v>
      </c>
      <c r="CU721" s="36">
        <v>0</v>
      </c>
      <c r="CV721" s="36">
        <v>0</v>
      </c>
      <c r="CW721" s="36">
        <v>0</v>
      </c>
      <c r="CX721" s="36">
        <v>0</v>
      </c>
      <c r="CY721" s="36">
        <v>0</v>
      </c>
      <c r="CZ721" s="36">
        <v>0</v>
      </c>
      <c r="DA721" s="36">
        <v>0</v>
      </c>
      <c r="DB721" s="36">
        <v>0</v>
      </c>
      <c r="DC721" s="36">
        <v>0</v>
      </c>
      <c r="DD721" s="36">
        <v>0</v>
      </c>
      <c r="DE721" s="36">
        <v>0</v>
      </c>
      <c r="DF721" s="36">
        <v>0</v>
      </c>
      <c r="DG721" s="36">
        <v>0</v>
      </c>
      <c r="DH721" s="36">
        <v>0</v>
      </c>
      <c r="DI721" s="36">
        <v>0</v>
      </c>
      <c r="DJ721" s="36">
        <v>0</v>
      </c>
      <c r="DK721" s="36">
        <v>0</v>
      </c>
      <c r="DL721" s="36">
        <v>0</v>
      </c>
      <c r="DM721" s="36">
        <v>0</v>
      </c>
      <c r="DN721" s="36">
        <v>0</v>
      </c>
      <c r="DO721" s="36">
        <v>0</v>
      </c>
      <c r="DP721" s="36">
        <v>0</v>
      </c>
      <c r="DQ721" s="36">
        <v>0</v>
      </c>
      <c r="DR721" s="36">
        <v>0</v>
      </c>
      <c r="DS721" s="36">
        <v>0</v>
      </c>
      <c r="DT721" s="36">
        <v>0</v>
      </c>
      <c r="DU721" s="36">
        <v>0</v>
      </c>
      <c r="DV721" s="36">
        <v>0</v>
      </c>
      <c r="DW721" s="36">
        <v>0</v>
      </c>
      <c r="DX721" s="36">
        <v>0</v>
      </c>
      <c r="DY721" s="36">
        <v>0</v>
      </c>
      <c r="DZ721" s="36">
        <v>0</v>
      </c>
      <c r="EA721" s="36">
        <v>0</v>
      </c>
      <c r="EB721" s="36">
        <v>0</v>
      </c>
      <c r="EC721" s="36">
        <v>0</v>
      </c>
      <c r="ED721" s="36">
        <v>0</v>
      </c>
      <c r="EE721" s="36">
        <v>0</v>
      </c>
      <c r="EF721" s="36">
        <v>0</v>
      </c>
      <c r="EG721" s="36">
        <v>0</v>
      </c>
      <c r="EH721" s="36">
        <v>0</v>
      </c>
      <c r="EI721" s="36">
        <v>0</v>
      </c>
      <c r="EJ721" s="36">
        <v>0</v>
      </c>
      <c r="EK721" s="36">
        <v>0</v>
      </c>
      <c r="EL721" s="36">
        <v>0</v>
      </c>
      <c r="EM721" s="36">
        <v>0</v>
      </c>
      <c r="EN721" s="36">
        <v>0</v>
      </c>
      <c r="EO721" s="36">
        <v>0</v>
      </c>
      <c r="EP721" s="36">
        <v>0</v>
      </c>
      <c r="EQ721" s="36">
        <v>0</v>
      </c>
      <c r="ER721" s="36">
        <v>0</v>
      </c>
      <c r="ES721" s="36">
        <v>0</v>
      </c>
      <c r="ET721" s="36">
        <v>0</v>
      </c>
      <c r="EU721" s="36">
        <v>0</v>
      </c>
      <c r="EV721" s="36">
        <v>0</v>
      </c>
      <c r="EW721" s="36">
        <v>0</v>
      </c>
      <c r="EX721" s="36">
        <v>0</v>
      </c>
      <c r="EY721" s="36">
        <v>0</v>
      </c>
      <c r="EZ721" s="36">
        <v>1</v>
      </c>
      <c r="FA721" s="36">
        <v>1</v>
      </c>
      <c r="FB721" s="36">
        <v>0</v>
      </c>
      <c r="FC721" s="37">
        <v>0</v>
      </c>
    </row>
    <row r="722" spans="1:159" s="3" customFormat="1" ht="18.5" customHeight="1" x14ac:dyDescent="0.2">
      <c r="A722" s="153">
        <v>48</v>
      </c>
      <c r="B722" s="264">
        <v>1.81967634806052</v>
      </c>
      <c r="C722" s="325"/>
      <c r="D722" s="38"/>
      <c r="E722" s="39">
        <v>1</v>
      </c>
      <c r="G722" s="39">
        <v>4</v>
      </c>
      <c r="H722" s="39">
        <v>12</v>
      </c>
      <c r="J722" s="39">
        <v>12</v>
      </c>
      <c r="K722" s="39">
        <v>4</v>
      </c>
      <c r="L722" s="39">
        <v>1</v>
      </c>
      <c r="N722" s="39">
        <v>48</v>
      </c>
      <c r="O722" s="35">
        <v>12</v>
      </c>
      <c r="P722" s="36">
        <v>4</v>
      </c>
      <c r="Q722" s="37">
        <v>1</v>
      </c>
      <c r="T722" s="39">
        <v>48</v>
      </c>
      <c r="U722" s="39">
        <v>18</v>
      </c>
      <c r="V722" s="39">
        <v>1</v>
      </c>
      <c r="W722" s="39">
        <v>1</v>
      </c>
      <c r="Z722" s="56">
        <v>48</v>
      </c>
      <c r="AA722" s="32">
        <v>0</v>
      </c>
      <c r="AB722" s="33">
        <v>0</v>
      </c>
      <c r="AC722" s="33">
        <v>0</v>
      </c>
      <c r="AD722" s="33">
        <v>0</v>
      </c>
      <c r="AE722" s="33">
        <v>0</v>
      </c>
      <c r="AF722" s="33">
        <v>0</v>
      </c>
      <c r="AG722" s="33">
        <v>0</v>
      </c>
      <c r="AH722" s="33">
        <v>0</v>
      </c>
      <c r="AI722" s="33">
        <v>0</v>
      </c>
      <c r="AJ722" s="33">
        <v>0</v>
      </c>
      <c r="AK722" s="33">
        <v>0</v>
      </c>
      <c r="AL722" s="33">
        <v>0</v>
      </c>
      <c r="AM722" s="33">
        <v>0</v>
      </c>
      <c r="AN722" s="33">
        <v>0</v>
      </c>
      <c r="AO722" s="33">
        <v>0</v>
      </c>
      <c r="AP722" s="33">
        <v>0</v>
      </c>
      <c r="AQ722" s="33">
        <v>0</v>
      </c>
      <c r="AR722" s="33">
        <v>0</v>
      </c>
      <c r="AS722" s="33">
        <v>0</v>
      </c>
      <c r="AT722" s="33">
        <v>0</v>
      </c>
      <c r="AU722" s="33">
        <v>0</v>
      </c>
      <c r="AV722" s="33">
        <v>0</v>
      </c>
      <c r="AW722" s="33">
        <v>0</v>
      </c>
      <c r="AX722" s="33">
        <v>0</v>
      </c>
      <c r="AY722" s="33">
        <v>0</v>
      </c>
      <c r="AZ722" s="33">
        <v>0</v>
      </c>
      <c r="BA722" s="33">
        <v>0</v>
      </c>
      <c r="BB722" s="33">
        <v>0</v>
      </c>
      <c r="BC722" s="33">
        <v>0</v>
      </c>
      <c r="BD722" s="33">
        <v>0</v>
      </c>
      <c r="BE722" s="33">
        <v>0</v>
      </c>
      <c r="BF722" s="33">
        <v>0</v>
      </c>
      <c r="BG722" s="33">
        <v>0</v>
      </c>
      <c r="BH722" s="33">
        <v>0</v>
      </c>
      <c r="BI722" s="33">
        <v>0</v>
      </c>
      <c r="BJ722" s="33">
        <v>0</v>
      </c>
      <c r="BK722" s="33">
        <v>0</v>
      </c>
      <c r="BL722" s="33">
        <v>0</v>
      </c>
      <c r="BM722" s="33">
        <v>0</v>
      </c>
      <c r="BN722" s="33">
        <v>0</v>
      </c>
      <c r="BO722" s="33">
        <v>0</v>
      </c>
      <c r="BP722" s="33">
        <v>0</v>
      </c>
      <c r="BQ722" s="33">
        <v>0</v>
      </c>
      <c r="BR722" s="33">
        <v>0</v>
      </c>
      <c r="BS722" s="33">
        <v>0</v>
      </c>
      <c r="BT722" s="33">
        <v>0</v>
      </c>
      <c r="BU722" s="33">
        <v>0</v>
      </c>
      <c r="BV722" s="33">
        <v>0</v>
      </c>
      <c r="BW722" s="33">
        <v>0</v>
      </c>
      <c r="BX722" s="33">
        <v>0</v>
      </c>
      <c r="BY722" s="33">
        <v>0</v>
      </c>
      <c r="BZ722" s="33">
        <v>0</v>
      </c>
      <c r="CA722" s="33">
        <v>0</v>
      </c>
      <c r="CB722" s="33">
        <v>0</v>
      </c>
      <c r="CC722" s="33">
        <v>0</v>
      </c>
      <c r="CD722" s="33">
        <v>0</v>
      </c>
      <c r="CE722" s="33">
        <v>0</v>
      </c>
      <c r="CF722" s="33">
        <v>0</v>
      </c>
      <c r="CG722" s="33">
        <v>0</v>
      </c>
      <c r="CH722" s="33">
        <v>0</v>
      </c>
      <c r="CI722" s="33">
        <v>0</v>
      </c>
      <c r="CJ722" s="33">
        <v>0</v>
      </c>
      <c r="CK722" s="33">
        <v>0</v>
      </c>
      <c r="CL722" s="33">
        <v>0</v>
      </c>
      <c r="CM722" s="33">
        <v>0</v>
      </c>
      <c r="CN722" s="33">
        <v>0</v>
      </c>
      <c r="CO722" s="33">
        <v>0</v>
      </c>
      <c r="CP722" s="33">
        <v>0</v>
      </c>
      <c r="CQ722" s="33">
        <v>0</v>
      </c>
      <c r="CR722" s="33">
        <v>0</v>
      </c>
      <c r="CS722" s="33">
        <v>0</v>
      </c>
      <c r="CT722" s="33">
        <v>0</v>
      </c>
      <c r="CU722" s="33">
        <v>0</v>
      </c>
      <c r="CV722" s="33">
        <v>0</v>
      </c>
      <c r="CW722" s="33">
        <v>0</v>
      </c>
      <c r="CX722" s="33">
        <v>0</v>
      </c>
      <c r="CY722" s="33">
        <v>0</v>
      </c>
      <c r="CZ722" s="33">
        <v>0</v>
      </c>
      <c r="DA722" s="33">
        <v>0</v>
      </c>
      <c r="DB722" s="33">
        <v>0</v>
      </c>
      <c r="DC722" s="33">
        <v>0</v>
      </c>
      <c r="DD722" s="33">
        <v>0</v>
      </c>
      <c r="DE722" s="33">
        <v>0</v>
      </c>
      <c r="DF722" s="33">
        <v>0</v>
      </c>
      <c r="DG722" s="33">
        <v>0</v>
      </c>
      <c r="DH722" s="33">
        <v>0</v>
      </c>
      <c r="DI722" s="33">
        <v>0</v>
      </c>
      <c r="DJ722" s="33">
        <v>0</v>
      </c>
      <c r="DK722" s="33">
        <v>0</v>
      </c>
      <c r="DL722" s="33">
        <v>0</v>
      </c>
      <c r="DM722" s="33">
        <v>0</v>
      </c>
      <c r="DN722" s="33">
        <v>0</v>
      </c>
      <c r="DO722" s="33">
        <v>0</v>
      </c>
      <c r="DP722" s="33">
        <v>0</v>
      </c>
      <c r="DQ722" s="33">
        <v>0</v>
      </c>
      <c r="DR722" s="33">
        <v>0</v>
      </c>
      <c r="DS722" s="33">
        <v>0</v>
      </c>
      <c r="DT722" s="33">
        <v>0</v>
      </c>
      <c r="DU722" s="33">
        <v>0</v>
      </c>
      <c r="DV722" s="33">
        <v>0</v>
      </c>
      <c r="DW722" s="33">
        <v>0</v>
      </c>
      <c r="DX722" s="33">
        <v>0</v>
      </c>
      <c r="DY722" s="33">
        <v>0</v>
      </c>
      <c r="DZ722" s="33">
        <v>0</v>
      </c>
      <c r="EA722" s="33">
        <v>0</v>
      </c>
      <c r="EB722" s="33">
        <v>0</v>
      </c>
      <c r="EC722" s="33">
        <v>0</v>
      </c>
      <c r="ED722" s="33">
        <v>0</v>
      </c>
      <c r="EE722" s="33">
        <v>0</v>
      </c>
      <c r="EF722" s="33">
        <v>0</v>
      </c>
      <c r="EG722" s="33">
        <v>0</v>
      </c>
      <c r="EH722" s="33">
        <v>0</v>
      </c>
      <c r="EI722" s="33">
        <v>0</v>
      </c>
      <c r="EJ722" s="33">
        <v>0</v>
      </c>
      <c r="EK722" s="33">
        <v>0</v>
      </c>
      <c r="EL722" s="33">
        <v>0</v>
      </c>
      <c r="EM722" s="33">
        <v>0</v>
      </c>
      <c r="EN722" s="33">
        <v>0</v>
      </c>
      <c r="EO722" s="33">
        <v>0</v>
      </c>
      <c r="EP722" s="33">
        <v>0</v>
      </c>
      <c r="EQ722" s="33">
        <v>0</v>
      </c>
      <c r="ER722" s="33">
        <v>0</v>
      </c>
      <c r="ES722" s="33">
        <v>0</v>
      </c>
      <c r="ET722" s="33">
        <v>0</v>
      </c>
      <c r="EU722" s="33">
        <v>0</v>
      </c>
      <c r="EV722" s="33">
        <v>0</v>
      </c>
      <c r="EW722" s="33">
        <v>0</v>
      </c>
      <c r="EX722" s="33">
        <v>0</v>
      </c>
      <c r="EY722" s="33">
        <v>0</v>
      </c>
      <c r="EZ722" s="33">
        <v>0</v>
      </c>
      <c r="FA722" s="33">
        <v>0</v>
      </c>
      <c r="FB722" s="33">
        <v>1</v>
      </c>
      <c r="FC722" s="34">
        <v>1</v>
      </c>
    </row>
    <row r="723" spans="1:159" s="3" customFormat="1" ht="18.5" customHeight="1" x14ac:dyDescent="0.2">
      <c r="C723" s="170"/>
      <c r="D723" s="38"/>
      <c r="E723" s="39">
        <v>0</v>
      </c>
      <c r="G723" s="39">
        <v>1</v>
      </c>
      <c r="H723" s="39">
        <v>13</v>
      </c>
      <c r="J723" s="39">
        <v>13</v>
      </c>
      <c r="K723" s="39">
        <v>1</v>
      </c>
      <c r="L723" s="39">
        <v>0</v>
      </c>
      <c r="N723" s="39">
        <v>49</v>
      </c>
      <c r="O723" s="35">
        <v>13</v>
      </c>
      <c r="P723" s="36">
        <v>1</v>
      </c>
      <c r="Q723" s="37">
        <v>0</v>
      </c>
      <c r="T723" s="39">
        <v>49</v>
      </c>
      <c r="U723" s="39">
        <v>18</v>
      </c>
      <c r="V723" s="39">
        <v>2</v>
      </c>
      <c r="W723" s="39">
        <v>1</v>
      </c>
    </row>
    <row r="724" spans="1:159" s="3" customFormat="1" ht="18" customHeight="1" x14ac:dyDescent="0.2">
      <c r="E724" s="39">
        <v>1</v>
      </c>
      <c r="G724" s="39">
        <v>2</v>
      </c>
      <c r="H724" s="39">
        <v>13</v>
      </c>
      <c r="J724" s="39">
        <v>13</v>
      </c>
      <c r="K724" s="39">
        <v>2</v>
      </c>
      <c r="L724" s="39">
        <v>1</v>
      </c>
      <c r="N724" s="39">
        <v>50</v>
      </c>
      <c r="O724" s="35">
        <v>13</v>
      </c>
      <c r="P724" s="36">
        <v>2</v>
      </c>
      <c r="Q724" s="37">
        <v>1</v>
      </c>
      <c r="T724" s="39">
        <v>50</v>
      </c>
      <c r="U724" s="39">
        <v>18</v>
      </c>
      <c r="V724" s="39">
        <v>3</v>
      </c>
      <c r="W724" s="39">
        <v>1</v>
      </c>
    </row>
    <row r="725" spans="1:159" s="3" customFormat="1" ht="18" customHeight="1" x14ac:dyDescent="0.2">
      <c r="E725" s="39">
        <v>1</v>
      </c>
      <c r="G725" s="39">
        <v>3</v>
      </c>
      <c r="H725" s="39">
        <v>13</v>
      </c>
      <c r="J725" s="39">
        <v>13</v>
      </c>
      <c r="K725" s="39">
        <v>3</v>
      </c>
      <c r="L725" s="39">
        <v>1</v>
      </c>
      <c r="N725" s="39">
        <v>51</v>
      </c>
      <c r="O725" s="35">
        <v>13</v>
      </c>
      <c r="P725" s="36">
        <v>3</v>
      </c>
      <c r="Q725" s="37">
        <v>1</v>
      </c>
      <c r="T725" s="39">
        <v>51</v>
      </c>
      <c r="U725" s="39">
        <v>18</v>
      </c>
      <c r="V725" s="39">
        <v>4</v>
      </c>
      <c r="W725" s="39">
        <v>1</v>
      </c>
    </row>
    <row r="726" spans="1:159" s="3" customFormat="1" ht="18.5" customHeight="1" x14ac:dyDescent="0.2">
      <c r="E726" s="39">
        <v>1</v>
      </c>
      <c r="G726" s="39">
        <v>4</v>
      </c>
      <c r="H726" s="39">
        <v>13</v>
      </c>
      <c r="J726" s="39">
        <v>13</v>
      </c>
      <c r="K726" s="39">
        <v>4</v>
      </c>
      <c r="L726" s="39">
        <v>1</v>
      </c>
      <c r="N726" s="39">
        <v>52</v>
      </c>
      <c r="O726" s="35">
        <v>13</v>
      </c>
      <c r="P726" s="36">
        <v>4</v>
      </c>
      <c r="Q726" s="37">
        <v>1</v>
      </c>
      <c r="T726" s="39">
        <v>52</v>
      </c>
      <c r="U726" s="39">
        <v>19</v>
      </c>
      <c r="V726" s="39">
        <v>1</v>
      </c>
      <c r="W726" s="39">
        <v>1</v>
      </c>
    </row>
    <row r="727" spans="1:159" s="3" customFormat="1" ht="19" customHeight="1" x14ac:dyDescent="0.2">
      <c r="E727" s="39">
        <v>0</v>
      </c>
      <c r="G727" s="39">
        <v>1</v>
      </c>
      <c r="H727" s="39">
        <v>14</v>
      </c>
      <c r="J727" s="39">
        <v>14</v>
      </c>
      <c r="K727" s="39">
        <v>1</v>
      </c>
      <c r="L727" s="39">
        <v>0</v>
      </c>
      <c r="N727" s="39">
        <v>53</v>
      </c>
      <c r="O727" s="35">
        <v>14</v>
      </c>
      <c r="P727" s="36">
        <v>1</v>
      </c>
      <c r="Q727" s="37">
        <v>0</v>
      </c>
      <c r="T727" s="39">
        <v>53</v>
      </c>
      <c r="U727" s="39">
        <v>19</v>
      </c>
      <c r="V727" s="39">
        <v>2</v>
      </c>
      <c r="W727" s="39">
        <v>1</v>
      </c>
      <c r="Z727" s="6" t="s">
        <v>282</v>
      </c>
    </row>
    <row r="728" spans="1:159" s="3" customFormat="1" ht="18.5" customHeight="1" x14ac:dyDescent="0.2">
      <c r="E728" s="39">
        <v>1</v>
      </c>
      <c r="G728" s="39">
        <v>2</v>
      </c>
      <c r="H728" s="39">
        <v>14</v>
      </c>
      <c r="J728" s="39">
        <v>14</v>
      </c>
      <c r="K728" s="39">
        <v>2</v>
      </c>
      <c r="L728" s="39">
        <v>1</v>
      </c>
      <c r="N728" s="39">
        <v>54</v>
      </c>
      <c r="O728" s="35">
        <v>14</v>
      </c>
      <c r="P728" s="36">
        <v>2</v>
      </c>
      <c r="Q728" s="37">
        <v>1</v>
      </c>
      <c r="T728" s="39">
        <v>54</v>
      </c>
      <c r="U728" s="39">
        <v>19</v>
      </c>
      <c r="V728" s="39">
        <v>3</v>
      </c>
      <c r="W728" s="39">
        <v>1</v>
      </c>
      <c r="Z728" s="114" t="s">
        <v>283</v>
      </c>
      <c r="AA728" s="115"/>
      <c r="AB728" s="115"/>
      <c r="AC728" s="115"/>
      <c r="AD728" s="115"/>
      <c r="AE728" s="115"/>
      <c r="AF728" s="115"/>
      <c r="AG728" s="115"/>
      <c r="AH728" s="116"/>
    </row>
    <row r="729" spans="1:159" s="3" customFormat="1" ht="18.5" customHeight="1" x14ac:dyDescent="0.2">
      <c r="E729" s="39">
        <v>1</v>
      </c>
      <c r="G729" s="39">
        <v>3</v>
      </c>
      <c r="H729" s="39">
        <v>14</v>
      </c>
      <c r="J729" s="39">
        <v>14</v>
      </c>
      <c r="K729" s="39">
        <v>3</v>
      </c>
      <c r="L729" s="39">
        <v>1</v>
      </c>
      <c r="N729" s="39">
        <v>55</v>
      </c>
      <c r="O729" s="35">
        <v>14</v>
      </c>
      <c r="P729" s="36">
        <v>3</v>
      </c>
      <c r="Q729" s="37">
        <v>1</v>
      </c>
      <c r="T729" s="39">
        <v>55</v>
      </c>
      <c r="U729" s="39">
        <v>19</v>
      </c>
      <c r="V729" s="39">
        <v>4</v>
      </c>
      <c r="W729" s="39">
        <v>1</v>
      </c>
      <c r="Z729" s="122" t="s">
        <v>284</v>
      </c>
      <c r="AA729" s="15"/>
      <c r="AB729" s="15"/>
      <c r="AC729" s="14" t="s">
        <v>285</v>
      </c>
      <c r="AD729" s="15"/>
      <c r="AE729" s="15"/>
      <c r="AF729" s="14" t="s">
        <v>286</v>
      </c>
      <c r="AG729" s="15"/>
      <c r="AH729" s="16"/>
    </row>
    <row r="730" spans="1:159" s="3" customFormat="1" ht="19" customHeight="1" x14ac:dyDescent="0.2">
      <c r="E730" s="39">
        <v>1</v>
      </c>
      <c r="G730" s="39">
        <v>4</v>
      </c>
      <c r="H730" s="39">
        <v>14</v>
      </c>
      <c r="J730" s="39">
        <v>14</v>
      </c>
      <c r="K730" s="39">
        <v>4</v>
      </c>
      <c r="L730" s="39">
        <v>1</v>
      </c>
      <c r="N730" s="39">
        <v>56</v>
      </c>
      <c r="O730" s="35">
        <v>14</v>
      </c>
      <c r="P730" s="36">
        <v>4</v>
      </c>
      <c r="Q730" s="37">
        <v>1</v>
      </c>
      <c r="T730" s="39">
        <v>56</v>
      </c>
      <c r="U730" s="39">
        <v>20</v>
      </c>
      <c r="V730" s="39">
        <v>1</v>
      </c>
      <c r="W730" s="39">
        <v>1</v>
      </c>
      <c r="Z730" s="101" t="s">
        <v>287</v>
      </c>
      <c r="AA730" s="9">
        <v>1</v>
      </c>
      <c r="AB730" s="10">
        <v>2</v>
      </c>
      <c r="AC730" s="10">
        <v>3</v>
      </c>
      <c r="AD730" s="10">
        <v>4</v>
      </c>
      <c r="AE730" s="10">
        <v>5</v>
      </c>
      <c r="AF730" s="10">
        <v>6</v>
      </c>
      <c r="AG730" s="10">
        <v>7</v>
      </c>
      <c r="AH730" s="10">
        <v>8</v>
      </c>
      <c r="AI730" s="10">
        <v>9</v>
      </c>
      <c r="AJ730" s="10">
        <v>10</v>
      </c>
      <c r="AK730" s="10">
        <v>11</v>
      </c>
      <c r="AL730" s="10">
        <v>12</v>
      </c>
      <c r="AM730" s="10">
        <v>13</v>
      </c>
      <c r="AN730" s="10">
        <v>14</v>
      </c>
      <c r="AO730" s="10">
        <v>15</v>
      </c>
      <c r="AP730" s="10">
        <v>16</v>
      </c>
      <c r="AQ730" s="10">
        <v>17</v>
      </c>
      <c r="AR730" s="10">
        <v>18</v>
      </c>
      <c r="AS730" s="10">
        <v>19</v>
      </c>
      <c r="AT730" s="10">
        <v>20</v>
      </c>
      <c r="AU730" s="10">
        <v>21</v>
      </c>
      <c r="AV730" s="10">
        <v>22</v>
      </c>
      <c r="AW730" s="10">
        <v>23</v>
      </c>
      <c r="AX730" s="10">
        <v>24</v>
      </c>
      <c r="AY730" s="10">
        <v>25</v>
      </c>
      <c r="AZ730" s="10">
        <v>26</v>
      </c>
      <c r="BA730" s="10">
        <v>27</v>
      </c>
      <c r="BB730" s="10">
        <v>28</v>
      </c>
      <c r="BC730" s="10">
        <v>29</v>
      </c>
      <c r="BD730" s="10">
        <v>30</v>
      </c>
      <c r="BE730" s="10">
        <v>31</v>
      </c>
      <c r="BF730" s="10">
        <v>32</v>
      </c>
      <c r="BG730" s="10">
        <v>33</v>
      </c>
      <c r="BH730" s="10">
        <v>34</v>
      </c>
      <c r="BI730" s="10">
        <v>35</v>
      </c>
      <c r="BJ730" s="10">
        <v>36</v>
      </c>
      <c r="BK730" s="10">
        <v>37</v>
      </c>
      <c r="BL730" s="10">
        <v>38</v>
      </c>
      <c r="BM730" s="10">
        <v>39</v>
      </c>
      <c r="BN730" s="10">
        <v>40</v>
      </c>
      <c r="BO730" s="10">
        <v>41</v>
      </c>
      <c r="BP730" s="10">
        <v>42</v>
      </c>
      <c r="BQ730" s="10">
        <v>43</v>
      </c>
      <c r="BR730" s="10">
        <v>44</v>
      </c>
      <c r="BS730" s="10">
        <v>45</v>
      </c>
      <c r="BT730" s="10">
        <v>46</v>
      </c>
      <c r="BU730" s="10">
        <v>47</v>
      </c>
      <c r="BV730" s="10">
        <v>48</v>
      </c>
      <c r="BW730" s="10">
        <v>49</v>
      </c>
      <c r="BX730" s="10">
        <v>50</v>
      </c>
      <c r="BY730" s="10">
        <v>51</v>
      </c>
      <c r="BZ730" s="10">
        <v>52</v>
      </c>
      <c r="CA730" s="10">
        <v>53</v>
      </c>
      <c r="CB730" s="10">
        <v>54</v>
      </c>
      <c r="CC730" s="10">
        <v>55</v>
      </c>
      <c r="CD730" s="10">
        <v>56</v>
      </c>
      <c r="CE730" s="10">
        <v>57</v>
      </c>
      <c r="CF730" s="10">
        <v>58</v>
      </c>
      <c r="CG730" s="10">
        <v>59</v>
      </c>
      <c r="CH730" s="10">
        <v>60</v>
      </c>
      <c r="CI730" s="10">
        <v>61</v>
      </c>
      <c r="CJ730" s="10">
        <v>62</v>
      </c>
      <c r="CK730" s="10">
        <v>63</v>
      </c>
      <c r="CL730" s="10">
        <v>64</v>
      </c>
      <c r="CM730" s="10">
        <v>65</v>
      </c>
      <c r="CN730" s="10">
        <v>66</v>
      </c>
      <c r="CO730" s="10">
        <v>67</v>
      </c>
      <c r="CP730" s="10">
        <v>68</v>
      </c>
      <c r="CQ730" s="10">
        <v>69</v>
      </c>
      <c r="CR730" s="10">
        <v>70</v>
      </c>
      <c r="CS730" s="10">
        <v>71</v>
      </c>
      <c r="CT730" s="10">
        <v>72</v>
      </c>
      <c r="CU730" s="10">
        <v>73</v>
      </c>
      <c r="CV730" s="10">
        <v>74</v>
      </c>
      <c r="CW730" s="10">
        <v>75</v>
      </c>
      <c r="CX730" s="10">
        <v>76</v>
      </c>
      <c r="CY730" s="10">
        <v>77</v>
      </c>
      <c r="CZ730" s="10">
        <v>78</v>
      </c>
      <c r="DA730" s="10">
        <v>79</v>
      </c>
      <c r="DB730" s="10">
        <v>80</v>
      </c>
      <c r="DC730" s="10">
        <v>81</v>
      </c>
      <c r="DD730" s="10">
        <v>82</v>
      </c>
      <c r="DE730" s="10">
        <v>83</v>
      </c>
      <c r="DF730" s="10">
        <v>84</v>
      </c>
      <c r="DG730" s="10">
        <v>85</v>
      </c>
      <c r="DH730" s="10">
        <v>86</v>
      </c>
      <c r="DI730" s="10">
        <v>87</v>
      </c>
      <c r="DJ730" s="10">
        <v>88</v>
      </c>
      <c r="DK730" s="10">
        <v>89</v>
      </c>
      <c r="DL730" s="10">
        <v>90</v>
      </c>
      <c r="DM730" s="10">
        <v>91</v>
      </c>
      <c r="DN730" s="10">
        <v>92</v>
      </c>
      <c r="DO730" s="10">
        <v>93</v>
      </c>
      <c r="DP730" s="10">
        <v>94</v>
      </c>
      <c r="DQ730" s="10">
        <v>95</v>
      </c>
      <c r="DR730" s="10">
        <v>96</v>
      </c>
      <c r="DS730" s="10">
        <v>97</v>
      </c>
      <c r="DT730" s="10">
        <v>98</v>
      </c>
      <c r="DU730" s="10">
        <v>99</v>
      </c>
      <c r="DV730" s="10">
        <v>100</v>
      </c>
      <c r="DW730" s="10">
        <v>101</v>
      </c>
      <c r="DX730" s="10">
        <v>102</v>
      </c>
      <c r="DY730" s="10">
        <v>103</v>
      </c>
      <c r="DZ730" s="10">
        <v>104</v>
      </c>
      <c r="EA730" s="10">
        <v>105</v>
      </c>
      <c r="EB730" s="10">
        <v>106</v>
      </c>
      <c r="EC730" s="10">
        <v>107</v>
      </c>
      <c r="ED730" s="10">
        <v>108</v>
      </c>
      <c r="EE730" s="10">
        <v>109</v>
      </c>
      <c r="EF730" s="10">
        <v>110</v>
      </c>
      <c r="EG730" s="10">
        <v>111</v>
      </c>
      <c r="EH730" s="10">
        <v>112</v>
      </c>
      <c r="EI730" s="10">
        <v>113</v>
      </c>
      <c r="EJ730" s="10">
        <v>114</v>
      </c>
      <c r="EK730" s="10">
        <v>115</v>
      </c>
      <c r="EL730" s="10">
        <v>116</v>
      </c>
      <c r="EM730" s="10">
        <v>117</v>
      </c>
      <c r="EN730" s="10">
        <v>118</v>
      </c>
      <c r="EO730" s="10">
        <v>119</v>
      </c>
      <c r="EP730" s="10">
        <v>120</v>
      </c>
      <c r="EQ730" s="10">
        <v>121</v>
      </c>
      <c r="ER730" s="10">
        <v>122</v>
      </c>
      <c r="ES730" s="10">
        <v>123</v>
      </c>
      <c r="ET730" s="10">
        <v>124</v>
      </c>
      <c r="EU730" s="10">
        <v>125</v>
      </c>
      <c r="EV730" s="10">
        <v>126</v>
      </c>
      <c r="EW730" s="10">
        <v>127</v>
      </c>
      <c r="EX730" s="10">
        <f t="shared" ref="EX730:FC730" si="7">EW730+1</f>
        <v>128</v>
      </c>
      <c r="EY730" s="10">
        <f t="shared" si="7"/>
        <v>129</v>
      </c>
      <c r="EZ730" s="10">
        <f t="shared" si="7"/>
        <v>130</v>
      </c>
      <c r="FA730" s="10">
        <f t="shared" si="7"/>
        <v>131</v>
      </c>
      <c r="FB730" s="10">
        <f t="shared" si="7"/>
        <v>132</v>
      </c>
      <c r="FC730" s="11">
        <f t="shared" si="7"/>
        <v>133</v>
      </c>
    </row>
    <row r="731" spans="1:159" s="3" customFormat="1" ht="18.5" customHeight="1" x14ac:dyDescent="0.2">
      <c r="E731" s="39">
        <v>0</v>
      </c>
      <c r="G731" s="39">
        <v>1</v>
      </c>
      <c r="H731" s="39">
        <v>15</v>
      </c>
      <c r="J731" s="39">
        <v>15</v>
      </c>
      <c r="K731" s="39">
        <v>1</v>
      </c>
      <c r="L731" s="39">
        <v>0</v>
      </c>
      <c r="N731" s="39">
        <v>57</v>
      </c>
      <c r="O731" s="35">
        <v>15</v>
      </c>
      <c r="P731" s="36">
        <v>1</v>
      </c>
      <c r="Q731" s="37">
        <v>0</v>
      </c>
      <c r="T731" s="39">
        <v>57</v>
      </c>
      <c r="U731" s="39">
        <v>20</v>
      </c>
      <c r="V731" s="39">
        <v>2</v>
      </c>
      <c r="W731" s="39">
        <v>1</v>
      </c>
      <c r="Z731" s="28">
        <v>1</v>
      </c>
      <c r="AA731" s="23">
        <v>0</v>
      </c>
      <c r="AB731" s="24">
        <v>0</v>
      </c>
      <c r="AC731" s="24">
        <v>0</v>
      </c>
      <c r="AD731" s="24">
        <v>0</v>
      </c>
      <c r="AE731" s="24">
        <v>0</v>
      </c>
      <c r="AF731" s="24">
        <v>0</v>
      </c>
      <c r="AG731" s="24">
        <v>0</v>
      </c>
      <c r="AH731" s="24">
        <v>0</v>
      </c>
      <c r="AI731" s="24">
        <v>0</v>
      </c>
      <c r="AJ731" s="24">
        <v>0</v>
      </c>
      <c r="AK731" s="24">
        <v>0</v>
      </c>
      <c r="AL731" s="24">
        <v>0</v>
      </c>
      <c r="AM731" s="24">
        <v>0</v>
      </c>
      <c r="AN731" s="24">
        <v>0</v>
      </c>
      <c r="AO731" s="24">
        <v>0</v>
      </c>
      <c r="AP731" s="24">
        <v>0</v>
      </c>
      <c r="AQ731" s="24">
        <v>0</v>
      </c>
      <c r="AR731" s="24">
        <v>0</v>
      </c>
      <c r="AS731" s="24">
        <v>0</v>
      </c>
      <c r="AT731" s="24">
        <v>0</v>
      </c>
      <c r="AU731" s="24">
        <v>0</v>
      </c>
      <c r="AV731" s="24">
        <v>0</v>
      </c>
      <c r="AW731" s="24">
        <v>0</v>
      </c>
      <c r="AX731" s="24">
        <v>0</v>
      </c>
      <c r="AY731" s="24">
        <v>0</v>
      </c>
      <c r="AZ731" s="24">
        <v>0</v>
      </c>
      <c r="BA731" s="24">
        <v>0</v>
      </c>
      <c r="BB731" s="24">
        <v>0</v>
      </c>
      <c r="BC731" s="24">
        <v>0</v>
      </c>
      <c r="BD731" s="24">
        <v>0</v>
      </c>
      <c r="BE731" s="24">
        <v>0</v>
      </c>
      <c r="BF731" s="24">
        <v>0</v>
      </c>
      <c r="BG731" s="24">
        <v>0</v>
      </c>
      <c r="BH731" s="24">
        <v>0</v>
      </c>
      <c r="BI731" s="24">
        <v>0</v>
      </c>
      <c r="BJ731" s="24">
        <v>0</v>
      </c>
      <c r="BK731" s="24">
        <v>0</v>
      </c>
      <c r="BL731" s="24">
        <v>0</v>
      </c>
      <c r="BM731" s="24">
        <v>0</v>
      </c>
      <c r="BN731" s="24">
        <v>1</v>
      </c>
      <c r="BO731" s="24">
        <v>0</v>
      </c>
      <c r="BP731" s="24">
        <v>0</v>
      </c>
      <c r="BQ731" s="24">
        <v>0</v>
      </c>
      <c r="BR731" s="24">
        <v>1</v>
      </c>
      <c r="BS731" s="24">
        <v>0</v>
      </c>
      <c r="BT731" s="24">
        <v>0</v>
      </c>
      <c r="BU731" s="24">
        <v>0</v>
      </c>
      <c r="BV731" s="24">
        <v>1</v>
      </c>
      <c r="BW731" s="24">
        <v>0</v>
      </c>
      <c r="BX731" s="24">
        <v>0</v>
      </c>
      <c r="BY731" s="24">
        <v>0</v>
      </c>
      <c r="BZ731" s="24">
        <v>1</v>
      </c>
      <c r="CA731" s="24">
        <v>0</v>
      </c>
      <c r="CB731" s="24">
        <v>0</v>
      </c>
      <c r="CC731" s="24">
        <v>0</v>
      </c>
      <c r="CD731" s="24">
        <v>1</v>
      </c>
      <c r="CE731" s="24">
        <v>0</v>
      </c>
      <c r="CF731" s="24">
        <v>0</v>
      </c>
      <c r="CG731" s="24">
        <v>0</v>
      </c>
      <c r="CH731" s="24">
        <v>1</v>
      </c>
      <c r="CI731" s="24">
        <v>0</v>
      </c>
      <c r="CJ731" s="24">
        <v>0</v>
      </c>
      <c r="CK731" s="24">
        <v>0</v>
      </c>
      <c r="CL731" s="24">
        <v>1</v>
      </c>
      <c r="CM731" s="24">
        <v>0</v>
      </c>
      <c r="CN731" s="24">
        <v>0</v>
      </c>
      <c r="CO731" s="24">
        <v>0</v>
      </c>
      <c r="CP731" s="24">
        <v>1</v>
      </c>
      <c r="CQ731" s="24">
        <v>0</v>
      </c>
      <c r="CR731" s="24">
        <v>0</v>
      </c>
      <c r="CS731" s="24">
        <v>0</v>
      </c>
      <c r="CT731" s="24">
        <v>1</v>
      </c>
      <c r="CU731" s="24">
        <v>0</v>
      </c>
      <c r="CV731" s="24">
        <v>0</v>
      </c>
      <c r="CW731" s="24">
        <v>0</v>
      </c>
      <c r="CX731" s="24">
        <v>1</v>
      </c>
      <c r="CY731" s="24">
        <v>0</v>
      </c>
      <c r="CZ731" s="24">
        <v>0</v>
      </c>
      <c r="DA731" s="24">
        <v>0</v>
      </c>
      <c r="DB731" s="24">
        <v>1</v>
      </c>
      <c r="DC731" s="24">
        <v>0</v>
      </c>
      <c r="DD731" s="24">
        <v>0</v>
      </c>
      <c r="DE731" s="24">
        <v>0</v>
      </c>
      <c r="DF731" s="24">
        <v>1</v>
      </c>
      <c r="DG731" s="24">
        <v>0</v>
      </c>
      <c r="DH731" s="24">
        <v>0</v>
      </c>
      <c r="DI731" s="24">
        <v>0</v>
      </c>
      <c r="DJ731" s="24">
        <v>1</v>
      </c>
      <c r="DK731" s="24">
        <v>0</v>
      </c>
      <c r="DL731" s="24">
        <v>0</v>
      </c>
      <c r="DM731" s="24">
        <v>0</v>
      </c>
      <c r="DN731" s="24">
        <v>0</v>
      </c>
      <c r="DO731" s="24">
        <v>0</v>
      </c>
      <c r="DP731" s="24">
        <v>0</v>
      </c>
      <c r="DQ731" s="24">
        <v>0</v>
      </c>
      <c r="DR731" s="24">
        <v>0</v>
      </c>
      <c r="DS731" s="24">
        <v>0</v>
      </c>
      <c r="DT731" s="24">
        <v>0</v>
      </c>
      <c r="DU731" s="24">
        <v>0</v>
      </c>
      <c r="DV731" s="24">
        <v>0</v>
      </c>
      <c r="DW731" s="24">
        <v>0</v>
      </c>
      <c r="DX731" s="24">
        <v>0</v>
      </c>
      <c r="DY731" s="24">
        <v>0</v>
      </c>
      <c r="DZ731" s="24">
        <v>0</v>
      </c>
      <c r="EA731" s="24">
        <v>0</v>
      </c>
      <c r="EB731" s="24">
        <v>0</v>
      </c>
      <c r="EC731" s="24">
        <v>0</v>
      </c>
      <c r="ED731" s="24">
        <v>0</v>
      </c>
      <c r="EE731" s="24">
        <v>0</v>
      </c>
      <c r="EF731" s="24">
        <v>0</v>
      </c>
      <c r="EG731" s="24">
        <v>0</v>
      </c>
      <c r="EH731" s="24">
        <v>0</v>
      </c>
      <c r="EI731" s="24">
        <v>0</v>
      </c>
      <c r="EJ731" s="24">
        <v>0</v>
      </c>
      <c r="EK731" s="24">
        <v>0</v>
      </c>
      <c r="EL731" s="24">
        <v>0</v>
      </c>
      <c r="EM731" s="24">
        <v>0</v>
      </c>
      <c r="EN731" s="24">
        <v>0</v>
      </c>
      <c r="EO731" s="24">
        <v>0</v>
      </c>
      <c r="EP731" s="24">
        <v>0</v>
      </c>
      <c r="EQ731" s="24">
        <v>0</v>
      </c>
      <c r="ER731" s="24">
        <v>1</v>
      </c>
      <c r="ES731" s="24">
        <v>0</v>
      </c>
      <c r="ET731" s="24">
        <v>0</v>
      </c>
      <c r="EU731" s="24">
        <v>0</v>
      </c>
      <c r="EV731" s="24">
        <v>0</v>
      </c>
      <c r="EW731" s="24">
        <v>0</v>
      </c>
      <c r="EX731" s="24">
        <v>0</v>
      </c>
      <c r="EY731" s="24">
        <v>0</v>
      </c>
      <c r="EZ731" s="24">
        <v>0</v>
      </c>
      <c r="FA731" s="24">
        <v>0</v>
      </c>
      <c r="FB731" s="24">
        <v>0</v>
      </c>
      <c r="FC731" s="25">
        <v>0</v>
      </c>
    </row>
    <row r="732" spans="1:159" s="3" customFormat="1" ht="18" customHeight="1" x14ac:dyDescent="0.2">
      <c r="E732" s="39">
        <v>1</v>
      </c>
      <c r="G732" s="39">
        <v>2</v>
      </c>
      <c r="H732" s="39">
        <v>15</v>
      </c>
      <c r="J732" s="39">
        <v>15</v>
      </c>
      <c r="K732" s="39">
        <v>2</v>
      </c>
      <c r="L732" s="39">
        <v>1</v>
      </c>
      <c r="N732" s="39">
        <v>58</v>
      </c>
      <c r="O732" s="35">
        <v>15</v>
      </c>
      <c r="P732" s="36">
        <v>2</v>
      </c>
      <c r="Q732" s="37">
        <v>1</v>
      </c>
      <c r="T732" s="39">
        <v>58</v>
      </c>
      <c r="U732" s="39">
        <v>20</v>
      </c>
      <c r="V732" s="39">
        <v>3</v>
      </c>
      <c r="W732" s="39">
        <v>1</v>
      </c>
      <c r="Z732" s="39">
        <v>2</v>
      </c>
      <c r="AA732" s="35">
        <v>0</v>
      </c>
      <c r="AB732" s="36">
        <v>0</v>
      </c>
      <c r="AC732" s="36">
        <v>0</v>
      </c>
      <c r="AD732" s="36">
        <v>0</v>
      </c>
      <c r="AE732" s="36">
        <v>0</v>
      </c>
      <c r="AF732" s="36">
        <v>0</v>
      </c>
      <c r="AG732" s="36">
        <v>0</v>
      </c>
      <c r="AH732" s="36">
        <v>0</v>
      </c>
      <c r="AI732" s="36">
        <v>0</v>
      </c>
      <c r="AJ732" s="36">
        <v>0</v>
      </c>
      <c r="AK732" s="36">
        <v>0</v>
      </c>
      <c r="AL732" s="36">
        <v>0</v>
      </c>
      <c r="AM732" s="36">
        <v>1</v>
      </c>
      <c r="AN732" s="36">
        <v>0</v>
      </c>
      <c r="AO732" s="36">
        <v>0</v>
      </c>
      <c r="AP732" s="36">
        <v>1</v>
      </c>
      <c r="AQ732" s="36">
        <v>0</v>
      </c>
      <c r="AR732" s="36">
        <v>0</v>
      </c>
      <c r="AS732" s="36">
        <v>1</v>
      </c>
      <c r="AT732" s="36">
        <v>0</v>
      </c>
      <c r="AU732" s="36">
        <v>0</v>
      </c>
      <c r="AV732" s="36">
        <v>1</v>
      </c>
      <c r="AW732" s="36">
        <v>0</v>
      </c>
      <c r="AX732" s="36">
        <v>0</v>
      </c>
      <c r="AY732" s="36">
        <v>1</v>
      </c>
      <c r="AZ732" s="36">
        <v>0</v>
      </c>
      <c r="BA732" s="36">
        <v>0</v>
      </c>
      <c r="BB732" s="36">
        <v>1</v>
      </c>
      <c r="BC732" s="36">
        <v>0</v>
      </c>
      <c r="BD732" s="36">
        <v>0</v>
      </c>
      <c r="BE732" s="36">
        <v>1</v>
      </c>
      <c r="BF732" s="36">
        <v>0</v>
      </c>
      <c r="BG732" s="36">
        <v>0</v>
      </c>
      <c r="BH732" s="36">
        <v>1</v>
      </c>
      <c r="BI732" s="36">
        <v>0</v>
      </c>
      <c r="BJ732" s="36">
        <v>0</v>
      </c>
      <c r="BK732" s="36">
        <v>1</v>
      </c>
      <c r="BL732" s="36">
        <v>0</v>
      </c>
      <c r="BM732" s="36">
        <v>0</v>
      </c>
      <c r="BN732" s="36">
        <v>0</v>
      </c>
      <c r="BO732" s="36">
        <v>1</v>
      </c>
      <c r="BP732" s="36">
        <v>0</v>
      </c>
      <c r="BQ732" s="36">
        <v>0</v>
      </c>
      <c r="BR732" s="36">
        <v>0</v>
      </c>
      <c r="BS732" s="36">
        <v>1</v>
      </c>
      <c r="BT732" s="36">
        <v>0</v>
      </c>
      <c r="BU732" s="36">
        <v>0</v>
      </c>
      <c r="BV732" s="36">
        <v>0</v>
      </c>
      <c r="BW732" s="36">
        <v>1</v>
      </c>
      <c r="BX732" s="36">
        <v>0</v>
      </c>
      <c r="BY732" s="36">
        <v>0</v>
      </c>
      <c r="BZ732" s="36">
        <v>0</v>
      </c>
      <c r="CA732" s="36">
        <v>1</v>
      </c>
      <c r="CB732" s="36">
        <v>0</v>
      </c>
      <c r="CC732" s="36">
        <v>0</v>
      </c>
      <c r="CD732" s="36">
        <v>0</v>
      </c>
      <c r="CE732" s="36">
        <v>1</v>
      </c>
      <c r="CF732" s="36">
        <v>0</v>
      </c>
      <c r="CG732" s="36">
        <v>0</v>
      </c>
      <c r="CH732" s="36">
        <v>0</v>
      </c>
      <c r="CI732" s="36">
        <v>1</v>
      </c>
      <c r="CJ732" s="36">
        <v>0</v>
      </c>
      <c r="CK732" s="36">
        <v>0</v>
      </c>
      <c r="CL732" s="36">
        <v>0</v>
      </c>
      <c r="CM732" s="36">
        <v>1</v>
      </c>
      <c r="CN732" s="36">
        <v>0</v>
      </c>
      <c r="CO732" s="36">
        <v>0</v>
      </c>
      <c r="CP732" s="36">
        <v>0</v>
      </c>
      <c r="CQ732" s="36">
        <v>1</v>
      </c>
      <c r="CR732" s="36">
        <v>0</v>
      </c>
      <c r="CS732" s="36">
        <v>0</v>
      </c>
      <c r="CT732" s="36">
        <v>0</v>
      </c>
      <c r="CU732" s="36">
        <v>1</v>
      </c>
      <c r="CV732" s="36">
        <v>0</v>
      </c>
      <c r="CW732" s="36">
        <v>0</v>
      </c>
      <c r="CX732" s="36">
        <v>0</v>
      </c>
      <c r="CY732" s="36">
        <v>1</v>
      </c>
      <c r="CZ732" s="36">
        <v>0</v>
      </c>
      <c r="DA732" s="36">
        <v>0</v>
      </c>
      <c r="DB732" s="36">
        <v>0</v>
      </c>
      <c r="DC732" s="36">
        <v>1</v>
      </c>
      <c r="DD732" s="36">
        <v>0</v>
      </c>
      <c r="DE732" s="36">
        <v>0</v>
      </c>
      <c r="DF732" s="36">
        <v>0</v>
      </c>
      <c r="DG732" s="36">
        <v>1</v>
      </c>
      <c r="DH732" s="36">
        <v>0</v>
      </c>
      <c r="DI732" s="36">
        <v>0</v>
      </c>
      <c r="DJ732" s="36">
        <v>0</v>
      </c>
      <c r="DK732" s="36">
        <v>1</v>
      </c>
      <c r="DL732" s="36">
        <v>0</v>
      </c>
      <c r="DM732" s="36">
        <v>0</v>
      </c>
      <c r="DN732" s="36">
        <v>0</v>
      </c>
      <c r="DO732" s="36">
        <v>0</v>
      </c>
      <c r="DP732" s="36">
        <v>0</v>
      </c>
      <c r="DQ732" s="36">
        <v>0</v>
      </c>
      <c r="DR732" s="36">
        <v>0</v>
      </c>
      <c r="DS732" s="36">
        <v>0</v>
      </c>
      <c r="DT732" s="36">
        <v>0</v>
      </c>
      <c r="DU732" s="36">
        <v>0</v>
      </c>
      <c r="DV732" s="36">
        <v>0</v>
      </c>
      <c r="DW732" s="36">
        <v>0</v>
      </c>
      <c r="DX732" s="36">
        <v>0</v>
      </c>
      <c r="DY732" s="36">
        <v>0</v>
      </c>
      <c r="DZ732" s="36">
        <v>0</v>
      </c>
      <c r="EA732" s="36">
        <v>0</v>
      </c>
      <c r="EB732" s="36">
        <v>0</v>
      </c>
      <c r="EC732" s="36">
        <v>0</v>
      </c>
      <c r="ED732" s="36">
        <v>0</v>
      </c>
      <c r="EE732" s="36">
        <v>0</v>
      </c>
      <c r="EF732" s="36">
        <v>0</v>
      </c>
      <c r="EG732" s="36">
        <v>0</v>
      </c>
      <c r="EH732" s="36">
        <v>0</v>
      </c>
      <c r="EI732" s="36">
        <v>0</v>
      </c>
      <c r="EJ732" s="36">
        <v>0</v>
      </c>
      <c r="EK732" s="36">
        <v>0</v>
      </c>
      <c r="EL732" s="36">
        <v>0</v>
      </c>
      <c r="EM732" s="36">
        <v>0</v>
      </c>
      <c r="EN732" s="36">
        <v>0</v>
      </c>
      <c r="EO732" s="36">
        <v>0</v>
      </c>
      <c r="EP732" s="36">
        <v>0</v>
      </c>
      <c r="EQ732" s="36">
        <v>0</v>
      </c>
      <c r="ER732" s="36">
        <v>0</v>
      </c>
      <c r="ES732" s="36">
        <v>1</v>
      </c>
      <c r="ET732" s="36">
        <v>0</v>
      </c>
      <c r="EU732" s="36">
        <v>0</v>
      </c>
      <c r="EV732" s="36">
        <v>0</v>
      </c>
      <c r="EW732" s="36">
        <v>0</v>
      </c>
      <c r="EX732" s="36">
        <v>0</v>
      </c>
      <c r="EY732" s="36">
        <v>0</v>
      </c>
      <c r="EZ732" s="36">
        <v>0</v>
      </c>
      <c r="FA732" s="36">
        <v>0</v>
      </c>
      <c r="FB732" s="36">
        <v>0</v>
      </c>
      <c r="FC732" s="37">
        <v>0</v>
      </c>
    </row>
    <row r="733" spans="1:159" s="3" customFormat="1" ht="18" customHeight="1" x14ac:dyDescent="0.2">
      <c r="E733" s="39">
        <v>1</v>
      </c>
      <c r="G733" s="39">
        <v>3</v>
      </c>
      <c r="H733" s="39">
        <v>15</v>
      </c>
      <c r="J733" s="39">
        <v>15</v>
      </c>
      <c r="K733" s="39">
        <v>3</v>
      </c>
      <c r="L733" s="39">
        <v>1</v>
      </c>
      <c r="N733" s="39">
        <v>59</v>
      </c>
      <c r="O733" s="35">
        <v>15</v>
      </c>
      <c r="P733" s="36">
        <v>3</v>
      </c>
      <c r="Q733" s="37">
        <v>1</v>
      </c>
      <c r="T733" s="39">
        <v>59</v>
      </c>
      <c r="U733" s="39">
        <v>20</v>
      </c>
      <c r="V733" s="39">
        <v>4</v>
      </c>
      <c r="W733" s="39">
        <v>1</v>
      </c>
      <c r="Z733" s="39">
        <v>3</v>
      </c>
      <c r="AA733" s="35">
        <v>1</v>
      </c>
      <c r="AB733" s="36">
        <v>0</v>
      </c>
      <c r="AC733" s="36">
        <v>1</v>
      </c>
      <c r="AD733" s="36">
        <v>0</v>
      </c>
      <c r="AE733" s="36">
        <v>1</v>
      </c>
      <c r="AF733" s="36">
        <v>0</v>
      </c>
      <c r="AG733" s="36">
        <v>1</v>
      </c>
      <c r="AH733" s="36">
        <v>0</v>
      </c>
      <c r="AI733" s="36">
        <v>1</v>
      </c>
      <c r="AJ733" s="36">
        <v>0</v>
      </c>
      <c r="AK733" s="36">
        <v>1</v>
      </c>
      <c r="AL733" s="36">
        <v>0</v>
      </c>
      <c r="AM733" s="36">
        <v>0</v>
      </c>
      <c r="AN733" s="36">
        <v>1</v>
      </c>
      <c r="AO733" s="36">
        <v>0</v>
      </c>
      <c r="AP733" s="36">
        <v>0</v>
      </c>
      <c r="AQ733" s="36">
        <v>1</v>
      </c>
      <c r="AR733" s="36">
        <v>0</v>
      </c>
      <c r="AS733" s="36">
        <v>0</v>
      </c>
      <c r="AT733" s="36">
        <v>1</v>
      </c>
      <c r="AU733" s="36">
        <v>0</v>
      </c>
      <c r="AV733" s="36">
        <v>0</v>
      </c>
      <c r="AW733" s="36">
        <v>1</v>
      </c>
      <c r="AX733" s="36">
        <v>0</v>
      </c>
      <c r="AY733" s="36">
        <v>0</v>
      </c>
      <c r="AZ733" s="36">
        <v>1</v>
      </c>
      <c r="BA733" s="36">
        <v>0</v>
      </c>
      <c r="BB733" s="36">
        <v>0</v>
      </c>
      <c r="BC733" s="36">
        <v>1</v>
      </c>
      <c r="BD733" s="36">
        <v>0</v>
      </c>
      <c r="BE733" s="36">
        <v>0</v>
      </c>
      <c r="BF733" s="36">
        <v>1</v>
      </c>
      <c r="BG733" s="36">
        <v>0</v>
      </c>
      <c r="BH733" s="36">
        <v>0</v>
      </c>
      <c r="BI733" s="36">
        <v>1</v>
      </c>
      <c r="BJ733" s="36">
        <v>0</v>
      </c>
      <c r="BK733" s="36">
        <v>0</v>
      </c>
      <c r="BL733" s="36">
        <v>1</v>
      </c>
      <c r="BM733" s="36">
        <v>0</v>
      </c>
      <c r="BN733" s="36">
        <v>0</v>
      </c>
      <c r="BO733" s="36">
        <v>0</v>
      </c>
      <c r="BP733" s="36">
        <v>1</v>
      </c>
      <c r="BQ733" s="36">
        <v>0</v>
      </c>
      <c r="BR733" s="36">
        <v>0</v>
      </c>
      <c r="BS733" s="36">
        <v>0</v>
      </c>
      <c r="BT733" s="36">
        <v>1</v>
      </c>
      <c r="BU733" s="36">
        <v>0</v>
      </c>
      <c r="BV733" s="36">
        <v>0</v>
      </c>
      <c r="BW733" s="36">
        <v>0</v>
      </c>
      <c r="BX733" s="36">
        <v>1</v>
      </c>
      <c r="BY733" s="36">
        <v>0</v>
      </c>
      <c r="BZ733" s="36">
        <v>0</v>
      </c>
      <c r="CA733" s="36">
        <v>0</v>
      </c>
      <c r="CB733" s="36">
        <v>1</v>
      </c>
      <c r="CC733" s="36">
        <v>0</v>
      </c>
      <c r="CD733" s="36">
        <v>0</v>
      </c>
      <c r="CE733" s="36">
        <v>0</v>
      </c>
      <c r="CF733" s="36">
        <v>1</v>
      </c>
      <c r="CG733" s="36">
        <v>0</v>
      </c>
      <c r="CH733" s="36">
        <v>0</v>
      </c>
      <c r="CI733" s="36">
        <v>0</v>
      </c>
      <c r="CJ733" s="36">
        <v>1</v>
      </c>
      <c r="CK733" s="36">
        <v>0</v>
      </c>
      <c r="CL733" s="36">
        <v>0</v>
      </c>
      <c r="CM733" s="36">
        <v>0</v>
      </c>
      <c r="CN733" s="36">
        <v>1</v>
      </c>
      <c r="CO733" s="36">
        <v>0</v>
      </c>
      <c r="CP733" s="36">
        <v>0</v>
      </c>
      <c r="CQ733" s="36">
        <v>0</v>
      </c>
      <c r="CR733" s="36">
        <v>1</v>
      </c>
      <c r="CS733" s="36">
        <v>0</v>
      </c>
      <c r="CT733" s="36">
        <v>0</v>
      </c>
      <c r="CU733" s="36">
        <v>0</v>
      </c>
      <c r="CV733" s="36">
        <v>1</v>
      </c>
      <c r="CW733" s="36">
        <v>0</v>
      </c>
      <c r="CX733" s="36">
        <v>0</v>
      </c>
      <c r="CY733" s="36">
        <v>0</v>
      </c>
      <c r="CZ733" s="36">
        <v>1</v>
      </c>
      <c r="DA733" s="36">
        <v>0</v>
      </c>
      <c r="DB733" s="36">
        <v>0</v>
      </c>
      <c r="DC733" s="36">
        <v>0</v>
      </c>
      <c r="DD733" s="36">
        <v>1</v>
      </c>
      <c r="DE733" s="36">
        <v>0</v>
      </c>
      <c r="DF733" s="36">
        <v>0</v>
      </c>
      <c r="DG733" s="36">
        <v>0</v>
      </c>
      <c r="DH733" s="36">
        <v>1</v>
      </c>
      <c r="DI733" s="36">
        <v>0</v>
      </c>
      <c r="DJ733" s="36">
        <v>0</v>
      </c>
      <c r="DK733" s="36">
        <v>0</v>
      </c>
      <c r="DL733" s="36">
        <v>1</v>
      </c>
      <c r="DM733" s="36">
        <v>0</v>
      </c>
      <c r="DN733" s="36">
        <v>1</v>
      </c>
      <c r="DO733" s="36">
        <v>0</v>
      </c>
      <c r="DP733" s="36">
        <v>1</v>
      </c>
      <c r="DQ733" s="36">
        <v>0</v>
      </c>
      <c r="DR733" s="36">
        <v>1</v>
      </c>
      <c r="DS733" s="36">
        <v>0</v>
      </c>
      <c r="DT733" s="36">
        <v>1</v>
      </c>
      <c r="DU733" s="36">
        <v>0</v>
      </c>
      <c r="DV733" s="36">
        <v>1</v>
      </c>
      <c r="DW733" s="36">
        <v>0</v>
      </c>
      <c r="DX733" s="36">
        <v>1</v>
      </c>
      <c r="DY733" s="36">
        <v>0</v>
      </c>
      <c r="DZ733" s="36">
        <v>1</v>
      </c>
      <c r="EA733" s="36">
        <v>0</v>
      </c>
      <c r="EB733" s="36">
        <v>1</v>
      </c>
      <c r="EC733" s="36">
        <v>0</v>
      </c>
      <c r="ED733" s="36">
        <v>1</v>
      </c>
      <c r="EE733" s="36">
        <v>0</v>
      </c>
      <c r="EF733" s="36">
        <v>1</v>
      </c>
      <c r="EG733" s="36">
        <v>0</v>
      </c>
      <c r="EH733" s="36">
        <v>1</v>
      </c>
      <c r="EI733" s="36">
        <v>0</v>
      </c>
      <c r="EJ733" s="36">
        <v>1</v>
      </c>
      <c r="EK733" s="36">
        <v>0</v>
      </c>
      <c r="EL733" s="36">
        <v>1</v>
      </c>
      <c r="EM733" s="36">
        <v>0</v>
      </c>
      <c r="EN733" s="36">
        <v>1</v>
      </c>
      <c r="EO733" s="36">
        <v>0</v>
      </c>
      <c r="EP733" s="36">
        <v>1</v>
      </c>
      <c r="EQ733" s="36">
        <v>0</v>
      </c>
      <c r="ER733" s="36">
        <v>0</v>
      </c>
      <c r="ES733" s="36">
        <v>0</v>
      </c>
      <c r="ET733" s="36">
        <v>1</v>
      </c>
      <c r="EU733" s="36">
        <v>0</v>
      </c>
      <c r="EV733" s="36">
        <v>1</v>
      </c>
      <c r="EW733" s="36">
        <v>0</v>
      </c>
      <c r="EX733" s="36">
        <v>1</v>
      </c>
      <c r="EY733" s="36">
        <v>0</v>
      </c>
      <c r="EZ733" s="36">
        <v>1</v>
      </c>
      <c r="FA733" s="36">
        <v>0</v>
      </c>
      <c r="FB733" s="36">
        <v>1</v>
      </c>
      <c r="FC733" s="37">
        <v>0</v>
      </c>
    </row>
    <row r="734" spans="1:159" s="3" customFormat="1" ht="18.5" customHeight="1" x14ac:dyDescent="0.2">
      <c r="E734" s="39">
        <v>1</v>
      </c>
      <c r="G734" s="39">
        <v>4</v>
      </c>
      <c r="H734" s="39">
        <v>15</v>
      </c>
      <c r="J734" s="39">
        <v>15</v>
      </c>
      <c r="K734" s="39">
        <v>4</v>
      </c>
      <c r="L734" s="39">
        <v>1</v>
      </c>
      <c r="N734" s="39">
        <v>60</v>
      </c>
      <c r="O734" s="35">
        <v>15</v>
      </c>
      <c r="P734" s="36">
        <v>4</v>
      </c>
      <c r="Q734" s="37">
        <v>1</v>
      </c>
      <c r="T734" s="39">
        <v>60</v>
      </c>
      <c r="U734" s="39">
        <v>21</v>
      </c>
      <c r="V734" s="39">
        <v>1</v>
      </c>
      <c r="W734" s="39">
        <v>1</v>
      </c>
      <c r="Z734" s="56">
        <v>4</v>
      </c>
      <c r="AA734" s="32">
        <v>0</v>
      </c>
      <c r="AB734" s="33">
        <v>1</v>
      </c>
      <c r="AC734" s="33">
        <v>0</v>
      </c>
      <c r="AD734" s="33">
        <v>1</v>
      </c>
      <c r="AE734" s="33">
        <v>0</v>
      </c>
      <c r="AF734" s="33">
        <v>1</v>
      </c>
      <c r="AG734" s="33">
        <v>0</v>
      </c>
      <c r="AH734" s="33">
        <v>1</v>
      </c>
      <c r="AI734" s="33">
        <v>0</v>
      </c>
      <c r="AJ734" s="33">
        <v>1</v>
      </c>
      <c r="AK734" s="33">
        <v>0</v>
      </c>
      <c r="AL734" s="33">
        <v>1</v>
      </c>
      <c r="AM734" s="33">
        <v>0</v>
      </c>
      <c r="AN734" s="33">
        <v>0</v>
      </c>
      <c r="AO734" s="33">
        <v>1</v>
      </c>
      <c r="AP734" s="33">
        <v>0</v>
      </c>
      <c r="AQ734" s="33">
        <v>0</v>
      </c>
      <c r="AR734" s="33">
        <v>1</v>
      </c>
      <c r="AS734" s="33">
        <v>0</v>
      </c>
      <c r="AT734" s="33">
        <v>0</v>
      </c>
      <c r="AU734" s="33">
        <v>1</v>
      </c>
      <c r="AV734" s="33">
        <v>0</v>
      </c>
      <c r="AW734" s="33">
        <v>0</v>
      </c>
      <c r="AX734" s="33">
        <v>1</v>
      </c>
      <c r="AY734" s="33">
        <v>0</v>
      </c>
      <c r="AZ734" s="33">
        <v>0</v>
      </c>
      <c r="BA734" s="33">
        <v>1</v>
      </c>
      <c r="BB734" s="33">
        <v>0</v>
      </c>
      <c r="BC734" s="33">
        <v>0</v>
      </c>
      <c r="BD734" s="33">
        <v>1</v>
      </c>
      <c r="BE734" s="33">
        <v>0</v>
      </c>
      <c r="BF734" s="33">
        <v>0</v>
      </c>
      <c r="BG734" s="33">
        <v>1</v>
      </c>
      <c r="BH734" s="33">
        <v>0</v>
      </c>
      <c r="BI734" s="33">
        <v>0</v>
      </c>
      <c r="BJ734" s="33">
        <v>1</v>
      </c>
      <c r="BK734" s="33">
        <v>0</v>
      </c>
      <c r="BL734" s="33">
        <v>0</v>
      </c>
      <c r="BM734" s="33">
        <v>1</v>
      </c>
      <c r="BN734" s="33">
        <v>0</v>
      </c>
      <c r="BO734" s="33">
        <v>0</v>
      </c>
      <c r="BP734" s="33">
        <v>0</v>
      </c>
      <c r="BQ734" s="33">
        <v>1</v>
      </c>
      <c r="BR734" s="33">
        <v>0</v>
      </c>
      <c r="BS734" s="33">
        <v>0</v>
      </c>
      <c r="BT734" s="33">
        <v>0</v>
      </c>
      <c r="BU734" s="33">
        <v>1</v>
      </c>
      <c r="BV734" s="33">
        <v>0</v>
      </c>
      <c r="BW734" s="33">
        <v>0</v>
      </c>
      <c r="BX734" s="33">
        <v>0</v>
      </c>
      <c r="BY734" s="33">
        <v>1</v>
      </c>
      <c r="BZ734" s="33">
        <v>0</v>
      </c>
      <c r="CA734" s="33">
        <v>0</v>
      </c>
      <c r="CB734" s="33">
        <v>0</v>
      </c>
      <c r="CC734" s="33">
        <v>1</v>
      </c>
      <c r="CD734" s="33">
        <v>0</v>
      </c>
      <c r="CE734" s="33">
        <v>0</v>
      </c>
      <c r="CF734" s="33">
        <v>0</v>
      </c>
      <c r="CG734" s="33">
        <v>1</v>
      </c>
      <c r="CH734" s="33">
        <v>0</v>
      </c>
      <c r="CI734" s="33">
        <v>0</v>
      </c>
      <c r="CJ734" s="33">
        <v>0</v>
      </c>
      <c r="CK734" s="33">
        <v>1</v>
      </c>
      <c r="CL734" s="33">
        <v>0</v>
      </c>
      <c r="CM734" s="33">
        <v>0</v>
      </c>
      <c r="CN734" s="33">
        <v>0</v>
      </c>
      <c r="CO734" s="33">
        <v>1</v>
      </c>
      <c r="CP734" s="33">
        <v>0</v>
      </c>
      <c r="CQ734" s="33">
        <v>0</v>
      </c>
      <c r="CR734" s="33">
        <v>0</v>
      </c>
      <c r="CS734" s="33">
        <v>1</v>
      </c>
      <c r="CT734" s="33">
        <v>0</v>
      </c>
      <c r="CU734" s="33">
        <v>0</v>
      </c>
      <c r="CV734" s="33">
        <v>0</v>
      </c>
      <c r="CW734" s="33">
        <v>1</v>
      </c>
      <c r="CX734" s="33">
        <v>0</v>
      </c>
      <c r="CY734" s="33">
        <v>0</v>
      </c>
      <c r="CZ734" s="33">
        <v>0</v>
      </c>
      <c r="DA734" s="33">
        <v>1</v>
      </c>
      <c r="DB734" s="33">
        <v>0</v>
      </c>
      <c r="DC734" s="33">
        <v>0</v>
      </c>
      <c r="DD734" s="33">
        <v>0</v>
      </c>
      <c r="DE734" s="33">
        <v>1</v>
      </c>
      <c r="DF734" s="33">
        <v>0</v>
      </c>
      <c r="DG734" s="33">
        <v>0</v>
      </c>
      <c r="DH734" s="33">
        <v>0</v>
      </c>
      <c r="DI734" s="33">
        <v>1</v>
      </c>
      <c r="DJ734" s="33">
        <v>0</v>
      </c>
      <c r="DK734" s="33">
        <v>0</v>
      </c>
      <c r="DL734" s="33">
        <v>0</v>
      </c>
      <c r="DM734" s="33">
        <v>1</v>
      </c>
      <c r="DN734" s="33">
        <v>0</v>
      </c>
      <c r="DO734" s="33">
        <v>1</v>
      </c>
      <c r="DP734" s="33">
        <v>0</v>
      </c>
      <c r="DQ734" s="33">
        <v>1</v>
      </c>
      <c r="DR734" s="33">
        <v>0</v>
      </c>
      <c r="DS734" s="33">
        <v>1</v>
      </c>
      <c r="DT734" s="33">
        <v>0</v>
      </c>
      <c r="DU734" s="33">
        <v>1</v>
      </c>
      <c r="DV734" s="33">
        <v>0</v>
      </c>
      <c r="DW734" s="33">
        <v>1</v>
      </c>
      <c r="DX734" s="33">
        <v>0</v>
      </c>
      <c r="DY734" s="33">
        <v>1</v>
      </c>
      <c r="DZ734" s="33">
        <v>0</v>
      </c>
      <c r="EA734" s="33">
        <v>1</v>
      </c>
      <c r="EB734" s="33">
        <v>0</v>
      </c>
      <c r="EC734" s="33">
        <v>1</v>
      </c>
      <c r="ED734" s="33">
        <v>0</v>
      </c>
      <c r="EE734" s="33">
        <v>1</v>
      </c>
      <c r="EF734" s="33">
        <v>0</v>
      </c>
      <c r="EG734" s="33">
        <v>1</v>
      </c>
      <c r="EH734" s="33">
        <v>0</v>
      </c>
      <c r="EI734" s="33">
        <v>1</v>
      </c>
      <c r="EJ734" s="33">
        <v>0</v>
      </c>
      <c r="EK734" s="33">
        <v>1</v>
      </c>
      <c r="EL734" s="33">
        <v>0</v>
      </c>
      <c r="EM734" s="33">
        <v>1</v>
      </c>
      <c r="EN734" s="33">
        <v>0</v>
      </c>
      <c r="EO734" s="33">
        <v>1</v>
      </c>
      <c r="EP734" s="33">
        <v>0</v>
      </c>
      <c r="EQ734" s="33">
        <v>1</v>
      </c>
      <c r="ER734" s="33">
        <v>0</v>
      </c>
      <c r="ES734" s="33">
        <v>0</v>
      </c>
      <c r="ET734" s="33">
        <v>0</v>
      </c>
      <c r="EU734" s="33">
        <v>1</v>
      </c>
      <c r="EV734" s="33">
        <v>0</v>
      </c>
      <c r="EW734" s="33">
        <v>1</v>
      </c>
      <c r="EX734" s="33">
        <v>0</v>
      </c>
      <c r="EY734" s="33">
        <v>1</v>
      </c>
      <c r="EZ734" s="33">
        <v>0</v>
      </c>
      <c r="FA734" s="33">
        <v>1</v>
      </c>
      <c r="FB734" s="33">
        <v>0</v>
      </c>
      <c r="FC734" s="34">
        <v>1</v>
      </c>
    </row>
    <row r="735" spans="1:159" s="3" customFormat="1" ht="18.5" customHeight="1" x14ac:dyDescent="0.2">
      <c r="E735" s="39">
        <v>1</v>
      </c>
      <c r="G735" s="39">
        <v>1</v>
      </c>
      <c r="H735" s="39">
        <v>16</v>
      </c>
      <c r="J735" s="39">
        <v>16</v>
      </c>
      <c r="K735" s="39">
        <v>1</v>
      </c>
      <c r="L735" s="39">
        <v>1</v>
      </c>
      <c r="N735" s="39">
        <v>61</v>
      </c>
      <c r="O735" s="35">
        <v>16</v>
      </c>
      <c r="P735" s="36">
        <v>1</v>
      </c>
      <c r="Q735" s="37">
        <v>1</v>
      </c>
      <c r="T735" s="39">
        <v>61</v>
      </c>
      <c r="U735" s="39">
        <v>21</v>
      </c>
      <c r="V735" s="39">
        <v>2</v>
      </c>
      <c r="W735" s="39">
        <v>1</v>
      </c>
    </row>
    <row r="736" spans="1:159" s="3" customFormat="1" ht="18" customHeight="1" x14ac:dyDescent="0.2">
      <c r="E736" s="39">
        <v>1</v>
      </c>
      <c r="G736" s="39">
        <v>2</v>
      </c>
      <c r="H736" s="39">
        <v>16</v>
      </c>
      <c r="J736" s="39">
        <v>16</v>
      </c>
      <c r="K736" s="39">
        <v>2</v>
      </c>
      <c r="L736" s="39">
        <v>1</v>
      </c>
      <c r="N736" s="39">
        <v>62</v>
      </c>
      <c r="O736" s="35">
        <v>16</v>
      </c>
      <c r="P736" s="36">
        <v>2</v>
      </c>
      <c r="Q736" s="37">
        <v>1</v>
      </c>
      <c r="T736" s="39">
        <v>62</v>
      </c>
      <c r="U736" s="39">
        <v>21</v>
      </c>
      <c r="V736" s="39">
        <v>3</v>
      </c>
      <c r="W736" s="39">
        <v>1</v>
      </c>
    </row>
    <row r="737" spans="5:23" s="3" customFormat="1" ht="18" customHeight="1" x14ac:dyDescent="0.2">
      <c r="E737" s="39">
        <v>1</v>
      </c>
      <c r="G737" s="39">
        <v>3</v>
      </c>
      <c r="H737" s="39">
        <v>16</v>
      </c>
      <c r="J737" s="39">
        <v>16</v>
      </c>
      <c r="K737" s="39">
        <v>3</v>
      </c>
      <c r="L737" s="39">
        <v>1</v>
      </c>
      <c r="N737" s="39">
        <v>63</v>
      </c>
      <c r="O737" s="35">
        <v>16</v>
      </c>
      <c r="P737" s="36">
        <v>3</v>
      </c>
      <c r="Q737" s="37">
        <v>1</v>
      </c>
      <c r="T737" s="39">
        <v>63</v>
      </c>
      <c r="U737" s="39">
        <v>21</v>
      </c>
      <c r="V737" s="39">
        <v>4</v>
      </c>
      <c r="W737" s="39">
        <v>1</v>
      </c>
    </row>
    <row r="738" spans="5:23" s="3" customFormat="1" ht="18" customHeight="1" x14ac:dyDescent="0.2">
      <c r="E738" s="39">
        <v>1</v>
      </c>
      <c r="G738" s="39">
        <v>4</v>
      </c>
      <c r="H738" s="39">
        <v>16</v>
      </c>
      <c r="J738" s="39">
        <v>16</v>
      </c>
      <c r="K738" s="39">
        <v>4</v>
      </c>
      <c r="L738" s="39">
        <v>1</v>
      </c>
      <c r="N738" s="39">
        <v>64</v>
      </c>
      <c r="O738" s="35">
        <v>16</v>
      </c>
      <c r="P738" s="36">
        <v>4</v>
      </c>
      <c r="Q738" s="37">
        <v>1</v>
      </c>
      <c r="T738" s="39">
        <v>64</v>
      </c>
      <c r="U738" s="39">
        <v>22</v>
      </c>
      <c r="V738" s="39">
        <v>1</v>
      </c>
      <c r="W738" s="39">
        <v>1</v>
      </c>
    </row>
    <row r="739" spans="5:23" s="3" customFormat="1" ht="18" customHeight="1" x14ac:dyDescent="0.2">
      <c r="E739" s="39">
        <v>1</v>
      </c>
      <c r="G739" s="39">
        <v>1</v>
      </c>
      <c r="H739" s="39">
        <v>17</v>
      </c>
      <c r="J739" s="39">
        <v>17</v>
      </c>
      <c r="K739" s="39">
        <v>1</v>
      </c>
      <c r="L739" s="39">
        <v>1</v>
      </c>
      <c r="N739" s="39">
        <v>65</v>
      </c>
      <c r="O739" s="35">
        <v>17</v>
      </c>
      <c r="P739" s="36">
        <v>1</v>
      </c>
      <c r="Q739" s="37">
        <v>1</v>
      </c>
      <c r="T739" s="39">
        <v>65</v>
      </c>
      <c r="U739" s="39">
        <v>22</v>
      </c>
      <c r="V739" s="39">
        <v>2</v>
      </c>
      <c r="W739" s="39">
        <v>1</v>
      </c>
    </row>
    <row r="740" spans="5:23" s="3" customFormat="1" ht="18" customHeight="1" x14ac:dyDescent="0.2">
      <c r="E740" s="39">
        <v>1</v>
      </c>
      <c r="G740" s="39">
        <v>2</v>
      </c>
      <c r="H740" s="39">
        <v>17</v>
      </c>
      <c r="J740" s="39">
        <v>17</v>
      </c>
      <c r="K740" s="39">
        <v>2</v>
      </c>
      <c r="L740" s="39">
        <v>1</v>
      </c>
      <c r="N740" s="39">
        <v>66</v>
      </c>
      <c r="O740" s="35">
        <v>17</v>
      </c>
      <c r="P740" s="36">
        <v>2</v>
      </c>
      <c r="Q740" s="37">
        <v>1</v>
      </c>
      <c r="T740" s="39">
        <v>66</v>
      </c>
      <c r="U740" s="39">
        <v>22</v>
      </c>
      <c r="V740" s="39">
        <v>3</v>
      </c>
      <c r="W740" s="39">
        <v>1</v>
      </c>
    </row>
    <row r="741" spans="5:23" s="3" customFormat="1" ht="18" customHeight="1" x14ac:dyDescent="0.2">
      <c r="E741" s="39">
        <v>1</v>
      </c>
      <c r="G741" s="39">
        <v>3</v>
      </c>
      <c r="H741" s="39">
        <v>17</v>
      </c>
      <c r="J741" s="39">
        <v>17</v>
      </c>
      <c r="K741" s="39">
        <v>3</v>
      </c>
      <c r="L741" s="39">
        <v>1</v>
      </c>
      <c r="N741" s="39">
        <v>67</v>
      </c>
      <c r="O741" s="35">
        <v>17</v>
      </c>
      <c r="P741" s="36">
        <v>3</v>
      </c>
      <c r="Q741" s="37">
        <v>1</v>
      </c>
      <c r="T741" s="39">
        <v>67</v>
      </c>
      <c r="U741" s="39">
        <v>22</v>
      </c>
      <c r="V741" s="39">
        <v>4</v>
      </c>
      <c r="W741" s="39">
        <v>1</v>
      </c>
    </row>
    <row r="742" spans="5:23" s="3" customFormat="1" ht="18" customHeight="1" x14ac:dyDescent="0.2">
      <c r="E742" s="39">
        <v>1</v>
      </c>
      <c r="G742" s="39">
        <v>4</v>
      </c>
      <c r="H742" s="39">
        <v>17</v>
      </c>
      <c r="J742" s="39">
        <v>17</v>
      </c>
      <c r="K742" s="39">
        <v>4</v>
      </c>
      <c r="L742" s="39">
        <v>1</v>
      </c>
      <c r="N742" s="39">
        <v>68</v>
      </c>
      <c r="O742" s="35">
        <v>17</v>
      </c>
      <c r="P742" s="36">
        <v>4</v>
      </c>
      <c r="Q742" s="37">
        <v>1</v>
      </c>
      <c r="T742" s="39">
        <v>68</v>
      </c>
      <c r="U742" s="39">
        <v>23</v>
      </c>
      <c r="V742" s="39">
        <v>1</v>
      </c>
      <c r="W742" s="39">
        <v>1</v>
      </c>
    </row>
    <row r="743" spans="5:23" s="3" customFormat="1" ht="18" customHeight="1" x14ac:dyDescent="0.2">
      <c r="E743" s="39">
        <v>1</v>
      </c>
      <c r="G743" s="39">
        <v>1</v>
      </c>
      <c r="H743" s="39">
        <v>18</v>
      </c>
      <c r="J743" s="39">
        <v>18</v>
      </c>
      <c r="K743" s="39">
        <v>1</v>
      </c>
      <c r="L743" s="39">
        <v>1</v>
      </c>
      <c r="N743" s="39">
        <v>69</v>
      </c>
      <c r="O743" s="35">
        <v>18</v>
      </c>
      <c r="P743" s="36">
        <v>1</v>
      </c>
      <c r="Q743" s="37">
        <v>1</v>
      </c>
      <c r="T743" s="39">
        <v>69</v>
      </c>
      <c r="U743" s="39">
        <v>23</v>
      </c>
      <c r="V743" s="39">
        <v>2</v>
      </c>
      <c r="W743" s="39">
        <v>1</v>
      </c>
    </row>
    <row r="744" spans="5:23" s="3" customFormat="1" ht="18" customHeight="1" x14ac:dyDescent="0.2">
      <c r="E744" s="39">
        <v>1</v>
      </c>
      <c r="G744" s="39">
        <v>2</v>
      </c>
      <c r="H744" s="39">
        <v>18</v>
      </c>
      <c r="J744" s="39">
        <v>18</v>
      </c>
      <c r="K744" s="39">
        <v>2</v>
      </c>
      <c r="L744" s="39">
        <v>1</v>
      </c>
      <c r="N744" s="39">
        <v>70</v>
      </c>
      <c r="O744" s="35">
        <v>18</v>
      </c>
      <c r="P744" s="36">
        <v>2</v>
      </c>
      <c r="Q744" s="37">
        <v>1</v>
      </c>
      <c r="T744" s="39">
        <v>70</v>
      </c>
      <c r="U744" s="39">
        <v>23</v>
      </c>
      <c r="V744" s="39">
        <v>3</v>
      </c>
      <c r="W744" s="39">
        <v>1</v>
      </c>
    </row>
    <row r="745" spans="5:23" s="3" customFormat="1" ht="18" customHeight="1" x14ac:dyDescent="0.2">
      <c r="E745" s="39">
        <v>1</v>
      </c>
      <c r="G745" s="39">
        <v>3</v>
      </c>
      <c r="H745" s="39">
        <v>18</v>
      </c>
      <c r="J745" s="39">
        <v>18</v>
      </c>
      <c r="K745" s="39">
        <v>3</v>
      </c>
      <c r="L745" s="39">
        <v>1</v>
      </c>
      <c r="N745" s="39">
        <v>71</v>
      </c>
      <c r="O745" s="35">
        <v>18</v>
      </c>
      <c r="P745" s="36">
        <v>3</v>
      </c>
      <c r="Q745" s="37">
        <v>1</v>
      </c>
      <c r="T745" s="39">
        <v>71</v>
      </c>
      <c r="U745" s="39">
        <v>23</v>
      </c>
      <c r="V745" s="39">
        <v>4</v>
      </c>
      <c r="W745" s="39">
        <v>1</v>
      </c>
    </row>
    <row r="746" spans="5:23" s="3" customFormat="1" ht="18" customHeight="1" x14ac:dyDescent="0.2">
      <c r="E746" s="39">
        <v>1</v>
      </c>
      <c r="G746" s="39">
        <v>4</v>
      </c>
      <c r="H746" s="39">
        <v>18</v>
      </c>
      <c r="J746" s="39">
        <v>18</v>
      </c>
      <c r="K746" s="39">
        <v>4</v>
      </c>
      <c r="L746" s="39">
        <v>1</v>
      </c>
      <c r="N746" s="39">
        <v>72</v>
      </c>
      <c r="O746" s="35">
        <v>18</v>
      </c>
      <c r="P746" s="36">
        <v>4</v>
      </c>
      <c r="Q746" s="37">
        <v>1</v>
      </c>
      <c r="T746" s="39">
        <v>72</v>
      </c>
      <c r="U746" s="39">
        <v>24</v>
      </c>
      <c r="V746" s="39">
        <v>1</v>
      </c>
      <c r="W746" s="39">
        <v>1</v>
      </c>
    </row>
    <row r="747" spans="5:23" s="3" customFormat="1" ht="18" customHeight="1" x14ac:dyDescent="0.2">
      <c r="E747" s="39">
        <v>1</v>
      </c>
      <c r="G747" s="39">
        <v>1</v>
      </c>
      <c r="H747" s="39">
        <v>19</v>
      </c>
      <c r="J747" s="39">
        <v>19</v>
      </c>
      <c r="K747" s="39">
        <v>1</v>
      </c>
      <c r="L747" s="39">
        <v>1</v>
      </c>
      <c r="N747" s="39">
        <v>73</v>
      </c>
      <c r="O747" s="35">
        <v>19</v>
      </c>
      <c r="P747" s="36">
        <v>1</v>
      </c>
      <c r="Q747" s="37">
        <v>1</v>
      </c>
      <c r="T747" s="39">
        <v>73</v>
      </c>
      <c r="U747" s="39">
        <v>24</v>
      </c>
      <c r="V747" s="39">
        <v>2</v>
      </c>
      <c r="W747" s="39">
        <v>1</v>
      </c>
    </row>
    <row r="748" spans="5:23" s="3" customFormat="1" ht="18" customHeight="1" x14ac:dyDescent="0.2">
      <c r="E748" s="39">
        <v>1</v>
      </c>
      <c r="G748" s="39">
        <v>2</v>
      </c>
      <c r="H748" s="39">
        <v>19</v>
      </c>
      <c r="J748" s="39">
        <v>19</v>
      </c>
      <c r="K748" s="39">
        <v>2</v>
      </c>
      <c r="L748" s="39">
        <v>1</v>
      </c>
      <c r="N748" s="39">
        <v>74</v>
      </c>
      <c r="O748" s="35">
        <v>19</v>
      </c>
      <c r="P748" s="36">
        <v>2</v>
      </c>
      <c r="Q748" s="37">
        <v>1</v>
      </c>
      <c r="T748" s="39">
        <v>74</v>
      </c>
      <c r="U748" s="39">
        <v>24</v>
      </c>
      <c r="V748" s="39">
        <v>3</v>
      </c>
      <c r="W748" s="39">
        <v>1</v>
      </c>
    </row>
    <row r="749" spans="5:23" s="3" customFormat="1" ht="18" customHeight="1" x14ac:dyDescent="0.2">
      <c r="E749" s="39">
        <v>1</v>
      </c>
      <c r="G749" s="39">
        <v>3</v>
      </c>
      <c r="H749" s="39">
        <v>19</v>
      </c>
      <c r="J749" s="39">
        <v>19</v>
      </c>
      <c r="K749" s="39">
        <v>3</v>
      </c>
      <c r="L749" s="39">
        <v>1</v>
      </c>
      <c r="N749" s="39">
        <v>75</v>
      </c>
      <c r="O749" s="35">
        <v>19</v>
      </c>
      <c r="P749" s="36">
        <v>3</v>
      </c>
      <c r="Q749" s="37">
        <v>1</v>
      </c>
      <c r="T749" s="39">
        <v>75</v>
      </c>
      <c r="U749" s="39">
        <v>24</v>
      </c>
      <c r="V749" s="39">
        <v>4</v>
      </c>
      <c r="W749" s="39">
        <v>1</v>
      </c>
    </row>
    <row r="750" spans="5:23" s="3" customFormat="1" ht="18" customHeight="1" x14ac:dyDescent="0.2">
      <c r="E750" s="39">
        <v>1</v>
      </c>
      <c r="G750" s="39">
        <v>4</v>
      </c>
      <c r="H750" s="39">
        <v>19</v>
      </c>
      <c r="J750" s="39">
        <v>19</v>
      </c>
      <c r="K750" s="39">
        <v>4</v>
      </c>
      <c r="L750" s="39">
        <v>1</v>
      </c>
      <c r="N750" s="39">
        <v>76</v>
      </c>
      <c r="O750" s="35">
        <v>19</v>
      </c>
      <c r="P750" s="36">
        <v>4</v>
      </c>
      <c r="Q750" s="37">
        <v>1</v>
      </c>
      <c r="T750" s="39">
        <v>76</v>
      </c>
      <c r="U750" s="39">
        <v>25</v>
      </c>
      <c r="V750" s="39">
        <v>1</v>
      </c>
      <c r="W750" s="39">
        <v>1</v>
      </c>
    </row>
    <row r="751" spans="5:23" s="3" customFormat="1" ht="18" customHeight="1" x14ac:dyDescent="0.2">
      <c r="E751" s="39">
        <v>1</v>
      </c>
      <c r="G751" s="39">
        <v>1</v>
      </c>
      <c r="H751" s="39">
        <v>20</v>
      </c>
      <c r="J751" s="39">
        <v>20</v>
      </c>
      <c r="K751" s="39">
        <v>1</v>
      </c>
      <c r="L751" s="39">
        <v>1</v>
      </c>
      <c r="N751" s="39">
        <v>77</v>
      </c>
      <c r="O751" s="35">
        <v>20</v>
      </c>
      <c r="P751" s="36">
        <v>1</v>
      </c>
      <c r="Q751" s="37">
        <v>1</v>
      </c>
      <c r="T751" s="39">
        <v>77</v>
      </c>
      <c r="U751" s="39">
        <v>25</v>
      </c>
      <c r="V751" s="39">
        <v>2</v>
      </c>
      <c r="W751" s="39">
        <v>1</v>
      </c>
    </row>
    <row r="752" spans="5:23" s="3" customFormat="1" ht="18" customHeight="1" x14ac:dyDescent="0.2">
      <c r="E752" s="39">
        <v>1</v>
      </c>
      <c r="G752" s="39">
        <v>2</v>
      </c>
      <c r="H752" s="39">
        <v>20</v>
      </c>
      <c r="J752" s="39">
        <v>20</v>
      </c>
      <c r="K752" s="39">
        <v>2</v>
      </c>
      <c r="L752" s="39">
        <v>1</v>
      </c>
      <c r="N752" s="39">
        <v>78</v>
      </c>
      <c r="O752" s="35">
        <v>20</v>
      </c>
      <c r="P752" s="36">
        <v>2</v>
      </c>
      <c r="Q752" s="37">
        <v>1</v>
      </c>
      <c r="T752" s="39">
        <v>78</v>
      </c>
      <c r="U752" s="39">
        <v>25</v>
      </c>
      <c r="V752" s="39">
        <v>3</v>
      </c>
      <c r="W752" s="39">
        <v>1</v>
      </c>
    </row>
    <row r="753" spans="5:23" s="3" customFormat="1" ht="18" customHeight="1" x14ac:dyDescent="0.2">
      <c r="E753" s="39">
        <v>1</v>
      </c>
      <c r="G753" s="39">
        <v>3</v>
      </c>
      <c r="H753" s="39">
        <v>20</v>
      </c>
      <c r="J753" s="39">
        <v>20</v>
      </c>
      <c r="K753" s="39">
        <v>3</v>
      </c>
      <c r="L753" s="39">
        <v>1</v>
      </c>
      <c r="N753" s="39">
        <v>79</v>
      </c>
      <c r="O753" s="35">
        <v>20</v>
      </c>
      <c r="P753" s="36">
        <v>3</v>
      </c>
      <c r="Q753" s="37">
        <v>1</v>
      </c>
      <c r="T753" s="39">
        <v>79</v>
      </c>
      <c r="U753" s="39">
        <v>25</v>
      </c>
      <c r="V753" s="39">
        <v>4</v>
      </c>
      <c r="W753" s="39">
        <v>1</v>
      </c>
    </row>
    <row r="754" spans="5:23" s="3" customFormat="1" ht="18" customHeight="1" x14ac:dyDescent="0.2">
      <c r="E754" s="39">
        <v>1</v>
      </c>
      <c r="G754" s="39">
        <v>4</v>
      </c>
      <c r="H754" s="39">
        <v>20</v>
      </c>
      <c r="J754" s="39">
        <v>20</v>
      </c>
      <c r="K754" s="39">
        <v>4</v>
      </c>
      <c r="L754" s="39">
        <v>1</v>
      </c>
      <c r="N754" s="39">
        <v>80</v>
      </c>
      <c r="O754" s="35">
        <v>20</v>
      </c>
      <c r="P754" s="36">
        <v>4</v>
      </c>
      <c r="Q754" s="37">
        <v>1</v>
      </c>
      <c r="T754" s="39">
        <v>80</v>
      </c>
      <c r="U754" s="39">
        <v>26</v>
      </c>
      <c r="V754" s="39">
        <v>1</v>
      </c>
      <c r="W754" s="39">
        <v>1</v>
      </c>
    </row>
    <row r="755" spans="5:23" s="3" customFormat="1" ht="18" customHeight="1" x14ac:dyDescent="0.2">
      <c r="E755" s="39">
        <v>1</v>
      </c>
      <c r="G755" s="39">
        <v>1</v>
      </c>
      <c r="H755" s="39">
        <v>21</v>
      </c>
      <c r="J755" s="39">
        <v>21</v>
      </c>
      <c r="K755" s="39">
        <v>1</v>
      </c>
      <c r="L755" s="39">
        <v>1</v>
      </c>
      <c r="N755" s="39">
        <v>81</v>
      </c>
      <c r="O755" s="35">
        <v>21</v>
      </c>
      <c r="P755" s="36">
        <v>1</v>
      </c>
      <c r="Q755" s="37">
        <v>1</v>
      </c>
      <c r="T755" s="39">
        <v>81</v>
      </c>
      <c r="U755" s="39">
        <v>26</v>
      </c>
      <c r="V755" s="39">
        <v>2</v>
      </c>
      <c r="W755" s="39">
        <v>1</v>
      </c>
    </row>
    <row r="756" spans="5:23" s="3" customFormat="1" ht="18" customHeight="1" x14ac:dyDescent="0.2">
      <c r="E756" s="39">
        <v>1</v>
      </c>
      <c r="G756" s="39">
        <v>2</v>
      </c>
      <c r="H756" s="39">
        <v>21</v>
      </c>
      <c r="J756" s="39">
        <v>21</v>
      </c>
      <c r="K756" s="39">
        <v>2</v>
      </c>
      <c r="L756" s="39">
        <v>1</v>
      </c>
      <c r="N756" s="39">
        <v>82</v>
      </c>
      <c r="O756" s="35">
        <v>21</v>
      </c>
      <c r="P756" s="36">
        <v>2</v>
      </c>
      <c r="Q756" s="37">
        <v>1</v>
      </c>
      <c r="T756" s="39">
        <v>82</v>
      </c>
      <c r="U756" s="39">
        <v>26</v>
      </c>
      <c r="V756" s="39">
        <v>3</v>
      </c>
      <c r="W756" s="39">
        <v>1</v>
      </c>
    </row>
    <row r="757" spans="5:23" s="3" customFormat="1" ht="18" customHeight="1" x14ac:dyDescent="0.2">
      <c r="E757" s="39">
        <v>1</v>
      </c>
      <c r="G757" s="39">
        <v>3</v>
      </c>
      <c r="H757" s="39">
        <v>21</v>
      </c>
      <c r="J757" s="39">
        <v>21</v>
      </c>
      <c r="K757" s="39">
        <v>3</v>
      </c>
      <c r="L757" s="39">
        <v>1</v>
      </c>
      <c r="N757" s="39">
        <v>83</v>
      </c>
      <c r="O757" s="35">
        <v>21</v>
      </c>
      <c r="P757" s="36">
        <v>3</v>
      </c>
      <c r="Q757" s="37">
        <v>1</v>
      </c>
      <c r="T757" s="39">
        <v>83</v>
      </c>
      <c r="U757" s="39">
        <v>26</v>
      </c>
      <c r="V757" s="39">
        <v>4</v>
      </c>
      <c r="W757" s="39">
        <v>1</v>
      </c>
    </row>
    <row r="758" spans="5:23" s="3" customFormat="1" ht="18" customHeight="1" x14ac:dyDescent="0.2">
      <c r="E758" s="39">
        <v>1</v>
      </c>
      <c r="G758" s="39">
        <v>4</v>
      </c>
      <c r="H758" s="39">
        <v>21</v>
      </c>
      <c r="J758" s="39">
        <v>21</v>
      </c>
      <c r="K758" s="39">
        <v>4</v>
      </c>
      <c r="L758" s="39">
        <v>1</v>
      </c>
      <c r="N758" s="39">
        <v>84</v>
      </c>
      <c r="O758" s="35">
        <v>21</v>
      </c>
      <c r="P758" s="36">
        <v>4</v>
      </c>
      <c r="Q758" s="37">
        <v>1</v>
      </c>
      <c r="T758" s="39">
        <v>84</v>
      </c>
      <c r="U758" s="39">
        <v>27</v>
      </c>
      <c r="V758" s="39">
        <v>1</v>
      </c>
      <c r="W758" s="39">
        <v>1</v>
      </c>
    </row>
    <row r="759" spans="5:23" s="3" customFormat="1" ht="18" customHeight="1" x14ac:dyDescent="0.2">
      <c r="E759" s="39">
        <v>1</v>
      </c>
      <c r="G759" s="39">
        <v>1</v>
      </c>
      <c r="H759" s="39">
        <v>22</v>
      </c>
      <c r="J759" s="39">
        <v>22</v>
      </c>
      <c r="K759" s="39">
        <v>1</v>
      </c>
      <c r="L759" s="39">
        <v>1</v>
      </c>
      <c r="N759" s="39">
        <v>85</v>
      </c>
      <c r="O759" s="35">
        <v>22</v>
      </c>
      <c r="P759" s="36">
        <v>1</v>
      </c>
      <c r="Q759" s="37">
        <v>1</v>
      </c>
      <c r="T759" s="39">
        <v>85</v>
      </c>
      <c r="U759" s="39">
        <v>27</v>
      </c>
      <c r="V759" s="39">
        <v>2</v>
      </c>
      <c r="W759" s="39">
        <v>1</v>
      </c>
    </row>
    <row r="760" spans="5:23" s="3" customFormat="1" ht="18" customHeight="1" x14ac:dyDescent="0.2">
      <c r="E760" s="39">
        <v>1</v>
      </c>
      <c r="G760" s="39">
        <v>2</v>
      </c>
      <c r="H760" s="39">
        <v>22</v>
      </c>
      <c r="J760" s="39">
        <v>22</v>
      </c>
      <c r="K760" s="39">
        <v>2</v>
      </c>
      <c r="L760" s="39">
        <v>1</v>
      </c>
      <c r="N760" s="39">
        <v>86</v>
      </c>
      <c r="O760" s="35">
        <v>22</v>
      </c>
      <c r="P760" s="36">
        <v>2</v>
      </c>
      <c r="Q760" s="37">
        <v>1</v>
      </c>
      <c r="T760" s="39">
        <v>86</v>
      </c>
      <c r="U760" s="39">
        <v>27</v>
      </c>
      <c r="V760" s="39">
        <v>3</v>
      </c>
      <c r="W760" s="39">
        <v>1</v>
      </c>
    </row>
    <row r="761" spans="5:23" s="3" customFormat="1" ht="18" customHeight="1" x14ac:dyDescent="0.2">
      <c r="E761" s="39">
        <v>1</v>
      </c>
      <c r="G761" s="39">
        <v>3</v>
      </c>
      <c r="H761" s="39">
        <v>22</v>
      </c>
      <c r="J761" s="39">
        <v>22</v>
      </c>
      <c r="K761" s="39">
        <v>3</v>
      </c>
      <c r="L761" s="39">
        <v>1</v>
      </c>
      <c r="N761" s="39">
        <v>87</v>
      </c>
      <c r="O761" s="35">
        <v>22</v>
      </c>
      <c r="P761" s="36">
        <v>3</v>
      </c>
      <c r="Q761" s="37">
        <v>1</v>
      </c>
      <c r="T761" s="39">
        <v>87</v>
      </c>
      <c r="U761" s="39">
        <v>27</v>
      </c>
      <c r="V761" s="39">
        <v>4</v>
      </c>
      <c r="W761" s="39">
        <v>1</v>
      </c>
    </row>
    <row r="762" spans="5:23" s="3" customFormat="1" ht="18" customHeight="1" x14ac:dyDescent="0.2">
      <c r="E762" s="39">
        <v>1</v>
      </c>
      <c r="G762" s="39">
        <v>4</v>
      </c>
      <c r="H762" s="39">
        <v>22</v>
      </c>
      <c r="J762" s="39">
        <v>22</v>
      </c>
      <c r="K762" s="39">
        <v>4</v>
      </c>
      <c r="L762" s="39">
        <v>1</v>
      </c>
      <c r="N762" s="39">
        <v>88</v>
      </c>
      <c r="O762" s="35">
        <v>22</v>
      </c>
      <c r="P762" s="36">
        <v>4</v>
      </c>
      <c r="Q762" s="37">
        <v>1</v>
      </c>
      <c r="T762" s="39">
        <v>88</v>
      </c>
      <c r="U762" s="39">
        <v>28</v>
      </c>
      <c r="V762" s="39">
        <v>1</v>
      </c>
      <c r="W762" s="39">
        <v>1</v>
      </c>
    </row>
    <row r="763" spans="5:23" s="3" customFormat="1" ht="18" customHeight="1" x14ac:dyDescent="0.2">
      <c r="E763" s="39">
        <v>1</v>
      </c>
      <c r="G763" s="39">
        <v>1</v>
      </c>
      <c r="H763" s="39">
        <v>23</v>
      </c>
      <c r="J763" s="39">
        <v>23</v>
      </c>
      <c r="K763" s="39">
        <v>1</v>
      </c>
      <c r="L763" s="39">
        <v>1</v>
      </c>
      <c r="N763" s="39">
        <v>89</v>
      </c>
      <c r="O763" s="35">
        <v>23</v>
      </c>
      <c r="P763" s="36">
        <v>1</v>
      </c>
      <c r="Q763" s="37">
        <v>1</v>
      </c>
      <c r="T763" s="39">
        <v>89</v>
      </c>
      <c r="U763" s="39">
        <v>28</v>
      </c>
      <c r="V763" s="39">
        <v>2</v>
      </c>
      <c r="W763" s="39">
        <v>1</v>
      </c>
    </row>
    <row r="764" spans="5:23" s="3" customFormat="1" ht="18" customHeight="1" x14ac:dyDescent="0.2">
      <c r="E764" s="39">
        <v>1</v>
      </c>
      <c r="G764" s="39">
        <v>2</v>
      </c>
      <c r="H764" s="39">
        <v>23</v>
      </c>
      <c r="J764" s="39">
        <v>23</v>
      </c>
      <c r="K764" s="39">
        <v>2</v>
      </c>
      <c r="L764" s="39">
        <v>1</v>
      </c>
      <c r="N764" s="39">
        <v>90</v>
      </c>
      <c r="O764" s="35">
        <v>23</v>
      </c>
      <c r="P764" s="36">
        <v>2</v>
      </c>
      <c r="Q764" s="37">
        <v>1</v>
      </c>
      <c r="T764" s="39">
        <v>90</v>
      </c>
      <c r="U764" s="39">
        <v>28</v>
      </c>
      <c r="V764" s="39">
        <v>3</v>
      </c>
      <c r="W764" s="39">
        <v>1</v>
      </c>
    </row>
    <row r="765" spans="5:23" s="3" customFormat="1" ht="18" customHeight="1" x14ac:dyDescent="0.2">
      <c r="E765" s="39">
        <v>1</v>
      </c>
      <c r="G765" s="39">
        <v>3</v>
      </c>
      <c r="H765" s="39">
        <v>23</v>
      </c>
      <c r="J765" s="39">
        <v>23</v>
      </c>
      <c r="K765" s="39">
        <v>3</v>
      </c>
      <c r="L765" s="39">
        <v>1</v>
      </c>
      <c r="N765" s="39">
        <v>91</v>
      </c>
      <c r="O765" s="35">
        <v>23</v>
      </c>
      <c r="P765" s="36">
        <v>3</v>
      </c>
      <c r="Q765" s="37">
        <v>1</v>
      </c>
      <c r="T765" s="39">
        <v>91</v>
      </c>
      <c r="U765" s="39">
        <v>28</v>
      </c>
      <c r="V765" s="39">
        <v>4</v>
      </c>
      <c r="W765" s="39">
        <v>1</v>
      </c>
    </row>
    <row r="766" spans="5:23" s="3" customFormat="1" ht="18" customHeight="1" x14ac:dyDescent="0.2">
      <c r="E766" s="39">
        <v>1</v>
      </c>
      <c r="G766" s="39">
        <v>4</v>
      </c>
      <c r="H766" s="39">
        <v>23</v>
      </c>
      <c r="J766" s="39">
        <v>23</v>
      </c>
      <c r="K766" s="39">
        <v>4</v>
      </c>
      <c r="L766" s="39">
        <v>1</v>
      </c>
      <c r="N766" s="39">
        <v>92</v>
      </c>
      <c r="O766" s="35">
        <v>23</v>
      </c>
      <c r="P766" s="36">
        <v>4</v>
      </c>
      <c r="Q766" s="37">
        <v>1</v>
      </c>
      <c r="T766" s="39">
        <v>92</v>
      </c>
      <c r="U766" s="39">
        <v>29</v>
      </c>
      <c r="V766" s="39">
        <v>3</v>
      </c>
      <c r="W766" s="39">
        <v>1</v>
      </c>
    </row>
    <row r="767" spans="5:23" s="3" customFormat="1" ht="18" customHeight="1" x14ac:dyDescent="0.2">
      <c r="E767" s="39">
        <v>1</v>
      </c>
      <c r="G767" s="39">
        <v>1</v>
      </c>
      <c r="H767" s="39">
        <v>24</v>
      </c>
      <c r="J767" s="39">
        <v>24</v>
      </c>
      <c r="K767" s="39">
        <v>1</v>
      </c>
      <c r="L767" s="39">
        <v>1</v>
      </c>
      <c r="N767" s="39">
        <v>93</v>
      </c>
      <c r="O767" s="35">
        <v>24</v>
      </c>
      <c r="P767" s="36">
        <v>1</v>
      </c>
      <c r="Q767" s="37">
        <v>1</v>
      </c>
      <c r="T767" s="39">
        <v>93</v>
      </c>
      <c r="U767" s="39">
        <v>29</v>
      </c>
      <c r="V767" s="39">
        <v>4</v>
      </c>
      <c r="W767" s="39">
        <v>1</v>
      </c>
    </row>
    <row r="768" spans="5:23" s="3" customFormat="1" ht="18" customHeight="1" x14ac:dyDescent="0.2">
      <c r="E768" s="39">
        <v>1</v>
      </c>
      <c r="G768" s="39">
        <v>2</v>
      </c>
      <c r="H768" s="39">
        <v>24</v>
      </c>
      <c r="J768" s="39">
        <v>24</v>
      </c>
      <c r="K768" s="39">
        <v>2</v>
      </c>
      <c r="L768" s="39">
        <v>1</v>
      </c>
      <c r="N768" s="39">
        <v>94</v>
      </c>
      <c r="O768" s="35">
        <v>24</v>
      </c>
      <c r="P768" s="36">
        <v>2</v>
      </c>
      <c r="Q768" s="37">
        <v>1</v>
      </c>
      <c r="T768" s="39">
        <v>94</v>
      </c>
      <c r="U768" s="39">
        <v>30</v>
      </c>
      <c r="V768" s="39">
        <v>3</v>
      </c>
      <c r="W768" s="39">
        <v>1</v>
      </c>
    </row>
    <row r="769" spans="5:23" s="3" customFormat="1" ht="18" customHeight="1" x14ac:dyDescent="0.2">
      <c r="E769" s="39">
        <v>1</v>
      </c>
      <c r="G769" s="39">
        <v>3</v>
      </c>
      <c r="H769" s="39">
        <v>24</v>
      </c>
      <c r="J769" s="39">
        <v>24</v>
      </c>
      <c r="K769" s="39">
        <v>3</v>
      </c>
      <c r="L769" s="39">
        <v>1</v>
      </c>
      <c r="N769" s="39">
        <v>95</v>
      </c>
      <c r="O769" s="35">
        <v>24</v>
      </c>
      <c r="P769" s="36">
        <v>3</v>
      </c>
      <c r="Q769" s="37">
        <v>1</v>
      </c>
      <c r="T769" s="39">
        <v>95</v>
      </c>
      <c r="U769" s="39">
        <v>30</v>
      </c>
      <c r="V769" s="39">
        <v>4</v>
      </c>
      <c r="W769" s="39">
        <v>1</v>
      </c>
    </row>
    <row r="770" spans="5:23" s="3" customFormat="1" ht="18" customHeight="1" x14ac:dyDescent="0.2">
      <c r="E770" s="39">
        <v>1</v>
      </c>
      <c r="G770" s="39">
        <v>4</v>
      </c>
      <c r="H770" s="39">
        <v>24</v>
      </c>
      <c r="J770" s="39">
        <v>24</v>
      </c>
      <c r="K770" s="39">
        <v>4</v>
      </c>
      <c r="L770" s="39">
        <v>1</v>
      </c>
      <c r="N770" s="39">
        <v>96</v>
      </c>
      <c r="O770" s="35">
        <v>24</v>
      </c>
      <c r="P770" s="36">
        <v>4</v>
      </c>
      <c r="Q770" s="37">
        <v>1</v>
      </c>
      <c r="T770" s="39">
        <v>96</v>
      </c>
      <c r="U770" s="39">
        <v>31</v>
      </c>
      <c r="V770" s="39">
        <v>3</v>
      </c>
      <c r="W770" s="39">
        <v>1</v>
      </c>
    </row>
    <row r="771" spans="5:23" s="3" customFormat="1" ht="18" customHeight="1" x14ac:dyDescent="0.2">
      <c r="E771" s="39">
        <v>1</v>
      </c>
      <c r="G771" s="39">
        <v>1</v>
      </c>
      <c r="H771" s="39">
        <v>25</v>
      </c>
      <c r="J771" s="39">
        <v>25</v>
      </c>
      <c r="K771" s="39">
        <v>1</v>
      </c>
      <c r="L771" s="39">
        <v>1</v>
      </c>
      <c r="N771" s="39">
        <v>97</v>
      </c>
      <c r="O771" s="35">
        <v>25</v>
      </c>
      <c r="P771" s="36">
        <v>1</v>
      </c>
      <c r="Q771" s="37">
        <v>1</v>
      </c>
      <c r="T771" s="39">
        <v>97</v>
      </c>
      <c r="U771" s="39">
        <v>31</v>
      </c>
      <c r="V771" s="39">
        <v>4</v>
      </c>
      <c r="W771" s="39">
        <v>1</v>
      </c>
    </row>
    <row r="772" spans="5:23" s="3" customFormat="1" ht="18" customHeight="1" x14ac:dyDescent="0.2">
      <c r="E772" s="39">
        <v>1</v>
      </c>
      <c r="G772" s="39">
        <v>2</v>
      </c>
      <c r="H772" s="39">
        <v>25</v>
      </c>
      <c r="J772" s="39">
        <v>25</v>
      </c>
      <c r="K772" s="39">
        <v>2</v>
      </c>
      <c r="L772" s="39">
        <v>1</v>
      </c>
      <c r="N772" s="39">
        <v>98</v>
      </c>
      <c r="O772" s="35">
        <v>25</v>
      </c>
      <c r="P772" s="36">
        <v>2</v>
      </c>
      <c r="Q772" s="37">
        <v>1</v>
      </c>
      <c r="T772" s="39">
        <v>98</v>
      </c>
      <c r="U772" s="39">
        <v>32</v>
      </c>
      <c r="V772" s="39">
        <v>3</v>
      </c>
      <c r="W772" s="39">
        <v>1</v>
      </c>
    </row>
    <row r="773" spans="5:23" s="3" customFormat="1" ht="18" customHeight="1" x14ac:dyDescent="0.2">
      <c r="E773" s="39">
        <v>1</v>
      </c>
      <c r="G773" s="39">
        <v>3</v>
      </c>
      <c r="H773" s="39">
        <v>25</v>
      </c>
      <c r="J773" s="39">
        <v>25</v>
      </c>
      <c r="K773" s="39">
        <v>3</v>
      </c>
      <c r="L773" s="39">
        <v>1</v>
      </c>
      <c r="N773" s="39">
        <v>99</v>
      </c>
      <c r="O773" s="35">
        <v>25</v>
      </c>
      <c r="P773" s="36">
        <v>3</v>
      </c>
      <c r="Q773" s="37">
        <v>1</v>
      </c>
      <c r="T773" s="39">
        <v>99</v>
      </c>
      <c r="U773" s="39">
        <v>32</v>
      </c>
      <c r="V773" s="39">
        <v>4</v>
      </c>
      <c r="W773" s="39">
        <v>1</v>
      </c>
    </row>
    <row r="774" spans="5:23" s="3" customFormat="1" ht="18" customHeight="1" x14ac:dyDescent="0.2">
      <c r="E774" s="39">
        <v>1</v>
      </c>
      <c r="G774" s="39">
        <v>4</v>
      </c>
      <c r="H774" s="39">
        <v>25</v>
      </c>
      <c r="J774" s="39">
        <v>25</v>
      </c>
      <c r="K774" s="39">
        <v>4</v>
      </c>
      <c r="L774" s="39">
        <v>1</v>
      </c>
      <c r="N774" s="39">
        <v>100</v>
      </c>
      <c r="O774" s="35">
        <v>25</v>
      </c>
      <c r="P774" s="36">
        <v>4</v>
      </c>
      <c r="Q774" s="37">
        <v>1</v>
      </c>
      <c r="T774" s="39">
        <v>100</v>
      </c>
      <c r="U774" s="39">
        <v>33</v>
      </c>
      <c r="V774" s="39">
        <v>3</v>
      </c>
      <c r="W774" s="39">
        <v>1</v>
      </c>
    </row>
    <row r="775" spans="5:23" s="3" customFormat="1" ht="18" customHeight="1" x14ac:dyDescent="0.2">
      <c r="E775" s="39">
        <v>1</v>
      </c>
      <c r="G775" s="39">
        <v>1</v>
      </c>
      <c r="H775" s="39">
        <v>26</v>
      </c>
      <c r="J775" s="39">
        <v>26</v>
      </c>
      <c r="K775" s="39">
        <v>1</v>
      </c>
      <c r="L775" s="39">
        <v>1</v>
      </c>
      <c r="N775" s="39">
        <v>101</v>
      </c>
      <c r="O775" s="35">
        <v>26</v>
      </c>
      <c r="P775" s="36">
        <v>1</v>
      </c>
      <c r="Q775" s="37">
        <v>1</v>
      </c>
      <c r="T775" s="39">
        <v>101</v>
      </c>
      <c r="U775" s="39">
        <v>33</v>
      </c>
      <c r="V775" s="39">
        <v>4</v>
      </c>
      <c r="W775" s="39">
        <v>1</v>
      </c>
    </row>
    <row r="776" spans="5:23" s="3" customFormat="1" ht="18" customHeight="1" x14ac:dyDescent="0.2">
      <c r="E776" s="39">
        <v>1</v>
      </c>
      <c r="G776" s="39">
        <v>2</v>
      </c>
      <c r="H776" s="39">
        <v>26</v>
      </c>
      <c r="J776" s="39">
        <v>26</v>
      </c>
      <c r="K776" s="39">
        <v>2</v>
      </c>
      <c r="L776" s="39">
        <v>1</v>
      </c>
      <c r="N776" s="39">
        <v>102</v>
      </c>
      <c r="O776" s="35">
        <v>26</v>
      </c>
      <c r="P776" s="36">
        <v>2</v>
      </c>
      <c r="Q776" s="37">
        <v>1</v>
      </c>
      <c r="T776" s="39">
        <v>102</v>
      </c>
      <c r="U776" s="39">
        <v>34</v>
      </c>
      <c r="V776" s="39">
        <v>3</v>
      </c>
      <c r="W776" s="39">
        <v>1</v>
      </c>
    </row>
    <row r="777" spans="5:23" s="3" customFormat="1" ht="18" customHeight="1" x14ac:dyDescent="0.2">
      <c r="E777" s="39">
        <v>1</v>
      </c>
      <c r="G777" s="39">
        <v>3</v>
      </c>
      <c r="H777" s="39">
        <v>26</v>
      </c>
      <c r="J777" s="39">
        <v>26</v>
      </c>
      <c r="K777" s="39">
        <v>3</v>
      </c>
      <c r="L777" s="39">
        <v>1</v>
      </c>
      <c r="N777" s="39">
        <v>103</v>
      </c>
      <c r="O777" s="35">
        <v>26</v>
      </c>
      <c r="P777" s="36">
        <v>3</v>
      </c>
      <c r="Q777" s="37">
        <v>1</v>
      </c>
      <c r="T777" s="39">
        <v>103</v>
      </c>
      <c r="U777" s="39">
        <v>34</v>
      </c>
      <c r="V777" s="39">
        <v>4</v>
      </c>
      <c r="W777" s="39">
        <v>1</v>
      </c>
    </row>
    <row r="778" spans="5:23" s="3" customFormat="1" ht="18" customHeight="1" x14ac:dyDescent="0.2">
      <c r="E778" s="39">
        <v>1</v>
      </c>
      <c r="G778" s="39">
        <v>4</v>
      </c>
      <c r="H778" s="39">
        <v>26</v>
      </c>
      <c r="J778" s="39">
        <v>26</v>
      </c>
      <c r="K778" s="39">
        <v>4</v>
      </c>
      <c r="L778" s="39">
        <v>1</v>
      </c>
      <c r="N778" s="39">
        <v>104</v>
      </c>
      <c r="O778" s="35">
        <v>26</v>
      </c>
      <c r="P778" s="36">
        <v>4</v>
      </c>
      <c r="Q778" s="37">
        <v>1</v>
      </c>
      <c r="T778" s="39">
        <v>104</v>
      </c>
      <c r="U778" s="39">
        <v>35</v>
      </c>
      <c r="V778" s="39">
        <v>3</v>
      </c>
      <c r="W778" s="39">
        <v>1</v>
      </c>
    </row>
    <row r="779" spans="5:23" s="3" customFormat="1" ht="18" customHeight="1" x14ac:dyDescent="0.2">
      <c r="E779" s="39">
        <v>1</v>
      </c>
      <c r="G779" s="39">
        <v>1</v>
      </c>
      <c r="H779" s="39">
        <v>27</v>
      </c>
      <c r="J779" s="39">
        <v>27</v>
      </c>
      <c r="K779" s="39">
        <v>1</v>
      </c>
      <c r="L779" s="39">
        <v>1</v>
      </c>
      <c r="N779" s="39">
        <v>105</v>
      </c>
      <c r="O779" s="35">
        <v>27</v>
      </c>
      <c r="P779" s="36">
        <v>1</v>
      </c>
      <c r="Q779" s="37">
        <v>1</v>
      </c>
      <c r="T779" s="39">
        <v>105</v>
      </c>
      <c r="U779" s="39">
        <v>35</v>
      </c>
      <c r="V779" s="39">
        <v>4</v>
      </c>
      <c r="W779" s="39">
        <v>1</v>
      </c>
    </row>
    <row r="780" spans="5:23" s="3" customFormat="1" ht="18" customHeight="1" x14ac:dyDescent="0.2">
      <c r="E780" s="39">
        <v>1</v>
      </c>
      <c r="G780" s="39">
        <v>2</v>
      </c>
      <c r="H780" s="39">
        <v>27</v>
      </c>
      <c r="J780" s="39">
        <v>27</v>
      </c>
      <c r="K780" s="39">
        <v>2</v>
      </c>
      <c r="L780" s="39">
        <v>1</v>
      </c>
      <c r="N780" s="39">
        <v>106</v>
      </c>
      <c r="O780" s="35">
        <v>27</v>
      </c>
      <c r="P780" s="36">
        <v>2</v>
      </c>
      <c r="Q780" s="37">
        <v>1</v>
      </c>
      <c r="T780" s="39">
        <v>106</v>
      </c>
      <c r="U780" s="39">
        <v>36</v>
      </c>
      <c r="V780" s="39">
        <v>3</v>
      </c>
      <c r="W780" s="39">
        <v>1</v>
      </c>
    </row>
    <row r="781" spans="5:23" s="3" customFormat="1" ht="18" customHeight="1" x14ac:dyDescent="0.2">
      <c r="E781" s="39">
        <v>1</v>
      </c>
      <c r="G781" s="39">
        <v>3</v>
      </c>
      <c r="H781" s="39">
        <v>27</v>
      </c>
      <c r="J781" s="39">
        <v>27</v>
      </c>
      <c r="K781" s="39">
        <v>3</v>
      </c>
      <c r="L781" s="39">
        <v>1</v>
      </c>
      <c r="N781" s="39">
        <v>107</v>
      </c>
      <c r="O781" s="35">
        <v>27</v>
      </c>
      <c r="P781" s="36">
        <v>3</v>
      </c>
      <c r="Q781" s="37">
        <v>1</v>
      </c>
      <c r="T781" s="39">
        <v>107</v>
      </c>
      <c r="U781" s="39">
        <v>36</v>
      </c>
      <c r="V781" s="39">
        <v>4</v>
      </c>
      <c r="W781" s="39">
        <v>1</v>
      </c>
    </row>
    <row r="782" spans="5:23" s="3" customFormat="1" ht="18" customHeight="1" x14ac:dyDescent="0.2">
      <c r="E782" s="39">
        <v>1</v>
      </c>
      <c r="G782" s="39">
        <v>4</v>
      </c>
      <c r="H782" s="39">
        <v>27</v>
      </c>
      <c r="J782" s="39">
        <v>27</v>
      </c>
      <c r="K782" s="39">
        <v>4</v>
      </c>
      <c r="L782" s="39">
        <v>1</v>
      </c>
      <c r="N782" s="39">
        <v>108</v>
      </c>
      <c r="O782" s="35">
        <v>27</v>
      </c>
      <c r="P782" s="36">
        <v>4</v>
      </c>
      <c r="Q782" s="37">
        <v>1</v>
      </c>
      <c r="T782" s="39">
        <v>108</v>
      </c>
      <c r="U782" s="39">
        <v>37</v>
      </c>
      <c r="V782" s="39">
        <v>3</v>
      </c>
      <c r="W782" s="39">
        <v>1</v>
      </c>
    </row>
    <row r="783" spans="5:23" s="3" customFormat="1" ht="18" customHeight="1" x14ac:dyDescent="0.2">
      <c r="E783" s="39">
        <v>1</v>
      </c>
      <c r="G783" s="39">
        <v>1</v>
      </c>
      <c r="H783" s="39">
        <v>28</v>
      </c>
      <c r="J783" s="39">
        <v>28</v>
      </c>
      <c r="K783" s="39">
        <v>1</v>
      </c>
      <c r="L783" s="39">
        <v>1</v>
      </c>
      <c r="N783" s="39">
        <v>109</v>
      </c>
      <c r="O783" s="35">
        <v>28</v>
      </c>
      <c r="P783" s="36">
        <v>1</v>
      </c>
      <c r="Q783" s="37">
        <v>1</v>
      </c>
      <c r="T783" s="39">
        <v>109</v>
      </c>
      <c r="U783" s="39">
        <v>37</v>
      </c>
      <c r="V783" s="39">
        <v>4</v>
      </c>
      <c r="W783" s="39">
        <v>1</v>
      </c>
    </row>
    <row r="784" spans="5:23" s="3" customFormat="1" ht="18" customHeight="1" x14ac:dyDescent="0.2">
      <c r="E784" s="39">
        <v>1</v>
      </c>
      <c r="G784" s="39">
        <v>2</v>
      </c>
      <c r="H784" s="39">
        <v>28</v>
      </c>
      <c r="J784" s="39">
        <v>28</v>
      </c>
      <c r="K784" s="39">
        <v>2</v>
      </c>
      <c r="L784" s="39">
        <v>1</v>
      </c>
      <c r="N784" s="39">
        <v>110</v>
      </c>
      <c r="O784" s="35">
        <v>28</v>
      </c>
      <c r="P784" s="36">
        <v>2</v>
      </c>
      <c r="Q784" s="37">
        <v>1</v>
      </c>
      <c r="T784" s="39">
        <v>110</v>
      </c>
      <c r="U784" s="39">
        <v>38</v>
      </c>
      <c r="V784" s="39">
        <v>3</v>
      </c>
      <c r="W784" s="39">
        <v>1</v>
      </c>
    </row>
    <row r="785" spans="5:23" s="3" customFormat="1" ht="18" customHeight="1" x14ac:dyDescent="0.2">
      <c r="E785" s="39">
        <v>1</v>
      </c>
      <c r="G785" s="39">
        <v>3</v>
      </c>
      <c r="H785" s="39">
        <v>28</v>
      </c>
      <c r="J785" s="39">
        <v>28</v>
      </c>
      <c r="K785" s="39">
        <v>3</v>
      </c>
      <c r="L785" s="39">
        <v>1</v>
      </c>
      <c r="N785" s="39">
        <v>111</v>
      </c>
      <c r="O785" s="35">
        <v>28</v>
      </c>
      <c r="P785" s="36">
        <v>3</v>
      </c>
      <c r="Q785" s="37">
        <v>1</v>
      </c>
      <c r="T785" s="39">
        <v>111</v>
      </c>
      <c r="U785" s="39">
        <v>38</v>
      </c>
      <c r="V785" s="39">
        <v>4</v>
      </c>
      <c r="W785" s="39">
        <v>1</v>
      </c>
    </row>
    <row r="786" spans="5:23" s="3" customFormat="1" ht="18" customHeight="1" x14ac:dyDescent="0.2">
      <c r="E786" s="39">
        <v>1</v>
      </c>
      <c r="G786" s="39">
        <v>4</v>
      </c>
      <c r="H786" s="39">
        <v>28</v>
      </c>
      <c r="J786" s="39">
        <v>28</v>
      </c>
      <c r="K786" s="39">
        <v>4</v>
      </c>
      <c r="L786" s="39">
        <v>1</v>
      </c>
      <c r="N786" s="39">
        <v>112</v>
      </c>
      <c r="O786" s="35">
        <v>28</v>
      </c>
      <c r="P786" s="36">
        <v>4</v>
      </c>
      <c r="Q786" s="37">
        <v>1</v>
      </c>
      <c r="T786" s="39">
        <v>112</v>
      </c>
      <c r="U786" s="39">
        <v>39</v>
      </c>
      <c r="V786" s="39">
        <v>3</v>
      </c>
      <c r="W786" s="39">
        <v>1</v>
      </c>
    </row>
    <row r="787" spans="5:23" s="3" customFormat="1" ht="18" customHeight="1" x14ac:dyDescent="0.2">
      <c r="E787" s="39">
        <v>0</v>
      </c>
      <c r="G787" s="39">
        <v>1</v>
      </c>
      <c r="H787" s="39">
        <v>29</v>
      </c>
      <c r="J787" s="39">
        <v>29</v>
      </c>
      <c r="K787" s="39">
        <v>1</v>
      </c>
      <c r="L787" s="39">
        <v>0</v>
      </c>
      <c r="N787" s="39">
        <v>113</v>
      </c>
      <c r="O787" s="35">
        <v>29</v>
      </c>
      <c r="P787" s="36">
        <v>1</v>
      </c>
      <c r="Q787" s="37">
        <v>0</v>
      </c>
      <c r="T787" s="39">
        <v>113</v>
      </c>
      <c r="U787" s="39">
        <v>39</v>
      </c>
      <c r="V787" s="39">
        <v>4</v>
      </c>
      <c r="W787" s="39">
        <v>1</v>
      </c>
    </row>
    <row r="788" spans="5:23" s="3" customFormat="1" ht="18" customHeight="1" x14ac:dyDescent="0.2">
      <c r="E788" s="39">
        <v>0</v>
      </c>
      <c r="G788" s="39">
        <v>2</v>
      </c>
      <c r="H788" s="39">
        <v>29</v>
      </c>
      <c r="J788" s="39">
        <v>29</v>
      </c>
      <c r="K788" s="39">
        <v>2</v>
      </c>
      <c r="L788" s="39">
        <v>0</v>
      </c>
      <c r="N788" s="39">
        <v>114</v>
      </c>
      <c r="O788" s="35">
        <v>29</v>
      </c>
      <c r="P788" s="36">
        <v>2</v>
      </c>
      <c r="Q788" s="37">
        <v>0</v>
      </c>
      <c r="T788" s="39">
        <v>114</v>
      </c>
      <c r="U788" s="39">
        <v>40</v>
      </c>
      <c r="V788" s="39">
        <v>3</v>
      </c>
      <c r="W788" s="39">
        <v>1</v>
      </c>
    </row>
    <row r="789" spans="5:23" s="3" customFormat="1" ht="18" customHeight="1" x14ac:dyDescent="0.2">
      <c r="E789" s="39">
        <v>1</v>
      </c>
      <c r="G789" s="39">
        <v>3</v>
      </c>
      <c r="H789" s="39">
        <v>29</v>
      </c>
      <c r="J789" s="39">
        <v>29</v>
      </c>
      <c r="K789" s="39">
        <v>3</v>
      </c>
      <c r="L789" s="39">
        <v>1</v>
      </c>
      <c r="N789" s="39">
        <v>115</v>
      </c>
      <c r="O789" s="35">
        <v>29</v>
      </c>
      <c r="P789" s="36">
        <v>3</v>
      </c>
      <c r="Q789" s="37">
        <v>1</v>
      </c>
      <c r="T789" s="39">
        <v>115</v>
      </c>
      <c r="U789" s="39">
        <v>40</v>
      </c>
      <c r="V789" s="39">
        <v>4</v>
      </c>
      <c r="W789" s="39">
        <v>1</v>
      </c>
    </row>
    <row r="790" spans="5:23" s="3" customFormat="1" ht="18" customHeight="1" x14ac:dyDescent="0.2">
      <c r="E790" s="39">
        <v>1</v>
      </c>
      <c r="G790" s="39">
        <v>4</v>
      </c>
      <c r="H790" s="39">
        <v>29</v>
      </c>
      <c r="J790" s="39">
        <v>29</v>
      </c>
      <c r="K790" s="39">
        <v>4</v>
      </c>
      <c r="L790" s="39">
        <v>1</v>
      </c>
      <c r="N790" s="39">
        <v>116</v>
      </c>
      <c r="O790" s="35">
        <v>29</v>
      </c>
      <c r="P790" s="36">
        <v>4</v>
      </c>
      <c r="Q790" s="37">
        <v>1</v>
      </c>
      <c r="T790" s="39">
        <v>116</v>
      </c>
      <c r="U790" s="39">
        <v>41</v>
      </c>
      <c r="V790" s="39">
        <v>3</v>
      </c>
      <c r="W790" s="39">
        <v>1</v>
      </c>
    </row>
    <row r="791" spans="5:23" s="3" customFormat="1" ht="18" customHeight="1" x14ac:dyDescent="0.2">
      <c r="E791" s="39">
        <v>0</v>
      </c>
      <c r="G791" s="39">
        <v>1</v>
      </c>
      <c r="H791" s="39">
        <v>30</v>
      </c>
      <c r="J791" s="39">
        <v>30</v>
      </c>
      <c r="K791" s="39">
        <v>1</v>
      </c>
      <c r="L791" s="39">
        <v>0</v>
      </c>
      <c r="N791" s="39">
        <v>117</v>
      </c>
      <c r="O791" s="35">
        <v>30</v>
      </c>
      <c r="P791" s="36">
        <v>1</v>
      </c>
      <c r="Q791" s="37">
        <v>0</v>
      </c>
      <c r="T791" s="39">
        <v>117</v>
      </c>
      <c r="U791" s="39">
        <v>41</v>
      </c>
      <c r="V791" s="39">
        <v>4</v>
      </c>
      <c r="W791" s="39">
        <v>1</v>
      </c>
    </row>
    <row r="792" spans="5:23" s="3" customFormat="1" ht="18" customHeight="1" x14ac:dyDescent="0.2">
      <c r="E792" s="39">
        <v>0</v>
      </c>
      <c r="G792" s="39">
        <v>2</v>
      </c>
      <c r="H792" s="39">
        <v>30</v>
      </c>
      <c r="J792" s="39">
        <v>30</v>
      </c>
      <c r="K792" s="39">
        <v>2</v>
      </c>
      <c r="L792" s="39">
        <v>0</v>
      </c>
      <c r="N792" s="39">
        <v>118</v>
      </c>
      <c r="O792" s="35">
        <v>30</v>
      </c>
      <c r="P792" s="36">
        <v>2</v>
      </c>
      <c r="Q792" s="37">
        <v>0</v>
      </c>
      <c r="T792" s="39">
        <v>118</v>
      </c>
      <c r="U792" s="39">
        <v>42</v>
      </c>
      <c r="V792" s="39">
        <v>3</v>
      </c>
      <c r="W792" s="39">
        <v>1</v>
      </c>
    </row>
    <row r="793" spans="5:23" s="3" customFormat="1" ht="18" customHeight="1" x14ac:dyDescent="0.2">
      <c r="E793" s="39">
        <v>1</v>
      </c>
      <c r="G793" s="39">
        <v>3</v>
      </c>
      <c r="H793" s="39">
        <v>30</v>
      </c>
      <c r="J793" s="39">
        <v>30</v>
      </c>
      <c r="K793" s="39">
        <v>3</v>
      </c>
      <c r="L793" s="39">
        <v>1</v>
      </c>
      <c r="N793" s="39">
        <v>119</v>
      </c>
      <c r="O793" s="35">
        <v>30</v>
      </c>
      <c r="P793" s="36">
        <v>3</v>
      </c>
      <c r="Q793" s="37">
        <v>1</v>
      </c>
      <c r="T793" s="39">
        <v>119</v>
      </c>
      <c r="U793" s="39">
        <v>42</v>
      </c>
      <c r="V793" s="39">
        <v>4</v>
      </c>
      <c r="W793" s="39">
        <v>1</v>
      </c>
    </row>
    <row r="794" spans="5:23" s="3" customFormat="1" ht="18" customHeight="1" x14ac:dyDescent="0.2">
      <c r="E794" s="39">
        <v>1</v>
      </c>
      <c r="G794" s="39">
        <v>4</v>
      </c>
      <c r="H794" s="39">
        <v>30</v>
      </c>
      <c r="J794" s="39">
        <v>30</v>
      </c>
      <c r="K794" s="39">
        <v>4</v>
      </c>
      <c r="L794" s="39">
        <v>1</v>
      </c>
      <c r="N794" s="39">
        <v>120</v>
      </c>
      <c r="O794" s="35">
        <v>30</v>
      </c>
      <c r="P794" s="36">
        <v>4</v>
      </c>
      <c r="Q794" s="37">
        <v>1</v>
      </c>
      <c r="T794" s="39">
        <v>120</v>
      </c>
      <c r="U794" s="39">
        <v>43</v>
      </c>
      <c r="V794" s="39">
        <v>3</v>
      </c>
      <c r="W794" s="39">
        <v>1</v>
      </c>
    </row>
    <row r="795" spans="5:23" s="3" customFormat="1" ht="18" customHeight="1" x14ac:dyDescent="0.2">
      <c r="E795" s="39">
        <v>0</v>
      </c>
      <c r="G795" s="39">
        <v>1</v>
      </c>
      <c r="H795" s="39">
        <v>31</v>
      </c>
      <c r="J795" s="39">
        <v>31</v>
      </c>
      <c r="K795" s="39">
        <v>1</v>
      </c>
      <c r="L795" s="39">
        <v>0</v>
      </c>
      <c r="N795" s="39">
        <v>121</v>
      </c>
      <c r="O795" s="35">
        <v>31</v>
      </c>
      <c r="P795" s="36">
        <v>1</v>
      </c>
      <c r="Q795" s="37">
        <v>0</v>
      </c>
      <c r="T795" s="39">
        <v>121</v>
      </c>
      <c r="U795" s="39">
        <v>43</v>
      </c>
      <c r="V795" s="39">
        <v>4</v>
      </c>
      <c r="W795" s="39">
        <v>1</v>
      </c>
    </row>
    <row r="796" spans="5:23" s="3" customFormat="1" ht="18" customHeight="1" x14ac:dyDescent="0.2">
      <c r="E796" s="39">
        <v>0</v>
      </c>
      <c r="G796" s="39">
        <v>2</v>
      </c>
      <c r="H796" s="39">
        <v>31</v>
      </c>
      <c r="J796" s="39">
        <v>31</v>
      </c>
      <c r="K796" s="39">
        <v>2</v>
      </c>
      <c r="L796" s="39">
        <v>0</v>
      </c>
      <c r="N796" s="39">
        <v>122</v>
      </c>
      <c r="O796" s="35">
        <v>31</v>
      </c>
      <c r="P796" s="36">
        <v>2</v>
      </c>
      <c r="Q796" s="37">
        <v>0</v>
      </c>
      <c r="T796" s="39">
        <v>122</v>
      </c>
      <c r="U796" s="39">
        <v>44</v>
      </c>
      <c r="V796" s="39">
        <v>1</v>
      </c>
      <c r="W796" s="39">
        <v>1</v>
      </c>
    </row>
    <row r="797" spans="5:23" s="3" customFormat="1" ht="18" customHeight="1" x14ac:dyDescent="0.2">
      <c r="E797" s="39">
        <v>1</v>
      </c>
      <c r="G797" s="39">
        <v>3</v>
      </c>
      <c r="H797" s="39">
        <v>31</v>
      </c>
      <c r="J797" s="39">
        <v>31</v>
      </c>
      <c r="K797" s="39">
        <v>3</v>
      </c>
      <c r="L797" s="39">
        <v>1</v>
      </c>
      <c r="N797" s="39">
        <v>123</v>
      </c>
      <c r="O797" s="35">
        <v>31</v>
      </c>
      <c r="P797" s="36">
        <v>3</v>
      </c>
      <c r="Q797" s="37">
        <v>1</v>
      </c>
      <c r="T797" s="39">
        <v>123</v>
      </c>
      <c r="U797" s="39">
        <v>44</v>
      </c>
      <c r="V797" s="39">
        <v>2</v>
      </c>
      <c r="W797" s="39">
        <v>1</v>
      </c>
    </row>
    <row r="798" spans="5:23" s="3" customFormat="1" ht="18" customHeight="1" x14ac:dyDescent="0.2">
      <c r="E798" s="39">
        <v>1</v>
      </c>
      <c r="G798" s="39">
        <v>4</v>
      </c>
      <c r="H798" s="39">
        <v>31</v>
      </c>
      <c r="J798" s="39">
        <v>31</v>
      </c>
      <c r="K798" s="39">
        <v>4</v>
      </c>
      <c r="L798" s="39">
        <v>1</v>
      </c>
      <c r="N798" s="39">
        <v>124</v>
      </c>
      <c r="O798" s="35">
        <v>31</v>
      </c>
      <c r="P798" s="36">
        <v>4</v>
      </c>
      <c r="Q798" s="37">
        <v>1</v>
      </c>
      <c r="T798" s="39">
        <v>124</v>
      </c>
      <c r="U798" s="39">
        <v>44</v>
      </c>
      <c r="V798" s="39">
        <v>3</v>
      </c>
      <c r="W798" s="39">
        <v>1</v>
      </c>
    </row>
    <row r="799" spans="5:23" s="3" customFormat="1" ht="18" customHeight="1" x14ac:dyDescent="0.2">
      <c r="E799" s="39">
        <v>0</v>
      </c>
      <c r="G799" s="39">
        <v>1</v>
      </c>
      <c r="H799" s="39">
        <v>32</v>
      </c>
      <c r="J799" s="39">
        <v>32</v>
      </c>
      <c r="K799" s="39">
        <v>1</v>
      </c>
      <c r="L799" s="39">
        <v>0</v>
      </c>
      <c r="N799" s="39">
        <v>125</v>
      </c>
      <c r="O799" s="35">
        <v>32</v>
      </c>
      <c r="P799" s="36">
        <v>1</v>
      </c>
      <c r="Q799" s="37">
        <v>0</v>
      </c>
      <c r="T799" s="39">
        <v>125</v>
      </c>
      <c r="U799" s="39">
        <v>44</v>
      </c>
      <c r="V799" s="39">
        <v>4</v>
      </c>
      <c r="W799" s="39">
        <v>1</v>
      </c>
    </row>
    <row r="800" spans="5:23" s="3" customFormat="1" ht="18" customHeight="1" x14ac:dyDescent="0.2">
      <c r="E800" s="39">
        <v>0</v>
      </c>
      <c r="G800" s="39">
        <v>2</v>
      </c>
      <c r="H800" s="39">
        <v>32</v>
      </c>
      <c r="J800" s="39">
        <v>32</v>
      </c>
      <c r="K800" s="39">
        <v>2</v>
      </c>
      <c r="L800" s="39">
        <v>0</v>
      </c>
      <c r="N800" s="39">
        <v>126</v>
      </c>
      <c r="O800" s="35">
        <v>32</v>
      </c>
      <c r="P800" s="36">
        <v>2</v>
      </c>
      <c r="Q800" s="37">
        <v>0</v>
      </c>
      <c r="T800" s="39">
        <v>126</v>
      </c>
      <c r="U800" s="39">
        <v>45</v>
      </c>
      <c r="V800" s="39">
        <v>3</v>
      </c>
      <c r="W800" s="39">
        <v>1</v>
      </c>
    </row>
    <row r="801" spans="5:23" s="3" customFormat="1" ht="18" customHeight="1" x14ac:dyDescent="0.2">
      <c r="E801" s="39">
        <v>1</v>
      </c>
      <c r="G801" s="39">
        <v>3</v>
      </c>
      <c r="H801" s="39">
        <v>32</v>
      </c>
      <c r="J801" s="39">
        <v>32</v>
      </c>
      <c r="K801" s="39">
        <v>3</v>
      </c>
      <c r="L801" s="39">
        <v>1</v>
      </c>
      <c r="N801" s="39">
        <v>127</v>
      </c>
      <c r="O801" s="35">
        <v>32</v>
      </c>
      <c r="P801" s="36">
        <v>3</v>
      </c>
      <c r="Q801" s="37">
        <v>1</v>
      </c>
      <c r="T801" s="39">
        <v>127</v>
      </c>
      <c r="U801" s="39">
        <v>45</v>
      </c>
      <c r="V801" s="39">
        <v>4</v>
      </c>
      <c r="W801" s="39">
        <v>1</v>
      </c>
    </row>
    <row r="802" spans="5:23" s="3" customFormat="1" ht="18" customHeight="1" x14ac:dyDescent="0.2">
      <c r="E802" s="39">
        <v>1</v>
      </c>
      <c r="G802" s="39">
        <v>4</v>
      </c>
      <c r="H802" s="39">
        <v>32</v>
      </c>
      <c r="J802" s="39">
        <v>32</v>
      </c>
      <c r="K802" s="39">
        <v>4</v>
      </c>
      <c r="L802" s="39">
        <v>1</v>
      </c>
      <c r="N802" s="39">
        <v>128</v>
      </c>
      <c r="O802" s="35">
        <v>32</v>
      </c>
      <c r="P802" s="36">
        <v>4</v>
      </c>
      <c r="Q802" s="37">
        <v>1</v>
      </c>
      <c r="T802" s="39">
        <v>128</v>
      </c>
      <c r="U802" s="39">
        <v>46</v>
      </c>
      <c r="V802" s="39">
        <v>3</v>
      </c>
      <c r="W802" s="39">
        <v>1</v>
      </c>
    </row>
    <row r="803" spans="5:23" s="3" customFormat="1" ht="18" customHeight="1" x14ac:dyDescent="0.2">
      <c r="E803" s="39">
        <v>0</v>
      </c>
      <c r="G803" s="39">
        <v>1</v>
      </c>
      <c r="H803" s="39">
        <v>33</v>
      </c>
      <c r="J803" s="39">
        <v>33</v>
      </c>
      <c r="K803" s="39">
        <v>1</v>
      </c>
      <c r="L803" s="39">
        <v>0</v>
      </c>
      <c r="N803" s="39">
        <v>129</v>
      </c>
      <c r="O803" s="35">
        <v>33</v>
      </c>
      <c r="P803" s="36">
        <v>1</v>
      </c>
      <c r="Q803" s="37">
        <v>0</v>
      </c>
      <c r="T803" s="39">
        <v>129</v>
      </c>
      <c r="U803" s="39">
        <v>46</v>
      </c>
      <c r="V803" s="39">
        <v>4</v>
      </c>
      <c r="W803" s="39">
        <v>1</v>
      </c>
    </row>
    <row r="804" spans="5:23" s="3" customFormat="1" ht="18" customHeight="1" x14ac:dyDescent="0.2">
      <c r="E804" s="39">
        <v>0</v>
      </c>
      <c r="G804" s="39">
        <v>2</v>
      </c>
      <c r="H804" s="39">
        <v>33</v>
      </c>
      <c r="J804" s="39">
        <v>33</v>
      </c>
      <c r="K804" s="39">
        <v>2</v>
      </c>
      <c r="L804" s="39">
        <v>0</v>
      </c>
      <c r="N804" s="39">
        <v>130</v>
      </c>
      <c r="O804" s="35">
        <v>33</v>
      </c>
      <c r="P804" s="36">
        <v>2</v>
      </c>
      <c r="Q804" s="37">
        <v>0</v>
      </c>
      <c r="T804" s="39">
        <v>130</v>
      </c>
      <c r="U804" s="39">
        <v>47</v>
      </c>
      <c r="V804" s="39">
        <v>3</v>
      </c>
      <c r="W804" s="39">
        <v>1</v>
      </c>
    </row>
    <row r="805" spans="5:23" s="3" customFormat="1" ht="18" customHeight="1" x14ac:dyDescent="0.2">
      <c r="E805" s="39">
        <v>1</v>
      </c>
      <c r="G805" s="39">
        <v>3</v>
      </c>
      <c r="H805" s="39">
        <v>33</v>
      </c>
      <c r="J805" s="39">
        <v>33</v>
      </c>
      <c r="K805" s="39">
        <v>3</v>
      </c>
      <c r="L805" s="39">
        <v>1</v>
      </c>
      <c r="N805" s="39">
        <v>131</v>
      </c>
      <c r="O805" s="35">
        <v>33</v>
      </c>
      <c r="P805" s="36">
        <v>3</v>
      </c>
      <c r="Q805" s="37">
        <v>1</v>
      </c>
      <c r="T805" s="39">
        <v>131</v>
      </c>
      <c r="U805" s="39">
        <v>47</v>
      </c>
      <c r="V805" s="39">
        <v>4</v>
      </c>
      <c r="W805" s="39">
        <v>1</v>
      </c>
    </row>
    <row r="806" spans="5:23" s="3" customFormat="1" ht="18" customHeight="1" x14ac:dyDescent="0.2">
      <c r="E806" s="39">
        <v>1</v>
      </c>
      <c r="G806" s="39">
        <v>4</v>
      </c>
      <c r="H806" s="39">
        <v>33</v>
      </c>
      <c r="J806" s="39">
        <v>33</v>
      </c>
      <c r="K806" s="39">
        <v>4</v>
      </c>
      <c r="L806" s="39">
        <v>1</v>
      </c>
      <c r="N806" s="39">
        <v>132</v>
      </c>
      <c r="O806" s="35">
        <v>33</v>
      </c>
      <c r="P806" s="36">
        <v>4</v>
      </c>
      <c r="Q806" s="37">
        <v>1</v>
      </c>
      <c r="T806" s="39">
        <v>132</v>
      </c>
      <c r="U806" s="39">
        <v>48</v>
      </c>
      <c r="V806" s="39">
        <v>3</v>
      </c>
      <c r="W806" s="39">
        <v>1</v>
      </c>
    </row>
    <row r="807" spans="5:23" s="3" customFormat="1" ht="18.5" customHeight="1" x14ac:dyDescent="0.2">
      <c r="E807" s="39">
        <v>0</v>
      </c>
      <c r="G807" s="39">
        <v>1</v>
      </c>
      <c r="H807" s="39">
        <v>34</v>
      </c>
      <c r="J807" s="39">
        <v>34</v>
      </c>
      <c r="K807" s="39">
        <v>1</v>
      </c>
      <c r="L807" s="39">
        <v>0</v>
      </c>
      <c r="N807" s="39">
        <v>133</v>
      </c>
      <c r="O807" s="35">
        <v>34</v>
      </c>
      <c r="P807" s="36">
        <v>1</v>
      </c>
      <c r="Q807" s="37">
        <v>0</v>
      </c>
      <c r="T807" s="56">
        <v>133</v>
      </c>
      <c r="U807" s="56">
        <v>48</v>
      </c>
      <c r="V807" s="56">
        <v>4</v>
      </c>
      <c r="W807" s="56">
        <v>1</v>
      </c>
    </row>
    <row r="808" spans="5:23" s="3" customFormat="1" ht="18.5" customHeight="1" x14ac:dyDescent="0.2">
      <c r="E808" s="39">
        <v>0</v>
      </c>
      <c r="G808" s="39">
        <v>2</v>
      </c>
      <c r="H808" s="39">
        <v>34</v>
      </c>
      <c r="J808" s="39">
        <v>34</v>
      </c>
      <c r="K808" s="39">
        <v>2</v>
      </c>
      <c r="L808" s="39">
        <v>0</v>
      </c>
      <c r="N808" s="39">
        <v>134</v>
      </c>
      <c r="O808" s="35">
        <v>34</v>
      </c>
      <c r="P808" s="36">
        <v>2</v>
      </c>
      <c r="Q808" s="37">
        <v>0</v>
      </c>
    </row>
    <row r="809" spans="5:23" s="3" customFormat="1" ht="18" customHeight="1" x14ac:dyDescent="0.2">
      <c r="E809" s="39">
        <v>1</v>
      </c>
      <c r="G809" s="39">
        <v>3</v>
      </c>
      <c r="H809" s="39">
        <v>34</v>
      </c>
      <c r="J809" s="39">
        <v>34</v>
      </c>
      <c r="K809" s="39">
        <v>3</v>
      </c>
      <c r="L809" s="39">
        <v>1</v>
      </c>
      <c r="N809" s="39">
        <v>135</v>
      </c>
      <c r="O809" s="35">
        <v>34</v>
      </c>
      <c r="P809" s="36">
        <v>3</v>
      </c>
      <c r="Q809" s="37">
        <v>1</v>
      </c>
    </row>
    <row r="810" spans="5:23" s="3" customFormat="1" ht="18" customHeight="1" x14ac:dyDescent="0.2">
      <c r="E810" s="39">
        <v>1</v>
      </c>
      <c r="G810" s="39">
        <v>4</v>
      </c>
      <c r="H810" s="39">
        <v>34</v>
      </c>
      <c r="J810" s="39">
        <v>34</v>
      </c>
      <c r="K810" s="39">
        <v>4</v>
      </c>
      <c r="L810" s="39">
        <v>1</v>
      </c>
      <c r="N810" s="39">
        <v>136</v>
      </c>
      <c r="O810" s="35">
        <v>34</v>
      </c>
      <c r="P810" s="36">
        <v>4</v>
      </c>
      <c r="Q810" s="37">
        <v>1</v>
      </c>
    </row>
    <row r="811" spans="5:23" s="3" customFormat="1" ht="18" customHeight="1" x14ac:dyDescent="0.2">
      <c r="E811" s="39">
        <v>0</v>
      </c>
      <c r="G811" s="39">
        <v>1</v>
      </c>
      <c r="H811" s="39">
        <v>35</v>
      </c>
      <c r="J811" s="39">
        <v>35</v>
      </c>
      <c r="K811" s="39">
        <v>1</v>
      </c>
      <c r="L811" s="39">
        <v>0</v>
      </c>
      <c r="N811" s="39">
        <v>137</v>
      </c>
      <c r="O811" s="35">
        <v>35</v>
      </c>
      <c r="P811" s="36">
        <v>1</v>
      </c>
      <c r="Q811" s="37">
        <v>0</v>
      </c>
    </row>
    <row r="812" spans="5:23" s="3" customFormat="1" ht="18" customHeight="1" x14ac:dyDescent="0.2">
      <c r="E812" s="39">
        <v>0</v>
      </c>
      <c r="G812" s="39">
        <v>2</v>
      </c>
      <c r="H812" s="39">
        <v>35</v>
      </c>
      <c r="J812" s="39">
        <v>35</v>
      </c>
      <c r="K812" s="39">
        <v>2</v>
      </c>
      <c r="L812" s="39">
        <v>0</v>
      </c>
      <c r="N812" s="39">
        <v>138</v>
      </c>
      <c r="O812" s="35">
        <v>35</v>
      </c>
      <c r="P812" s="36">
        <v>2</v>
      </c>
      <c r="Q812" s="37">
        <v>0</v>
      </c>
    </row>
    <row r="813" spans="5:23" s="3" customFormat="1" ht="18" customHeight="1" x14ac:dyDescent="0.2">
      <c r="E813" s="39">
        <v>1</v>
      </c>
      <c r="G813" s="39">
        <v>3</v>
      </c>
      <c r="H813" s="39">
        <v>35</v>
      </c>
      <c r="J813" s="39">
        <v>35</v>
      </c>
      <c r="K813" s="39">
        <v>3</v>
      </c>
      <c r="L813" s="39">
        <v>1</v>
      </c>
      <c r="N813" s="39">
        <v>139</v>
      </c>
      <c r="O813" s="35">
        <v>35</v>
      </c>
      <c r="P813" s="36">
        <v>3</v>
      </c>
      <c r="Q813" s="37">
        <v>1</v>
      </c>
    </row>
    <row r="814" spans="5:23" s="3" customFormat="1" ht="18" customHeight="1" x14ac:dyDescent="0.2">
      <c r="E814" s="39">
        <v>1</v>
      </c>
      <c r="G814" s="39">
        <v>4</v>
      </c>
      <c r="H814" s="39">
        <v>35</v>
      </c>
      <c r="J814" s="39">
        <v>35</v>
      </c>
      <c r="K814" s="39">
        <v>4</v>
      </c>
      <c r="L814" s="39">
        <v>1</v>
      </c>
      <c r="N814" s="39">
        <v>140</v>
      </c>
      <c r="O814" s="35">
        <v>35</v>
      </c>
      <c r="P814" s="36">
        <v>4</v>
      </c>
      <c r="Q814" s="37">
        <v>1</v>
      </c>
    </row>
    <row r="815" spans="5:23" s="3" customFormat="1" ht="18" customHeight="1" x14ac:dyDescent="0.2">
      <c r="E815" s="39">
        <v>0</v>
      </c>
      <c r="G815" s="39">
        <v>1</v>
      </c>
      <c r="H815" s="39">
        <v>36</v>
      </c>
      <c r="J815" s="39">
        <v>36</v>
      </c>
      <c r="K815" s="39">
        <v>1</v>
      </c>
      <c r="L815" s="39">
        <v>0</v>
      </c>
      <c r="N815" s="39">
        <v>141</v>
      </c>
      <c r="O815" s="35">
        <v>36</v>
      </c>
      <c r="P815" s="36">
        <v>1</v>
      </c>
      <c r="Q815" s="37">
        <v>0</v>
      </c>
    </row>
    <row r="816" spans="5:23" s="3" customFormat="1" ht="18" customHeight="1" x14ac:dyDescent="0.2">
      <c r="E816" s="39">
        <v>0</v>
      </c>
      <c r="G816" s="39">
        <v>2</v>
      </c>
      <c r="H816" s="39">
        <v>36</v>
      </c>
      <c r="J816" s="39">
        <v>36</v>
      </c>
      <c r="K816" s="39">
        <v>2</v>
      </c>
      <c r="L816" s="39">
        <v>0</v>
      </c>
      <c r="N816" s="39">
        <v>142</v>
      </c>
      <c r="O816" s="35">
        <v>36</v>
      </c>
      <c r="P816" s="36">
        <v>2</v>
      </c>
      <c r="Q816" s="37">
        <v>0</v>
      </c>
    </row>
    <row r="817" spans="5:17" s="3" customFormat="1" ht="18" customHeight="1" x14ac:dyDescent="0.2">
      <c r="E817" s="39">
        <v>1</v>
      </c>
      <c r="G817" s="39">
        <v>3</v>
      </c>
      <c r="H817" s="39">
        <v>36</v>
      </c>
      <c r="J817" s="39">
        <v>36</v>
      </c>
      <c r="K817" s="39">
        <v>3</v>
      </c>
      <c r="L817" s="39">
        <v>1</v>
      </c>
      <c r="N817" s="39">
        <v>143</v>
      </c>
      <c r="O817" s="35">
        <v>36</v>
      </c>
      <c r="P817" s="36">
        <v>3</v>
      </c>
      <c r="Q817" s="37">
        <v>1</v>
      </c>
    </row>
    <row r="818" spans="5:17" s="3" customFormat="1" ht="18" customHeight="1" x14ac:dyDescent="0.2">
      <c r="E818" s="39">
        <v>1</v>
      </c>
      <c r="G818" s="39">
        <v>4</v>
      </c>
      <c r="H818" s="39">
        <v>36</v>
      </c>
      <c r="J818" s="39">
        <v>36</v>
      </c>
      <c r="K818" s="39">
        <v>4</v>
      </c>
      <c r="L818" s="39">
        <v>1</v>
      </c>
      <c r="N818" s="39">
        <v>144</v>
      </c>
      <c r="O818" s="35">
        <v>36</v>
      </c>
      <c r="P818" s="36">
        <v>4</v>
      </c>
      <c r="Q818" s="37">
        <v>1</v>
      </c>
    </row>
    <row r="819" spans="5:17" s="3" customFormat="1" ht="18" customHeight="1" x14ac:dyDescent="0.2">
      <c r="E819" s="39">
        <v>0</v>
      </c>
      <c r="G819" s="39">
        <v>1</v>
      </c>
      <c r="H819" s="39">
        <v>37</v>
      </c>
      <c r="J819" s="39">
        <v>37</v>
      </c>
      <c r="K819" s="39">
        <v>1</v>
      </c>
      <c r="L819" s="39">
        <v>0</v>
      </c>
      <c r="N819" s="39">
        <v>145</v>
      </c>
      <c r="O819" s="35">
        <v>37</v>
      </c>
      <c r="P819" s="36">
        <v>1</v>
      </c>
      <c r="Q819" s="37">
        <v>0</v>
      </c>
    </row>
    <row r="820" spans="5:17" s="3" customFormat="1" ht="18" customHeight="1" x14ac:dyDescent="0.2">
      <c r="E820" s="39">
        <v>0</v>
      </c>
      <c r="G820" s="39">
        <v>2</v>
      </c>
      <c r="H820" s="39">
        <v>37</v>
      </c>
      <c r="J820" s="39">
        <v>37</v>
      </c>
      <c r="K820" s="39">
        <v>2</v>
      </c>
      <c r="L820" s="39">
        <v>0</v>
      </c>
      <c r="N820" s="39">
        <v>146</v>
      </c>
      <c r="O820" s="35">
        <v>37</v>
      </c>
      <c r="P820" s="36">
        <v>2</v>
      </c>
      <c r="Q820" s="37">
        <v>0</v>
      </c>
    </row>
    <row r="821" spans="5:17" s="3" customFormat="1" ht="18" customHeight="1" x14ac:dyDescent="0.2">
      <c r="E821" s="39">
        <v>1</v>
      </c>
      <c r="G821" s="39">
        <v>3</v>
      </c>
      <c r="H821" s="39">
        <v>37</v>
      </c>
      <c r="J821" s="39">
        <v>37</v>
      </c>
      <c r="K821" s="39">
        <v>3</v>
      </c>
      <c r="L821" s="39">
        <v>1</v>
      </c>
      <c r="N821" s="39">
        <v>147</v>
      </c>
      <c r="O821" s="35">
        <v>37</v>
      </c>
      <c r="P821" s="36">
        <v>3</v>
      </c>
      <c r="Q821" s="37">
        <v>1</v>
      </c>
    </row>
    <row r="822" spans="5:17" s="3" customFormat="1" ht="18" customHeight="1" x14ac:dyDescent="0.2">
      <c r="E822" s="39">
        <v>1</v>
      </c>
      <c r="G822" s="39">
        <v>4</v>
      </c>
      <c r="H822" s="39">
        <v>37</v>
      </c>
      <c r="J822" s="39">
        <v>37</v>
      </c>
      <c r="K822" s="39">
        <v>4</v>
      </c>
      <c r="L822" s="39">
        <v>1</v>
      </c>
      <c r="N822" s="39">
        <v>148</v>
      </c>
      <c r="O822" s="35">
        <v>37</v>
      </c>
      <c r="P822" s="36">
        <v>4</v>
      </c>
      <c r="Q822" s="37">
        <v>1</v>
      </c>
    </row>
    <row r="823" spans="5:17" s="3" customFormat="1" ht="18" customHeight="1" x14ac:dyDescent="0.2">
      <c r="E823" s="39">
        <v>0</v>
      </c>
      <c r="G823" s="39">
        <v>1</v>
      </c>
      <c r="H823" s="39">
        <v>38</v>
      </c>
      <c r="J823" s="39">
        <v>38</v>
      </c>
      <c r="K823" s="39">
        <v>1</v>
      </c>
      <c r="L823" s="39">
        <v>0</v>
      </c>
      <c r="N823" s="39">
        <v>149</v>
      </c>
      <c r="O823" s="35">
        <v>38</v>
      </c>
      <c r="P823" s="36">
        <v>1</v>
      </c>
      <c r="Q823" s="37">
        <v>0</v>
      </c>
    </row>
    <row r="824" spans="5:17" s="3" customFormat="1" ht="18" customHeight="1" x14ac:dyDescent="0.2">
      <c r="E824" s="39">
        <v>0</v>
      </c>
      <c r="G824" s="39">
        <v>2</v>
      </c>
      <c r="H824" s="39">
        <v>38</v>
      </c>
      <c r="J824" s="39">
        <v>38</v>
      </c>
      <c r="K824" s="39">
        <v>2</v>
      </c>
      <c r="L824" s="39">
        <v>0</v>
      </c>
      <c r="N824" s="39">
        <v>150</v>
      </c>
      <c r="O824" s="35">
        <v>38</v>
      </c>
      <c r="P824" s="36">
        <v>2</v>
      </c>
      <c r="Q824" s="37">
        <v>0</v>
      </c>
    </row>
    <row r="825" spans="5:17" s="3" customFormat="1" ht="18" customHeight="1" x14ac:dyDescent="0.2">
      <c r="E825" s="39">
        <v>1</v>
      </c>
      <c r="G825" s="39">
        <v>3</v>
      </c>
      <c r="H825" s="39">
        <v>38</v>
      </c>
      <c r="J825" s="39">
        <v>38</v>
      </c>
      <c r="K825" s="39">
        <v>3</v>
      </c>
      <c r="L825" s="39">
        <v>1</v>
      </c>
      <c r="N825" s="39">
        <v>151</v>
      </c>
      <c r="O825" s="35">
        <v>38</v>
      </c>
      <c r="P825" s="36">
        <v>3</v>
      </c>
      <c r="Q825" s="37">
        <v>1</v>
      </c>
    </row>
    <row r="826" spans="5:17" s="3" customFormat="1" ht="18" customHeight="1" x14ac:dyDescent="0.2">
      <c r="E826" s="39">
        <v>1</v>
      </c>
      <c r="G826" s="39">
        <v>4</v>
      </c>
      <c r="H826" s="39">
        <v>38</v>
      </c>
      <c r="J826" s="39">
        <v>38</v>
      </c>
      <c r="K826" s="39">
        <v>4</v>
      </c>
      <c r="L826" s="39">
        <v>1</v>
      </c>
      <c r="N826" s="39">
        <v>152</v>
      </c>
      <c r="O826" s="35">
        <v>38</v>
      </c>
      <c r="P826" s="36">
        <v>4</v>
      </c>
      <c r="Q826" s="37">
        <v>1</v>
      </c>
    </row>
    <row r="827" spans="5:17" s="3" customFormat="1" ht="18" customHeight="1" x14ac:dyDescent="0.2">
      <c r="E827" s="39">
        <v>0</v>
      </c>
      <c r="G827" s="39">
        <v>1</v>
      </c>
      <c r="H827" s="39">
        <v>39</v>
      </c>
      <c r="J827" s="39">
        <v>39</v>
      </c>
      <c r="K827" s="39">
        <v>1</v>
      </c>
      <c r="L827" s="39">
        <v>0</v>
      </c>
      <c r="N827" s="39">
        <v>153</v>
      </c>
      <c r="O827" s="35">
        <v>39</v>
      </c>
      <c r="P827" s="36">
        <v>1</v>
      </c>
      <c r="Q827" s="37">
        <v>0</v>
      </c>
    </row>
    <row r="828" spans="5:17" s="3" customFormat="1" ht="18" customHeight="1" x14ac:dyDescent="0.2">
      <c r="E828" s="39">
        <v>0</v>
      </c>
      <c r="G828" s="39">
        <v>2</v>
      </c>
      <c r="H828" s="39">
        <v>39</v>
      </c>
      <c r="J828" s="39">
        <v>39</v>
      </c>
      <c r="K828" s="39">
        <v>2</v>
      </c>
      <c r="L828" s="39">
        <v>0</v>
      </c>
      <c r="N828" s="39">
        <v>154</v>
      </c>
      <c r="O828" s="35">
        <v>39</v>
      </c>
      <c r="P828" s="36">
        <v>2</v>
      </c>
      <c r="Q828" s="37">
        <v>0</v>
      </c>
    </row>
    <row r="829" spans="5:17" s="3" customFormat="1" ht="18" customHeight="1" x14ac:dyDescent="0.2">
      <c r="E829" s="39">
        <v>1</v>
      </c>
      <c r="G829" s="39">
        <v>3</v>
      </c>
      <c r="H829" s="39">
        <v>39</v>
      </c>
      <c r="J829" s="39">
        <v>39</v>
      </c>
      <c r="K829" s="39">
        <v>3</v>
      </c>
      <c r="L829" s="39">
        <v>1</v>
      </c>
      <c r="N829" s="39">
        <v>155</v>
      </c>
      <c r="O829" s="35">
        <v>39</v>
      </c>
      <c r="P829" s="36">
        <v>3</v>
      </c>
      <c r="Q829" s="37">
        <v>1</v>
      </c>
    </row>
    <row r="830" spans="5:17" s="3" customFormat="1" ht="18" customHeight="1" x14ac:dyDescent="0.2">
      <c r="E830" s="39">
        <v>1</v>
      </c>
      <c r="G830" s="39">
        <v>4</v>
      </c>
      <c r="H830" s="39">
        <v>39</v>
      </c>
      <c r="J830" s="39">
        <v>39</v>
      </c>
      <c r="K830" s="39">
        <v>4</v>
      </c>
      <c r="L830" s="39">
        <v>1</v>
      </c>
      <c r="N830" s="39">
        <v>156</v>
      </c>
      <c r="O830" s="35">
        <v>39</v>
      </c>
      <c r="P830" s="36">
        <v>4</v>
      </c>
      <c r="Q830" s="37">
        <v>1</v>
      </c>
    </row>
    <row r="831" spans="5:17" s="3" customFormat="1" ht="18" customHeight="1" x14ac:dyDescent="0.2">
      <c r="E831" s="39">
        <v>0</v>
      </c>
      <c r="G831" s="39">
        <v>1</v>
      </c>
      <c r="H831" s="39">
        <v>40</v>
      </c>
      <c r="J831" s="39">
        <v>40</v>
      </c>
      <c r="K831" s="39">
        <v>1</v>
      </c>
      <c r="L831" s="39">
        <v>0</v>
      </c>
      <c r="N831" s="39">
        <v>157</v>
      </c>
      <c r="O831" s="35">
        <v>40</v>
      </c>
      <c r="P831" s="36">
        <v>1</v>
      </c>
      <c r="Q831" s="37">
        <v>0</v>
      </c>
    </row>
    <row r="832" spans="5:17" s="3" customFormat="1" ht="18" customHeight="1" x14ac:dyDescent="0.2">
      <c r="E832" s="39">
        <v>0</v>
      </c>
      <c r="G832" s="39">
        <v>2</v>
      </c>
      <c r="H832" s="39">
        <v>40</v>
      </c>
      <c r="J832" s="39">
        <v>40</v>
      </c>
      <c r="K832" s="39">
        <v>2</v>
      </c>
      <c r="L832" s="39">
        <v>0</v>
      </c>
      <c r="N832" s="39">
        <v>158</v>
      </c>
      <c r="O832" s="35">
        <v>40</v>
      </c>
      <c r="P832" s="36">
        <v>2</v>
      </c>
      <c r="Q832" s="37">
        <v>0</v>
      </c>
    </row>
    <row r="833" spans="5:17" s="3" customFormat="1" ht="18" customHeight="1" x14ac:dyDescent="0.2">
      <c r="E833" s="39">
        <v>1</v>
      </c>
      <c r="G833" s="39">
        <v>3</v>
      </c>
      <c r="H833" s="39">
        <v>40</v>
      </c>
      <c r="J833" s="39">
        <v>40</v>
      </c>
      <c r="K833" s="39">
        <v>3</v>
      </c>
      <c r="L833" s="39">
        <v>1</v>
      </c>
      <c r="N833" s="39">
        <v>159</v>
      </c>
      <c r="O833" s="35">
        <v>40</v>
      </c>
      <c r="P833" s="36">
        <v>3</v>
      </c>
      <c r="Q833" s="37">
        <v>1</v>
      </c>
    </row>
    <row r="834" spans="5:17" s="3" customFormat="1" ht="18" customHeight="1" x14ac:dyDescent="0.2">
      <c r="E834" s="39">
        <v>1</v>
      </c>
      <c r="G834" s="39">
        <v>4</v>
      </c>
      <c r="H834" s="39">
        <v>40</v>
      </c>
      <c r="J834" s="39">
        <v>40</v>
      </c>
      <c r="K834" s="39">
        <v>4</v>
      </c>
      <c r="L834" s="39">
        <v>1</v>
      </c>
      <c r="N834" s="39">
        <v>160</v>
      </c>
      <c r="O834" s="35">
        <v>40</v>
      </c>
      <c r="P834" s="36">
        <v>4</v>
      </c>
      <c r="Q834" s="37">
        <v>1</v>
      </c>
    </row>
    <row r="835" spans="5:17" s="3" customFormat="1" ht="18" customHeight="1" x14ac:dyDescent="0.2">
      <c r="E835" s="39">
        <v>0</v>
      </c>
      <c r="G835" s="39">
        <v>1</v>
      </c>
      <c r="H835" s="39">
        <v>41</v>
      </c>
      <c r="J835" s="39">
        <v>41</v>
      </c>
      <c r="K835" s="39">
        <v>1</v>
      </c>
      <c r="L835" s="39">
        <v>0</v>
      </c>
      <c r="N835" s="39">
        <v>161</v>
      </c>
      <c r="O835" s="35">
        <v>41</v>
      </c>
      <c r="P835" s="36">
        <v>1</v>
      </c>
      <c r="Q835" s="37">
        <v>0</v>
      </c>
    </row>
    <row r="836" spans="5:17" s="3" customFormat="1" ht="18" customHeight="1" x14ac:dyDescent="0.2">
      <c r="E836" s="39">
        <v>0</v>
      </c>
      <c r="G836" s="39">
        <v>2</v>
      </c>
      <c r="H836" s="39">
        <v>41</v>
      </c>
      <c r="J836" s="39">
        <v>41</v>
      </c>
      <c r="K836" s="39">
        <v>2</v>
      </c>
      <c r="L836" s="39">
        <v>0</v>
      </c>
      <c r="N836" s="39">
        <v>162</v>
      </c>
      <c r="O836" s="35">
        <v>41</v>
      </c>
      <c r="P836" s="36">
        <v>2</v>
      </c>
      <c r="Q836" s="37">
        <v>0</v>
      </c>
    </row>
    <row r="837" spans="5:17" s="3" customFormat="1" ht="18" customHeight="1" x14ac:dyDescent="0.2">
      <c r="E837" s="39">
        <v>1</v>
      </c>
      <c r="G837" s="39">
        <v>3</v>
      </c>
      <c r="H837" s="39">
        <v>41</v>
      </c>
      <c r="J837" s="39">
        <v>41</v>
      </c>
      <c r="K837" s="39">
        <v>3</v>
      </c>
      <c r="L837" s="39">
        <v>1</v>
      </c>
      <c r="N837" s="39">
        <v>163</v>
      </c>
      <c r="O837" s="35">
        <v>41</v>
      </c>
      <c r="P837" s="36">
        <v>3</v>
      </c>
      <c r="Q837" s="37">
        <v>1</v>
      </c>
    </row>
    <row r="838" spans="5:17" s="3" customFormat="1" ht="18" customHeight="1" x14ac:dyDescent="0.2">
      <c r="E838" s="39">
        <v>1</v>
      </c>
      <c r="G838" s="39">
        <v>4</v>
      </c>
      <c r="H838" s="39">
        <v>41</v>
      </c>
      <c r="J838" s="39">
        <v>41</v>
      </c>
      <c r="K838" s="39">
        <v>4</v>
      </c>
      <c r="L838" s="39">
        <v>1</v>
      </c>
      <c r="N838" s="39">
        <v>164</v>
      </c>
      <c r="O838" s="35">
        <v>41</v>
      </c>
      <c r="P838" s="36">
        <v>4</v>
      </c>
      <c r="Q838" s="37">
        <v>1</v>
      </c>
    </row>
    <row r="839" spans="5:17" s="3" customFormat="1" ht="18" customHeight="1" x14ac:dyDescent="0.2">
      <c r="E839" s="39">
        <v>0</v>
      </c>
      <c r="G839" s="39">
        <v>1</v>
      </c>
      <c r="H839" s="39">
        <v>42</v>
      </c>
      <c r="J839" s="39">
        <v>42</v>
      </c>
      <c r="K839" s="39">
        <v>1</v>
      </c>
      <c r="L839" s="39">
        <v>0</v>
      </c>
      <c r="N839" s="39">
        <v>165</v>
      </c>
      <c r="O839" s="35">
        <v>42</v>
      </c>
      <c r="P839" s="36">
        <v>1</v>
      </c>
      <c r="Q839" s="37">
        <v>0</v>
      </c>
    </row>
    <row r="840" spans="5:17" s="3" customFormat="1" ht="18" customHeight="1" x14ac:dyDescent="0.2">
      <c r="E840" s="39">
        <v>0</v>
      </c>
      <c r="G840" s="39">
        <v>2</v>
      </c>
      <c r="H840" s="39">
        <v>42</v>
      </c>
      <c r="J840" s="39">
        <v>42</v>
      </c>
      <c r="K840" s="39">
        <v>2</v>
      </c>
      <c r="L840" s="39">
        <v>0</v>
      </c>
      <c r="N840" s="39">
        <v>166</v>
      </c>
      <c r="O840" s="35">
        <v>42</v>
      </c>
      <c r="P840" s="36">
        <v>2</v>
      </c>
      <c r="Q840" s="37">
        <v>0</v>
      </c>
    </row>
    <row r="841" spans="5:17" s="3" customFormat="1" ht="18" customHeight="1" x14ac:dyDescent="0.2">
      <c r="E841" s="39">
        <v>1</v>
      </c>
      <c r="G841" s="39">
        <v>3</v>
      </c>
      <c r="H841" s="39">
        <v>42</v>
      </c>
      <c r="J841" s="39">
        <v>42</v>
      </c>
      <c r="K841" s="39">
        <v>3</v>
      </c>
      <c r="L841" s="39">
        <v>1</v>
      </c>
      <c r="N841" s="39">
        <v>167</v>
      </c>
      <c r="O841" s="35">
        <v>42</v>
      </c>
      <c r="P841" s="36">
        <v>3</v>
      </c>
      <c r="Q841" s="37">
        <v>1</v>
      </c>
    </row>
    <row r="842" spans="5:17" s="3" customFormat="1" ht="18" customHeight="1" x14ac:dyDescent="0.2">
      <c r="E842" s="39">
        <v>1</v>
      </c>
      <c r="G842" s="39">
        <v>4</v>
      </c>
      <c r="H842" s="39">
        <v>42</v>
      </c>
      <c r="J842" s="39">
        <v>42</v>
      </c>
      <c r="K842" s="39">
        <v>4</v>
      </c>
      <c r="L842" s="39">
        <v>1</v>
      </c>
      <c r="N842" s="39">
        <v>168</v>
      </c>
      <c r="O842" s="35">
        <v>42</v>
      </c>
      <c r="P842" s="36">
        <v>4</v>
      </c>
      <c r="Q842" s="37">
        <v>1</v>
      </c>
    </row>
    <row r="843" spans="5:17" s="3" customFormat="1" ht="18" customHeight="1" x14ac:dyDescent="0.2">
      <c r="E843" s="39">
        <v>0</v>
      </c>
      <c r="G843" s="39">
        <v>1</v>
      </c>
      <c r="H843" s="39">
        <v>43</v>
      </c>
      <c r="J843" s="39">
        <v>43</v>
      </c>
      <c r="K843" s="39">
        <v>1</v>
      </c>
      <c r="L843" s="39">
        <v>0</v>
      </c>
      <c r="N843" s="39">
        <v>169</v>
      </c>
      <c r="O843" s="35">
        <v>43</v>
      </c>
      <c r="P843" s="36">
        <v>1</v>
      </c>
      <c r="Q843" s="37">
        <v>0</v>
      </c>
    </row>
    <row r="844" spans="5:17" s="3" customFormat="1" ht="18" customHeight="1" x14ac:dyDescent="0.2">
      <c r="E844" s="39">
        <v>0</v>
      </c>
      <c r="G844" s="39">
        <v>2</v>
      </c>
      <c r="H844" s="39">
        <v>43</v>
      </c>
      <c r="J844" s="39">
        <v>43</v>
      </c>
      <c r="K844" s="39">
        <v>2</v>
      </c>
      <c r="L844" s="39">
        <v>0</v>
      </c>
      <c r="N844" s="39">
        <v>170</v>
      </c>
      <c r="O844" s="35">
        <v>43</v>
      </c>
      <c r="P844" s="36">
        <v>2</v>
      </c>
      <c r="Q844" s="37">
        <v>0</v>
      </c>
    </row>
    <row r="845" spans="5:17" s="3" customFormat="1" ht="18" customHeight="1" x14ac:dyDescent="0.2">
      <c r="E845" s="39">
        <v>1</v>
      </c>
      <c r="G845" s="39">
        <v>3</v>
      </c>
      <c r="H845" s="39">
        <v>43</v>
      </c>
      <c r="J845" s="39">
        <v>43</v>
      </c>
      <c r="K845" s="39">
        <v>3</v>
      </c>
      <c r="L845" s="39">
        <v>1</v>
      </c>
      <c r="N845" s="39">
        <v>171</v>
      </c>
      <c r="O845" s="35">
        <v>43</v>
      </c>
      <c r="P845" s="36">
        <v>3</v>
      </c>
      <c r="Q845" s="37">
        <v>1</v>
      </c>
    </row>
    <row r="846" spans="5:17" s="3" customFormat="1" ht="18" customHeight="1" x14ac:dyDescent="0.2">
      <c r="E846" s="39">
        <v>1</v>
      </c>
      <c r="G846" s="39">
        <v>4</v>
      </c>
      <c r="H846" s="39">
        <v>43</v>
      </c>
      <c r="J846" s="39">
        <v>43</v>
      </c>
      <c r="K846" s="39">
        <v>4</v>
      </c>
      <c r="L846" s="39">
        <v>1</v>
      </c>
      <c r="N846" s="39">
        <v>172</v>
      </c>
      <c r="O846" s="35">
        <v>43</v>
      </c>
      <c r="P846" s="36">
        <v>4</v>
      </c>
      <c r="Q846" s="37">
        <v>1</v>
      </c>
    </row>
    <row r="847" spans="5:17" s="3" customFormat="1" ht="18" customHeight="1" x14ac:dyDescent="0.2">
      <c r="E847" s="39">
        <v>1</v>
      </c>
      <c r="G847" s="39">
        <v>1</v>
      </c>
      <c r="H847" s="39">
        <v>44</v>
      </c>
      <c r="J847" s="39">
        <v>44</v>
      </c>
      <c r="K847" s="39">
        <v>1</v>
      </c>
      <c r="L847" s="39">
        <v>1</v>
      </c>
      <c r="N847" s="39">
        <v>173</v>
      </c>
      <c r="O847" s="35">
        <v>44</v>
      </c>
      <c r="P847" s="36">
        <v>1</v>
      </c>
      <c r="Q847" s="37">
        <v>1</v>
      </c>
    </row>
    <row r="848" spans="5:17" s="3" customFormat="1" ht="18" customHeight="1" x14ac:dyDescent="0.2">
      <c r="E848" s="39">
        <v>1</v>
      </c>
      <c r="G848" s="39">
        <v>2</v>
      </c>
      <c r="H848" s="39">
        <v>44</v>
      </c>
      <c r="J848" s="39">
        <v>44</v>
      </c>
      <c r="K848" s="39">
        <v>2</v>
      </c>
      <c r="L848" s="39">
        <v>1</v>
      </c>
      <c r="N848" s="39">
        <v>174</v>
      </c>
      <c r="O848" s="35">
        <v>44</v>
      </c>
      <c r="P848" s="36">
        <v>2</v>
      </c>
      <c r="Q848" s="37">
        <v>1</v>
      </c>
    </row>
    <row r="849" spans="5:17" s="3" customFormat="1" ht="18" customHeight="1" x14ac:dyDescent="0.2">
      <c r="E849" s="39">
        <v>1</v>
      </c>
      <c r="G849" s="39">
        <v>3</v>
      </c>
      <c r="H849" s="39">
        <v>44</v>
      </c>
      <c r="J849" s="39">
        <v>44</v>
      </c>
      <c r="K849" s="39">
        <v>3</v>
      </c>
      <c r="L849" s="39">
        <v>1</v>
      </c>
      <c r="N849" s="39">
        <v>175</v>
      </c>
      <c r="O849" s="35">
        <v>44</v>
      </c>
      <c r="P849" s="36">
        <v>3</v>
      </c>
      <c r="Q849" s="37">
        <v>1</v>
      </c>
    </row>
    <row r="850" spans="5:17" s="3" customFormat="1" ht="18" customHeight="1" x14ac:dyDescent="0.2">
      <c r="E850" s="39">
        <v>1</v>
      </c>
      <c r="G850" s="39">
        <v>4</v>
      </c>
      <c r="H850" s="39">
        <v>44</v>
      </c>
      <c r="J850" s="39">
        <v>44</v>
      </c>
      <c r="K850" s="39">
        <v>4</v>
      </c>
      <c r="L850" s="39">
        <v>1</v>
      </c>
      <c r="N850" s="39">
        <v>176</v>
      </c>
      <c r="O850" s="35">
        <v>44</v>
      </c>
      <c r="P850" s="36">
        <v>4</v>
      </c>
      <c r="Q850" s="37">
        <v>1</v>
      </c>
    </row>
    <row r="851" spans="5:17" s="3" customFormat="1" ht="18" customHeight="1" x14ac:dyDescent="0.2">
      <c r="E851" s="39">
        <v>0</v>
      </c>
      <c r="G851" s="39">
        <v>1</v>
      </c>
      <c r="H851" s="39">
        <v>45</v>
      </c>
      <c r="J851" s="39">
        <v>45</v>
      </c>
      <c r="K851" s="39">
        <v>1</v>
      </c>
      <c r="L851" s="39">
        <v>0</v>
      </c>
      <c r="N851" s="39">
        <v>177</v>
      </c>
      <c r="O851" s="35">
        <v>45</v>
      </c>
      <c r="P851" s="36">
        <v>1</v>
      </c>
      <c r="Q851" s="37">
        <v>0</v>
      </c>
    </row>
    <row r="852" spans="5:17" s="3" customFormat="1" ht="18" customHeight="1" x14ac:dyDescent="0.2">
      <c r="E852" s="39">
        <v>0</v>
      </c>
      <c r="G852" s="39">
        <v>2</v>
      </c>
      <c r="H852" s="39">
        <v>45</v>
      </c>
      <c r="J852" s="39">
        <v>45</v>
      </c>
      <c r="K852" s="39">
        <v>2</v>
      </c>
      <c r="L852" s="39">
        <v>0</v>
      </c>
      <c r="N852" s="39">
        <v>178</v>
      </c>
      <c r="O852" s="35">
        <v>45</v>
      </c>
      <c r="P852" s="36">
        <v>2</v>
      </c>
      <c r="Q852" s="37">
        <v>0</v>
      </c>
    </row>
    <row r="853" spans="5:17" s="3" customFormat="1" ht="18" customHeight="1" x14ac:dyDescent="0.2">
      <c r="E853" s="39">
        <v>1</v>
      </c>
      <c r="G853" s="39">
        <v>3</v>
      </c>
      <c r="H853" s="39">
        <v>45</v>
      </c>
      <c r="J853" s="39">
        <v>45</v>
      </c>
      <c r="K853" s="39">
        <v>3</v>
      </c>
      <c r="L853" s="39">
        <v>1</v>
      </c>
      <c r="N853" s="39">
        <v>179</v>
      </c>
      <c r="O853" s="35">
        <v>45</v>
      </c>
      <c r="P853" s="36">
        <v>3</v>
      </c>
      <c r="Q853" s="37">
        <v>1</v>
      </c>
    </row>
    <row r="854" spans="5:17" s="3" customFormat="1" ht="18" customHeight="1" x14ac:dyDescent="0.2">
      <c r="E854" s="39">
        <v>1</v>
      </c>
      <c r="G854" s="39">
        <v>4</v>
      </c>
      <c r="H854" s="39">
        <v>45</v>
      </c>
      <c r="J854" s="39">
        <v>45</v>
      </c>
      <c r="K854" s="39">
        <v>4</v>
      </c>
      <c r="L854" s="39">
        <v>1</v>
      </c>
      <c r="N854" s="39">
        <v>180</v>
      </c>
      <c r="O854" s="35">
        <v>45</v>
      </c>
      <c r="P854" s="36">
        <v>4</v>
      </c>
      <c r="Q854" s="37">
        <v>1</v>
      </c>
    </row>
    <row r="855" spans="5:17" s="3" customFormat="1" ht="18" customHeight="1" x14ac:dyDescent="0.2">
      <c r="E855" s="39">
        <v>0</v>
      </c>
      <c r="G855" s="39">
        <v>1</v>
      </c>
      <c r="H855" s="39">
        <v>46</v>
      </c>
      <c r="J855" s="39">
        <v>46</v>
      </c>
      <c r="K855" s="39">
        <v>1</v>
      </c>
      <c r="L855" s="39">
        <v>0</v>
      </c>
      <c r="N855" s="39">
        <v>181</v>
      </c>
      <c r="O855" s="35">
        <v>46</v>
      </c>
      <c r="P855" s="36">
        <v>1</v>
      </c>
      <c r="Q855" s="37">
        <v>0</v>
      </c>
    </row>
    <row r="856" spans="5:17" s="3" customFormat="1" ht="18" customHeight="1" x14ac:dyDescent="0.2">
      <c r="E856" s="39">
        <v>0</v>
      </c>
      <c r="G856" s="39">
        <v>2</v>
      </c>
      <c r="H856" s="39">
        <v>46</v>
      </c>
      <c r="J856" s="39">
        <v>46</v>
      </c>
      <c r="K856" s="39">
        <v>2</v>
      </c>
      <c r="L856" s="39">
        <v>0</v>
      </c>
      <c r="N856" s="39">
        <v>182</v>
      </c>
      <c r="O856" s="35">
        <v>46</v>
      </c>
      <c r="P856" s="36">
        <v>2</v>
      </c>
      <c r="Q856" s="37">
        <v>0</v>
      </c>
    </row>
    <row r="857" spans="5:17" s="3" customFormat="1" ht="18" customHeight="1" x14ac:dyDescent="0.2">
      <c r="E857" s="39">
        <v>1</v>
      </c>
      <c r="G857" s="39">
        <v>3</v>
      </c>
      <c r="H857" s="39">
        <v>46</v>
      </c>
      <c r="J857" s="39">
        <v>46</v>
      </c>
      <c r="K857" s="39">
        <v>3</v>
      </c>
      <c r="L857" s="39">
        <v>1</v>
      </c>
      <c r="N857" s="39">
        <v>183</v>
      </c>
      <c r="O857" s="35">
        <v>46</v>
      </c>
      <c r="P857" s="36">
        <v>3</v>
      </c>
      <c r="Q857" s="37">
        <v>1</v>
      </c>
    </row>
    <row r="858" spans="5:17" s="3" customFormat="1" ht="18" customHeight="1" x14ac:dyDescent="0.2">
      <c r="E858" s="39">
        <v>1</v>
      </c>
      <c r="G858" s="39">
        <v>4</v>
      </c>
      <c r="H858" s="39">
        <v>46</v>
      </c>
      <c r="J858" s="39">
        <v>46</v>
      </c>
      <c r="K858" s="39">
        <v>4</v>
      </c>
      <c r="L858" s="39">
        <v>1</v>
      </c>
      <c r="N858" s="39">
        <v>184</v>
      </c>
      <c r="O858" s="35">
        <v>46</v>
      </c>
      <c r="P858" s="36">
        <v>4</v>
      </c>
      <c r="Q858" s="37">
        <v>1</v>
      </c>
    </row>
    <row r="859" spans="5:17" s="3" customFormat="1" ht="18" customHeight="1" x14ac:dyDescent="0.2">
      <c r="E859" s="39">
        <v>0</v>
      </c>
      <c r="G859" s="39">
        <v>1</v>
      </c>
      <c r="H859" s="39">
        <v>47</v>
      </c>
      <c r="J859" s="39">
        <v>47</v>
      </c>
      <c r="K859" s="39">
        <v>1</v>
      </c>
      <c r="L859" s="39">
        <v>0</v>
      </c>
      <c r="N859" s="39">
        <v>185</v>
      </c>
      <c r="O859" s="35">
        <v>47</v>
      </c>
      <c r="P859" s="36">
        <v>1</v>
      </c>
      <c r="Q859" s="37">
        <v>0</v>
      </c>
    </row>
    <row r="860" spans="5:17" s="3" customFormat="1" ht="18" customHeight="1" x14ac:dyDescent="0.2">
      <c r="E860" s="39">
        <v>0</v>
      </c>
      <c r="G860" s="39">
        <v>2</v>
      </c>
      <c r="H860" s="39">
        <v>47</v>
      </c>
      <c r="J860" s="39">
        <v>47</v>
      </c>
      <c r="K860" s="39">
        <v>2</v>
      </c>
      <c r="L860" s="39">
        <v>0</v>
      </c>
      <c r="N860" s="39">
        <v>186</v>
      </c>
      <c r="O860" s="35">
        <v>47</v>
      </c>
      <c r="P860" s="36">
        <v>2</v>
      </c>
      <c r="Q860" s="37">
        <v>0</v>
      </c>
    </row>
    <row r="861" spans="5:17" s="3" customFormat="1" ht="18" customHeight="1" x14ac:dyDescent="0.2">
      <c r="E861" s="39">
        <v>1</v>
      </c>
      <c r="G861" s="39">
        <v>3</v>
      </c>
      <c r="H861" s="39">
        <v>47</v>
      </c>
      <c r="J861" s="39">
        <v>47</v>
      </c>
      <c r="K861" s="39">
        <v>3</v>
      </c>
      <c r="L861" s="39">
        <v>1</v>
      </c>
      <c r="N861" s="39">
        <v>187</v>
      </c>
      <c r="O861" s="35">
        <v>47</v>
      </c>
      <c r="P861" s="36">
        <v>3</v>
      </c>
      <c r="Q861" s="37">
        <v>1</v>
      </c>
    </row>
    <row r="862" spans="5:17" s="3" customFormat="1" ht="18" customHeight="1" x14ac:dyDescent="0.2">
      <c r="E862" s="39">
        <v>1</v>
      </c>
      <c r="G862" s="39">
        <v>4</v>
      </c>
      <c r="H862" s="39">
        <v>47</v>
      </c>
      <c r="J862" s="39">
        <v>47</v>
      </c>
      <c r="K862" s="39">
        <v>4</v>
      </c>
      <c r="L862" s="39">
        <v>1</v>
      </c>
      <c r="N862" s="39">
        <v>188</v>
      </c>
      <c r="O862" s="35">
        <v>47</v>
      </c>
      <c r="P862" s="36">
        <v>4</v>
      </c>
      <c r="Q862" s="37">
        <v>1</v>
      </c>
    </row>
    <row r="863" spans="5:17" s="3" customFormat="1" ht="18" customHeight="1" x14ac:dyDescent="0.2">
      <c r="E863" s="39">
        <v>0</v>
      </c>
      <c r="G863" s="39">
        <v>1</v>
      </c>
      <c r="H863" s="39">
        <v>48</v>
      </c>
      <c r="J863" s="39">
        <v>48</v>
      </c>
      <c r="K863" s="39">
        <v>1</v>
      </c>
      <c r="L863" s="39">
        <v>0</v>
      </c>
      <c r="N863" s="39">
        <v>189</v>
      </c>
      <c r="O863" s="35">
        <v>48</v>
      </c>
      <c r="P863" s="36">
        <v>1</v>
      </c>
      <c r="Q863" s="37">
        <v>0</v>
      </c>
    </row>
    <row r="864" spans="5:17" s="3" customFormat="1" ht="18" customHeight="1" x14ac:dyDescent="0.2">
      <c r="E864" s="39">
        <v>0</v>
      </c>
      <c r="G864" s="39">
        <v>2</v>
      </c>
      <c r="H864" s="39">
        <v>48</v>
      </c>
      <c r="J864" s="39">
        <v>48</v>
      </c>
      <c r="K864" s="39">
        <v>2</v>
      </c>
      <c r="L864" s="39">
        <v>0</v>
      </c>
      <c r="N864" s="39">
        <v>190</v>
      </c>
      <c r="O864" s="35">
        <v>48</v>
      </c>
      <c r="P864" s="36">
        <v>2</v>
      </c>
      <c r="Q864" s="37">
        <v>0</v>
      </c>
    </row>
    <row r="865" spans="5:17" s="3" customFormat="1" ht="18" customHeight="1" x14ac:dyDescent="0.2">
      <c r="E865" s="39">
        <v>1</v>
      </c>
      <c r="G865" s="39">
        <v>3</v>
      </c>
      <c r="H865" s="39">
        <v>48</v>
      </c>
      <c r="J865" s="39">
        <v>48</v>
      </c>
      <c r="K865" s="39">
        <v>3</v>
      </c>
      <c r="L865" s="39">
        <v>1</v>
      </c>
      <c r="N865" s="39">
        <v>191</v>
      </c>
      <c r="O865" s="35">
        <v>48</v>
      </c>
      <c r="P865" s="36">
        <v>3</v>
      </c>
      <c r="Q865" s="37">
        <v>1</v>
      </c>
    </row>
    <row r="866" spans="5:17" s="3" customFormat="1" ht="18.5" customHeight="1" x14ac:dyDescent="0.2">
      <c r="E866" s="56">
        <v>1</v>
      </c>
      <c r="G866" s="56">
        <v>4</v>
      </c>
      <c r="H866" s="56">
        <v>48</v>
      </c>
      <c r="J866" s="56">
        <v>48</v>
      </c>
      <c r="K866" s="56">
        <v>4</v>
      </c>
      <c r="L866" s="56">
        <v>1</v>
      </c>
      <c r="N866" s="56">
        <v>192</v>
      </c>
      <c r="O866" s="32">
        <v>48</v>
      </c>
      <c r="P866" s="33">
        <v>4</v>
      </c>
      <c r="Q866" s="34">
        <v>1</v>
      </c>
    </row>
  </sheetData>
  <mergeCells count="52">
    <mergeCell ref="A417:A418"/>
    <mergeCell ref="B417:B418"/>
    <mergeCell ref="C417:C418"/>
    <mergeCell ref="D417:D418"/>
    <mergeCell ref="E417:E418"/>
    <mergeCell ref="F417:F418"/>
    <mergeCell ref="G417:G418"/>
    <mergeCell ref="H417:H418"/>
    <mergeCell ref="I417:I418"/>
    <mergeCell ref="J417:J418"/>
    <mergeCell ref="K417:K418"/>
    <mergeCell ref="L417:L418"/>
    <mergeCell ref="M417:M418"/>
    <mergeCell ref="N417:N418"/>
    <mergeCell ref="O417:O418"/>
    <mergeCell ref="P417:P418"/>
    <mergeCell ref="Q417:Q418"/>
    <mergeCell ref="R417:R418"/>
    <mergeCell ref="S417:S418"/>
    <mergeCell ref="T417:T418"/>
    <mergeCell ref="U417:U418"/>
    <mergeCell ref="V417:V418"/>
    <mergeCell ref="W417:W418"/>
    <mergeCell ref="X417:X418"/>
    <mergeCell ref="AI417:AI418"/>
    <mergeCell ref="AS417:AS418"/>
    <mergeCell ref="AT417:AT418"/>
    <mergeCell ref="AU417:AU418"/>
    <mergeCell ref="AV417:AV418"/>
    <mergeCell ref="AK417:AK418"/>
    <mergeCell ref="AL417:AL418"/>
    <mergeCell ref="AM417:AM418"/>
    <mergeCell ref="AN417:AN418"/>
    <mergeCell ref="AO417:AO418"/>
    <mergeCell ref="AP417:AP418"/>
    <mergeCell ref="AR417:AR418"/>
    <mergeCell ref="B673:C673"/>
    <mergeCell ref="O673:P673"/>
    <mergeCell ref="U673:W673"/>
    <mergeCell ref="AA673:AI673"/>
    <mergeCell ref="AQ417:AQ418"/>
    <mergeCell ref="AE417:AE418"/>
    <mergeCell ref="AF417:AF418"/>
    <mergeCell ref="AG417:AG418"/>
    <mergeCell ref="AH417:AH418"/>
    <mergeCell ref="AJ417:AJ418"/>
    <mergeCell ref="Y417:Y418"/>
    <mergeCell ref="Z417:Z418"/>
    <mergeCell ref="AA417:AA418"/>
    <mergeCell ref="AB417:AB418"/>
    <mergeCell ref="AC417:AC418"/>
    <mergeCell ref="AD417:AD418"/>
  </mergeCells>
  <pageMargins left="0.75" right="0.75" top="1" bottom="1" header="0.51180599999999998" footer="0.51180599999999998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V506"/>
  <sheetViews>
    <sheetView defaultGridColor="0" topLeftCell="R83" colorId="9" workbookViewId="0">
      <selection activeCell="M122" sqref="M122"/>
    </sheetView>
  </sheetViews>
  <sheetFormatPr baseColWidth="10" defaultColWidth="13.6640625" defaultRowHeight="13" customHeight="1" x14ac:dyDescent="0.15"/>
  <cols>
    <col min="1" max="1" width="13.6640625" style="2" customWidth="1"/>
    <col min="2" max="2" width="16.83203125" style="2" customWidth="1"/>
    <col min="3" max="3" width="32.83203125" style="2" customWidth="1"/>
    <col min="4" max="4" width="13" style="2" customWidth="1"/>
    <col min="5" max="5" width="29.6640625" style="2" customWidth="1"/>
    <col min="6" max="7" width="13.6640625" style="2" customWidth="1"/>
    <col min="8" max="8" width="20" style="2" customWidth="1"/>
    <col min="9" max="9" width="23" style="2" customWidth="1"/>
    <col min="10" max="12" width="13.6640625" style="2" customWidth="1"/>
    <col min="13" max="13" width="22.83203125" style="2" customWidth="1"/>
    <col min="14" max="14" width="15.5" style="2" customWidth="1"/>
    <col min="15" max="20" width="13.6640625" style="2" customWidth="1"/>
    <col min="21" max="21" width="7.83203125" style="2" customWidth="1"/>
    <col min="22" max="22" width="82.33203125" style="2" customWidth="1"/>
    <col min="23" max="25" width="13" style="2" customWidth="1"/>
    <col min="26" max="26" width="13.6640625" style="2" customWidth="1"/>
    <col min="27" max="27" width="26" style="2" customWidth="1"/>
    <col min="28" max="28" width="19.5" style="2" customWidth="1"/>
    <col min="29" max="29" width="24.83203125" style="2" customWidth="1"/>
    <col min="30" max="30" width="26.1640625" style="2" customWidth="1"/>
    <col min="31" max="31" width="21" style="2" customWidth="1"/>
    <col min="32" max="32" width="19.5" style="2" customWidth="1"/>
    <col min="33" max="33" width="23.5" style="2" customWidth="1"/>
    <col min="34" max="34" width="13.6640625" style="2" customWidth="1"/>
    <col min="35" max="35" width="30.1640625" style="2" customWidth="1"/>
    <col min="36" max="36" width="19.5" style="2" customWidth="1"/>
    <col min="37" max="37" width="24.83203125" style="2" customWidth="1"/>
    <col min="38" max="38" width="26.1640625" style="2" customWidth="1"/>
    <col min="39" max="39" width="22.5" style="2" customWidth="1"/>
    <col min="40" max="40" width="19.5" style="2" customWidth="1"/>
    <col min="41" max="41" width="23.5" style="2" customWidth="1"/>
    <col min="42" max="42" width="13.6640625" style="2" customWidth="1"/>
    <col min="43" max="43" width="22.1640625" style="2" customWidth="1"/>
    <col min="44" max="44" width="18.1640625" style="2" customWidth="1"/>
    <col min="45" max="45" width="22.1640625" style="2" customWidth="1"/>
    <col min="46" max="46" width="24.83203125" style="2" customWidth="1"/>
    <col min="47" max="47" width="26.1640625" style="2" customWidth="1"/>
    <col min="48" max="48" width="16.83203125" style="2" customWidth="1"/>
    <col min="49" max="49" width="24.83203125" style="2" customWidth="1"/>
    <col min="50" max="50" width="51.5" style="2" customWidth="1"/>
    <col min="51" max="51" width="22" style="2" customWidth="1"/>
    <col min="52" max="52" width="9" style="2" customWidth="1"/>
    <col min="53" max="53" width="11.6640625" style="2" customWidth="1"/>
    <col min="54" max="54" width="24.83203125" style="2" customWidth="1"/>
    <col min="55" max="56" width="19.5" style="2" customWidth="1"/>
    <col min="57" max="57" width="26.1640625" style="2" customWidth="1"/>
    <col min="58" max="58" width="35.5" style="2" customWidth="1"/>
    <col min="59" max="59" width="28.83203125" style="2" customWidth="1"/>
    <col min="60" max="60" width="24.83203125" style="2" customWidth="1"/>
    <col min="61" max="61" width="42.33203125" style="2" customWidth="1"/>
    <col min="62" max="62" width="32.83203125" style="2" customWidth="1"/>
    <col min="63" max="63" width="38.1640625" style="2" customWidth="1"/>
    <col min="64" max="64" width="35.83203125" style="2" customWidth="1"/>
    <col min="65" max="136" width="13.6640625" style="2" customWidth="1"/>
    <col min="137" max="256" width="13.6640625" style="326" customWidth="1"/>
  </cols>
  <sheetData>
    <row r="2" spans="2:136" s="3" customFormat="1" ht="19" customHeight="1" x14ac:dyDescent="0.2">
      <c r="C2" s="6" t="s">
        <v>288</v>
      </c>
      <c r="D2" s="4" t="s">
        <v>289</v>
      </c>
    </row>
    <row r="3" spans="2:136" s="3" customFormat="1" ht="19" customHeight="1" x14ac:dyDescent="0.2">
      <c r="B3" s="101" t="s">
        <v>290</v>
      </c>
      <c r="C3" s="8" t="s">
        <v>105</v>
      </c>
      <c r="D3" s="9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0">
        <v>19</v>
      </c>
      <c r="W3" s="10">
        <v>20</v>
      </c>
      <c r="X3" s="10">
        <v>21</v>
      </c>
      <c r="Y3" s="10">
        <v>22</v>
      </c>
      <c r="Z3" s="10">
        <v>23</v>
      </c>
      <c r="AA3" s="10">
        <v>24</v>
      </c>
      <c r="AB3" s="10">
        <v>25</v>
      </c>
      <c r="AC3" s="10">
        <v>26</v>
      </c>
      <c r="AD3" s="10">
        <v>27</v>
      </c>
      <c r="AE3" s="10">
        <v>28</v>
      </c>
      <c r="AF3" s="10">
        <v>29</v>
      </c>
      <c r="AG3" s="10">
        <v>30</v>
      </c>
      <c r="AH3" s="10">
        <v>31</v>
      </c>
      <c r="AI3" s="10">
        <v>32</v>
      </c>
      <c r="AJ3" s="10">
        <v>33</v>
      </c>
      <c r="AK3" s="10">
        <v>34</v>
      </c>
      <c r="AL3" s="10">
        <v>35</v>
      </c>
      <c r="AM3" s="10">
        <v>36</v>
      </c>
      <c r="AN3" s="10">
        <v>37</v>
      </c>
      <c r="AO3" s="10">
        <v>38</v>
      </c>
      <c r="AP3" s="10">
        <v>39</v>
      </c>
      <c r="AQ3" s="10">
        <v>40</v>
      </c>
      <c r="AR3" s="10">
        <v>41</v>
      </c>
      <c r="AS3" s="10">
        <v>42</v>
      </c>
      <c r="AT3" s="10">
        <v>43</v>
      </c>
      <c r="AU3" s="10">
        <v>44</v>
      </c>
      <c r="AV3" s="10">
        <v>45</v>
      </c>
      <c r="AW3" s="10">
        <v>46</v>
      </c>
      <c r="AX3" s="10">
        <v>47</v>
      </c>
      <c r="AY3" s="10">
        <v>48</v>
      </c>
      <c r="AZ3" s="10">
        <v>49</v>
      </c>
      <c r="BA3" s="10">
        <v>50</v>
      </c>
      <c r="BB3" s="10">
        <v>51</v>
      </c>
      <c r="BC3" s="10">
        <v>52</v>
      </c>
      <c r="BD3" s="10">
        <v>53</v>
      </c>
      <c r="BE3" s="10">
        <v>54</v>
      </c>
      <c r="BF3" s="10">
        <v>55</v>
      </c>
      <c r="BG3" s="10">
        <v>56</v>
      </c>
      <c r="BH3" s="10">
        <v>57</v>
      </c>
      <c r="BI3" s="10">
        <v>58</v>
      </c>
      <c r="BJ3" s="10">
        <v>59</v>
      </c>
      <c r="BK3" s="10">
        <v>60</v>
      </c>
      <c r="BL3" s="10">
        <v>61</v>
      </c>
      <c r="BM3" s="10">
        <v>62</v>
      </c>
      <c r="BN3" s="10">
        <v>63</v>
      </c>
      <c r="BO3" s="10">
        <v>64</v>
      </c>
      <c r="BP3" s="10">
        <v>65</v>
      </c>
      <c r="BQ3" s="10">
        <v>66</v>
      </c>
      <c r="BR3" s="10">
        <v>67</v>
      </c>
      <c r="BS3" s="10">
        <v>68</v>
      </c>
      <c r="BT3" s="10">
        <v>69</v>
      </c>
      <c r="BU3" s="10">
        <v>70</v>
      </c>
      <c r="BV3" s="10">
        <v>71</v>
      </c>
      <c r="BW3" s="10">
        <v>72</v>
      </c>
      <c r="BX3" s="10">
        <v>73</v>
      </c>
      <c r="BY3" s="10">
        <v>74</v>
      </c>
      <c r="BZ3" s="10">
        <v>75</v>
      </c>
      <c r="CA3" s="10">
        <v>76</v>
      </c>
      <c r="CB3" s="10">
        <v>77</v>
      </c>
      <c r="CC3" s="10">
        <v>78</v>
      </c>
      <c r="CD3" s="10">
        <v>79</v>
      </c>
      <c r="CE3" s="10">
        <v>80</v>
      </c>
      <c r="CF3" s="10">
        <v>81</v>
      </c>
      <c r="CG3" s="10">
        <v>82</v>
      </c>
      <c r="CH3" s="10">
        <v>83</v>
      </c>
      <c r="CI3" s="10">
        <v>84</v>
      </c>
      <c r="CJ3" s="10">
        <v>85</v>
      </c>
      <c r="CK3" s="10">
        <v>86</v>
      </c>
      <c r="CL3" s="10">
        <v>87</v>
      </c>
      <c r="CM3" s="10">
        <v>88</v>
      </c>
      <c r="CN3" s="10">
        <v>89</v>
      </c>
      <c r="CO3" s="10">
        <v>90</v>
      </c>
      <c r="CP3" s="10">
        <v>91</v>
      </c>
      <c r="CQ3" s="10">
        <v>92</v>
      </c>
      <c r="CR3" s="10">
        <v>93</v>
      </c>
      <c r="CS3" s="10">
        <v>94</v>
      </c>
      <c r="CT3" s="10">
        <v>95</v>
      </c>
      <c r="CU3" s="10">
        <v>96</v>
      </c>
      <c r="CV3" s="10">
        <v>97</v>
      </c>
      <c r="CW3" s="10">
        <v>98</v>
      </c>
      <c r="CX3" s="10">
        <v>99</v>
      </c>
      <c r="CY3" s="10">
        <v>100</v>
      </c>
      <c r="CZ3" s="10">
        <v>101</v>
      </c>
      <c r="DA3" s="10">
        <v>102</v>
      </c>
      <c r="DB3" s="10">
        <v>103</v>
      </c>
      <c r="DC3" s="10">
        <v>104</v>
      </c>
      <c r="DD3" s="10">
        <v>105</v>
      </c>
      <c r="DE3" s="10">
        <v>106</v>
      </c>
      <c r="DF3" s="10">
        <v>107</v>
      </c>
      <c r="DG3" s="10">
        <v>108</v>
      </c>
      <c r="DH3" s="10">
        <v>109</v>
      </c>
      <c r="DI3" s="10">
        <v>110</v>
      </c>
      <c r="DJ3" s="10">
        <v>111</v>
      </c>
      <c r="DK3" s="10">
        <v>112</v>
      </c>
      <c r="DL3" s="10">
        <v>113</v>
      </c>
      <c r="DM3" s="10">
        <v>114</v>
      </c>
      <c r="DN3" s="10">
        <v>115</v>
      </c>
      <c r="DO3" s="10">
        <v>116</v>
      </c>
      <c r="DP3" s="10">
        <v>117</v>
      </c>
      <c r="DQ3" s="10">
        <v>118</v>
      </c>
      <c r="DR3" s="10">
        <v>119</v>
      </c>
      <c r="DS3" s="10">
        <v>120</v>
      </c>
      <c r="DT3" s="10">
        <v>121</v>
      </c>
      <c r="DU3" s="10">
        <v>122</v>
      </c>
      <c r="DV3" s="10">
        <v>123</v>
      </c>
      <c r="DW3" s="10">
        <v>124</v>
      </c>
      <c r="DX3" s="10">
        <v>125</v>
      </c>
      <c r="DY3" s="10">
        <v>126</v>
      </c>
      <c r="DZ3" s="10">
        <v>127</v>
      </c>
      <c r="EA3" s="10">
        <v>128</v>
      </c>
      <c r="EB3" s="10">
        <v>129</v>
      </c>
      <c r="EC3" s="10">
        <v>130</v>
      </c>
      <c r="ED3" s="10">
        <v>131</v>
      </c>
      <c r="EE3" s="10">
        <v>132</v>
      </c>
      <c r="EF3" s="11">
        <v>133</v>
      </c>
    </row>
    <row r="4" spans="2:136" s="3" customFormat="1" ht="18.5" customHeight="1" x14ac:dyDescent="0.2">
      <c r="B4" s="327">
        <v>1</v>
      </c>
      <c r="C4" s="327">
        <v>1</v>
      </c>
      <c r="D4" s="23">
        <v>1</v>
      </c>
      <c r="E4" s="24">
        <v>1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4">
        <v>0</v>
      </c>
      <c r="M4" s="24">
        <v>0</v>
      </c>
      <c r="N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24">
        <v>0</v>
      </c>
      <c r="AJ4" s="24">
        <v>0</v>
      </c>
      <c r="AK4" s="24">
        <v>0</v>
      </c>
      <c r="AL4" s="24">
        <v>0</v>
      </c>
      <c r="AM4" s="24">
        <v>0</v>
      </c>
      <c r="AN4" s="24">
        <v>0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4">
        <v>0</v>
      </c>
      <c r="AU4" s="24">
        <v>0</v>
      </c>
      <c r="AV4" s="24">
        <v>0</v>
      </c>
      <c r="AW4" s="24">
        <v>0</v>
      </c>
      <c r="AX4" s="24">
        <v>0</v>
      </c>
      <c r="AY4" s="24">
        <v>0</v>
      </c>
      <c r="AZ4" s="24">
        <v>0</v>
      </c>
      <c r="BA4" s="24">
        <v>0</v>
      </c>
      <c r="BB4" s="24">
        <v>0</v>
      </c>
      <c r="BC4" s="24">
        <v>0</v>
      </c>
      <c r="BD4" s="24">
        <v>0</v>
      </c>
      <c r="BE4" s="24">
        <v>0</v>
      </c>
      <c r="BF4" s="24">
        <v>0</v>
      </c>
      <c r="BG4" s="24">
        <v>0</v>
      </c>
      <c r="BH4" s="24">
        <v>0</v>
      </c>
      <c r="BI4" s="24">
        <v>0</v>
      </c>
      <c r="BJ4" s="24">
        <v>0</v>
      </c>
      <c r="BK4" s="24">
        <v>0</v>
      </c>
      <c r="BL4" s="24">
        <v>0</v>
      </c>
      <c r="BM4" s="24">
        <v>0</v>
      </c>
      <c r="BN4" s="24">
        <v>0</v>
      </c>
      <c r="BO4" s="24">
        <v>0</v>
      </c>
      <c r="BP4" s="24">
        <v>0</v>
      </c>
      <c r="BQ4" s="24">
        <v>0</v>
      </c>
      <c r="BR4" s="24">
        <v>0</v>
      </c>
      <c r="BS4" s="24">
        <v>0</v>
      </c>
      <c r="BT4" s="24">
        <v>0</v>
      </c>
      <c r="BU4" s="24">
        <v>0</v>
      </c>
      <c r="BV4" s="24">
        <v>0</v>
      </c>
      <c r="BW4" s="24">
        <v>0</v>
      </c>
      <c r="BX4" s="24">
        <v>0</v>
      </c>
      <c r="BY4" s="24">
        <v>0</v>
      </c>
      <c r="BZ4" s="24">
        <v>0</v>
      </c>
      <c r="CA4" s="24">
        <v>0</v>
      </c>
      <c r="CB4" s="24">
        <v>0</v>
      </c>
      <c r="CC4" s="24">
        <v>0</v>
      </c>
      <c r="CD4" s="24">
        <v>0</v>
      </c>
      <c r="CE4" s="24">
        <v>0</v>
      </c>
      <c r="CF4" s="24">
        <v>0</v>
      </c>
      <c r="CG4" s="24">
        <v>0</v>
      </c>
      <c r="CH4" s="24">
        <v>0</v>
      </c>
      <c r="CI4" s="24">
        <v>0</v>
      </c>
      <c r="CJ4" s="24">
        <v>0</v>
      </c>
      <c r="CK4" s="24">
        <v>0</v>
      </c>
      <c r="CL4" s="24">
        <v>0</v>
      </c>
      <c r="CM4" s="24">
        <v>0</v>
      </c>
      <c r="CN4" s="24">
        <v>0</v>
      </c>
      <c r="CO4" s="24">
        <v>0</v>
      </c>
      <c r="CP4" s="24">
        <v>0</v>
      </c>
      <c r="CQ4" s="24">
        <v>0</v>
      </c>
      <c r="CR4" s="24">
        <v>0</v>
      </c>
      <c r="CS4" s="24">
        <v>0</v>
      </c>
      <c r="CT4" s="24">
        <v>0</v>
      </c>
      <c r="CU4" s="24">
        <v>0</v>
      </c>
      <c r="CV4" s="24">
        <v>0</v>
      </c>
      <c r="CW4" s="24">
        <v>0</v>
      </c>
      <c r="CX4" s="24">
        <v>0</v>
      </c>
      <c r="CY4" s="24">
        <v>0</v>
      </c>
      <c r="CZ4" s="24">
        <v>0</v>
      </c>
      <c r="DA4" s="24">
        <v>0</v>
      </c>
      <c r="DB4" s="24">
        <v>0</v>
      </c>
      <c r="DC4" s="24">
        <v>0</v>
      </c>
      <c r="DD4" s="24">
        <v>0</v>
      </c>
      <c r="DE4" s="24">
        <v>0</v>
      </c>
      <c r="DF4" s="24">
        <v>0</v>
      </c>
      <c r="DG4" s="24">
        <v>0</v>
      </c>
      <c r="DH4" s="24">
        <v>0</v>
      </c>
      <c r="DI4" s="24">
        <v>0</v>
      </c>
      <c r="DJ4" s="24">
        <v>0</v>
      </c>
      <c r="DK4" s="24">
        <v>0</v>
      </c>
      <c r="DL4" s="24">
        <v>0</v>
      </c>
      <c r="DM4" s="24">
        <v>0</v>
      </c>
      <c r="DN4" s="24">
        <v>0</v>
      </c>
      <c r="DO4" s="24">
        <v>0</v>
      </c>
      <c r="DP4" s="24">
        <v>0</v>
      </c>
      <c r="DQ4" s="24">
        <v>0</v>
      </c>
      <c r="DR4" s="24">
        <v>0</v>
      </c>
      <c r="DS4" s="24">
        <v>0</v>
      </c>
      <c r="DT4" s="24">
        <v>0</v>
      </c>
      <c r="DU4" s="24">
        <v>0</v>
      </c>
      <c r="DV4" s="24">
        <v>0</v>
      </c>
      <c r="DW4" s="24">
        <v>0</v>
      </c>
      <c r="DX4" s="24">
        <v>0</v>
      </c>
      <c r="DY4" s="24">
        <v>0</v>
      </c>
      <c r="DZ4" s="24">
        <v>0</v>
      </c>
      <c r="EA4" s="24">
        <v>0</v>
      </c>
      <c r="EB4" s="24">
        <v>0</v>
      </c>
      <c r="EC4" s="24">
        <v>0</v>
      </c>
      <c r="ED4" s="24">
        <v>0</v>
      </c>
      <c r="EE4" s="24">
        <v>0</v>
      </c>
      <c r="EF4" s="25">
        <v>0</v>
      </c>
    </row>
    <row r="5" spans="2:136" s="3" customFormat="1" ht="18" customHeight="1" x14ac:dyDescent="0.2">
      <c r="B5" s="86">
        <v>2</v>
      </c>
      <c r="C5" s="86">
        <v>2</v>
      </c>
      <c r="D5" s="35">
        <v>0</v>
      </c>
      <c r="E5" s="36">
        <v>0</v>
      </c>
      <c r="F5" s="36">
        <v>1</v>
      </c>
      <c r="G5" s="36">
        <v>1</v>
      </c>
      <c r="H5" s="36">
        <v>0</v>
      </c>
      <c r="I5" s="36">
        <v>0</v>
      </c>
      <c r="J5" s="36">
        <v>0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36">
        <v>0</v>
      </c>
      <c r="R5" s="36">
        <v>0</v>
      </c>
      <c r="S5" s="36">
        <v>0</v>
      </c>
      <c r="T5" s="36">
        <v>0</v>
      </c>
      <c r="U5" s="36">
        <v>0</v>
      </c>
      <c r="V5" s="36">
        <v>0</v>
      </c>
      <c r="W5" s="36">
        <v>0</v>
      </c>
      <c r="X5" s="36">
        <v>0</v>
      </c>
      <c r="Y5" s="36">
        <v>0</v>
      </c>
      <c r="Z5" s="36">
        <v>0</v>
      </c>
      <c r="AA5" s="36">
        <v>0</v>
      </c>
      <c r="AB5" s="36">
        <v>0</v>
      </c>
      <c r="AC5" s="36">
        <v>0</v>
      </c>
      <c r="AD5" s="36">
        <v>0</v>
      </c>
      <c r="AE5" s="36">
        <v>0</v>
      </c>
      <c r="AF5" s="36">
        <v>0</v>
      </c>
      <c r="AG5" s="36">
        <v>0</v>
      </c>
      <c r="AH5" s="36">
        <v>0</v>
      </c>
      <c r="AI5" s="36">
        <v>0</v>
      </c>
      <c r="AJ5" s="36">
        <v>0</v>
      </c>
      <c r="AK5" s="36">
        <v>0</v>
      </c>
      <c r="AL5" s="36">
        <v>0</v>
      </c>
      <c r="AM5" s="36">
        <v>0</v>
      </c>
      <c r="AN5" s="36">
        <v>0</v>
      </c>
      <c r="AO5" s="36">
        <v>0</v>
      </c>
      <c r="AP5" s="36">
        <v>0</v>
      </c>
      <c r="AQ5" s="36">
        <v>0</v>
      </c>
      <c r="AR5" s="36">
        <v>0</v>
      </c>
      <c r="AS5" s="36">
        <v>0</v>
      </c>
      <c r="AT5" s="36">
        <v>0</v>
      </c>
      <c r="AU5" s="36">
        <v>0</v>
      </c>
      <c r="AV5" s="36">
        <v>0</v>
      </c>
      <c r="AW5" s="36">
        <v>0</v>
      </c>
      <c r="AX5" s="36">
        <v>0</v>
      </c>
      <c r="AY5" s="36">
        <v>0</v>
      </c>
      <c r="AZ5" s="36">
        <v>0</v>
      </c>
      <c r="BA5" s="36">
        <v>0</v>
      </c>
      <c r="BB5" s="36">
        <v>0</v>
      </c>
      <c r="BC5" s="36">
        <v>0</v>
      </c>
      <c r="BD5" s="36">
        <v>0</v>
      </c>
      <c r="BE5" s="36">
        <v>0</v>
      </c>
      <c r="BF5" s="36">
        <v>0</v>
      </c>
      <c r="BG5" s="36">
        <v>0</v>
      </c>
      <c r="BH5" s="36">
        <v>0</v>
      </c>
      <c r="BI5" s="36">
        <v>0</v>
      </c>
      <c r="BJ5" s="36">
        <v>0</v>
      </c>
      <c r="BK5" s="36">
        <v>0</v>
      </c>
      <c r="BL5" s="36">
        <v>0</v>
      </c>
      <c r="BM5" s="36">
        <v>0</v>
      </c>
      <c r="BN5" s="36">
        <v>0</v>
      </c>
      <c r="BO5" s="36">
        <v>0</v>
      </c>
      <c r="BP5" s="36">
        <v>0</v>
      </c>
      <c r="BQ5" s="36">
        <v>0</v>
      </c>
      <c r="BR5" s="36">
        <v>0</v>
      </c>
      <c r="BS5" s="36">
        <v>0</v>
      </c>
      <c r="BT5" s="36">
        <v>0</v>
      </c>
      <c r="BU5" s="36">
        <v>0</v>
      </c>
      <c r="BV5" s="36">
        <v>0</v>
      </c>
      <c r="BW5" s="36">
        <v>0</v>
      </c>
      <c r="BX5" s="36">
        <v>0</v>
      </c>
      <c r="BY5" s="36">
        <v>0</v>
      </c>
      <c r="BZ5" s="36">
        <v>0</v>
      </c>
      <c r="CA5" s="36">
        <v>0</v>
      </c>
      <c r="CB5" s="36">
        <v>0</v>
      </c>
      <c r="CC5" s="36">
        <v>0</v>
      </c>
      <c r="CD5" s="36">
        <v>0</v>
      </c>
      <c r="CE5" s="36">
        <v>0</v>
      </c>
      <c r="CF5" s="36">
        <v>0</v>
      </c>
      <c r="CG5" s="36">
        <v>0</v>
      </c>
      <c r="CH5" s="36">
        <v>0</v>
      </c>
      <c r="CI5" s="36">
        <v>0</v>
      </c>
      <c r="CJ5" s="36">
        <v>0</v>
      </c>
      <c r="CK5" s="36">
        <v>0</v>
      </c>
      <c r="CL5" s="36">
        <v>0</v>
      </c>
      <c r="CM5" s="36">
        <v>0</v>
      </c>
      <c r="CN5" s="36">
        <v>0</v>
      </c>
      <c r="CO5" s="36">
        <v>0</v>
      </c>
      <c r="CP5" s="36">
        <v>0</v>
      </c>
      <c r="CQ5" s="36">
        <v>0</v>
      </c>
      <c r="CR5" s="36">
        <v>0</v>
      </c>
      <c r="CS5" s="36">
        <v>0</v>
      </c>
      <c r="CT5" s="36">
        <v>0</v>
      </c>
      <c r="CU5" s="36">
        <v>0</v>
      </c>
      <c r="CV5" s="36">
        <v>0</v>
      </c>
      <c r="CW5" s="36">
        <v>0</v>
      </c>
      <c r="CX5" s="36">
        <v>0</v>
      </c>
      <c r="CY5" s="36">
        <v>0</v>
      </c>
      <c r="CZ5" s="36">
        <v>0</v>
      </c>
      <c r="DA5" s="36">
        <v>0</v>
      </c>
      <c r="DB5" s="36">
        <v>0</v>
      </c>
      <c r="DC5" s="36">
        <v>0</v>
      </c>
      <c r="DD5" s="36">
        <v>0</v>
      </c>
      <c r="DE5" s="36">
        <v>0</v>
      </c>
      <c r="DF5" s="36">
        <v>0</v>
      </c>
      <c r="DG5" s="36">
        <v>0</v>
      </c>
      <c r="DH5" s="36">
        <v>0</v>
      </c>
      <c r="DI5" s="36">
        <v>0</v>
      </c>
      <c r="DJ5" s="36">
        <v>0</v>
      </c>
      <c r="DK5" s="36">
        <v>0</v>
      </c>
      <c r="DL5" s="36">
        <v>0</v>
      </c>
      <c r="DM5" s="36">
        <v>0</v>
      </c>
      <c r="DN5" s="36">
        <v>0</v>
      </c>
      <c r="DO5" s="36">
        <v>0</v>
      </c>
      <c r="DP5" s="36">
        <v>0</v>
      </c>
      <c r="DQ5" s="36">
        <v>0</v>
      </c>
      <c r="DR5" s="36">
        <v>0</v>
      </c>
      <c r="DS5" s="36">
        <v>0</v>
      </c>
      <c r="DT5" s="36">
        <v>0</v>
      </c>
      <c r="DU5" s="36">
        <v>0</v>
      </c>
      <c r="DV5" s="36">
        <v>0</v>
      </c>
      <c r="DW5" s="36">
        <v>0</v>
      </c>
      <c r="DX5" s="36">
        <v>0</v>
      </c>
      <c r="DY5" s="36">
        <v>0</v>
      </c>
      <c r="DZ5" s="36">
        <v>0</v>
      </c>
      <c r="EA5" s="36">
        <v>0</v>
      </c>
      <c r="EB5" s="36">
        <v>0</v>
      </c>
      <c r="EC5" s="36">
        <v>0</v>
      </c>
      <c r="ED5" s="36">
        <v>0</v>
      </c>
      <c r="EE5" s="36">
        <v>0</v>
      </c>
      <c r="EF5" s="37">
        <v>0</v>
      </c>
    </row>
    <row r="6" spans="2:136" s="3" customFormat="1" ht="18" customHeight="1" x14ac:dyDescent="0.2">
      <c r="B6" s="86">
        <v>3</v>
      </c>
      <c r="C6" s="86">
        <v>3</v>
      </c>
      <c r="D6" s="35">
        <v>0</v>
      </c>
      <c r="E6" s="36">
        <v>0</v>
      </c>
      <c r="F6" s="36">
        <v>0</v>
      </c>
      <c r="G6" s="36">
        <v>0</v>
      </c>
      <c r="H6" s="36">
        <v>1</v>
      </c>
      <c r="I6" s="36">
        <v>1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  <c r="R6" s="36">
        <v>0</v>
      </c>
      <c r="S6" s="36">
        <v>0</v>
      </c>
      <c r="T6" s="36">
        <v>0</v>
      </c>
      <c r="U6" s="36">
        <v>0</v>
      </c>
      <c r="V6" s="36">
        <v>0</v>
      </c>
      <c r="W6" s="36">
        <v>0</v>
      </c>
      <c r="X6" s="36">
        <v>0</v>
      </c>
      <c r="Y6" s="36">
        <v>0</v>
      </c>
      <c r="Z6" s="36">
        <v>0</v>
      </c>
      <c r="AA6" s="36">
        <v>0</v>
      </c>
      <c r="AB6" s="36">
        <v>0</v>
      </c>
      <c r="AC6" s="36">
        <v>0</v>
      </c>
      <c r="AD6" s="36">
        <v>0</v>
      </c>
      <c r="AE6" s="36">
        <v>0</v>
      </c>
      <c r="AF6" s="36">
        <v>0</v>
      </c>
      <c r="AG6" s="36">
        <v>0</v>
      </c>
      <c r="AH6" s="36">
        <v>0</v>
      </c>
      <c r="AI6" s="36">
        <v>0</v>
      </c>
      <c r="AJ6" s="36">
        <v>0</v>
      </c>
      <c r="AK6" s="36">
        <v>0</v>
      </c>
      <c r="AL6" s="36">
        <v>0</v>
      </c>
      <c r="AM6" s="36">
        <v>0</v>
      </c>
      <c r="AN6" s="36">
        <v>0</v>
      </c>
      <c r="AO6" s="36">
        <v>0</v>
      </c>
      <c r="AP6" s="36">
        <v>0</v>
      </c>
      <c r="AQ6" s="36">
        <v>0</v>
      </c>
      <c r="AR6" s="36">
        <v>0</v>
      </c>
      <c r="AS6" s="36">
        <v>0</v>
      </c>
      <c r="AT6" s="36">
        <v>0</v>
      </c>
      <c r="AU6" s="36">
        <v>0</v>
      </c>
      <c r="AV6" s="36">
        <v>0</v>
      </c>
      <c r="AW6" s="36">
        <v>0</v>
      </c>
      <c r="AX6" s="36">
        <v>0</v>
      </c>
      <c r="AY6" s="36">
        <v>0</v>
      </c>
      <c r="AZ6" s="36">
        <v>0</v>
      </c>
      <c r="BA6" s="36">
        <v>0</v>
      </c>
      <c r="BB6" s="36">
        <v>0</v>
      </c>
      <c r="BC6" s="36">
        <v>0</v>
      </c>
      <c r="BD6" s="36">
        <v>0</v>
      </c>
      <c r="BE6" s="36">
        <v>0</v>
      </c>
      <c r="BF6" s="36">
        <v>0</v>
      </c>
      <c r="BG6" s="36">
        <v>0</v>
      </c>
      <c r="BH6" s="36">
        <v>0</v>
      </c>
      <c r="BI6" s="36">
        <v>0</v>
      </c>
      <c r="BJ6" s="36">
        <v>0</v>
      </c>
      <c r="BK6" s="36">
        <v>0</v>
      </c>
      <c r="BL6" s="36">
        <v>0</v>
      </c>
      <c r="BM6" s="36">
        <v>0</v>
      </c>
      <c r="BN6" s="36">
        <v>0</v>
      </c>
      <c r="BO6" s="36">
        <v>0</v>
      </c>
      <c r="BP6" s="36">
        <v>0</v>
      </c>
      <c r="BQ6" s="36">
        <v>0</v>
      </c>
      <c r="BR6" s="36">
        <v>0</v>
      </c>
      <c r="BS6" s="36">
        <v>0</v>
      </c>
      <c r="BT6" s="36">
        <v>0</v>
      </c>
      <c r="BU6" s="36">
        <v>0</v>
      </c>
      <c r="BV6" s="36">
        <v>0</v>
      </c>
      <c r="BW6" s="36">
        <v>0</v>
      </c>
      <c r="BX6" s="36">
        <v>0</v>
      </c>
      <c r="BY6" s="36">
        <v>0</v>
      </c>
      <c r="BZ6" s="36">
        <v>0</v>
      </c>
      <c r="CA6" s="36">
        <v>0</v>
      </c>
      <c r="CB6" s="36">
        <v>0</v>
      </c>
      <c r="CC6" s="36">
        <v>0</v>
      </c>
      <c r="CD6" s="36">
        <v>0</v>
      </c>
      <c r="CE6" s="36">
        <v>0</v>
      </c>
      <c r="CF6" s="36">
        <v>0</v>
      </c>
      <c r="CG6" s="36">
        <v>0</v>
      </c>
      <c r="CH6" s="36">
        <v>0</v>
      </c>
      <c r="CI6" s="36">
        <v>0</v>
      </c>
      <c r="CJ6" s="36">
        <v>0</v>
      </c>
      <c r="CK6" s="36">
        <v>0</v>
      </c>
      <c r="CL6" s="36">
        <v>0</v>
      </c>
      <c r="CM6" s="36">
        <v>0</v>
      </c>
      <c r="CN6" s="36">
        <v>0</v>
      </c>
      <c r="CO6" s="36">
        <v>0</v>
      </c>
      <c r="CP6" s="36">
        <v>0</v>
      </c>
      <c r="CQ6" s="36">
        <v>0</v>
      </c>
      <c r="CR6" s="36">
        <v>0</v>
      </c>
      <c r="CS6" s="36">
        <v>0</v>
      </c>
      <c r="CT6" s="36">
        <v>0</v>
      </c>
      <c r="CU6" s="36">
        <v>0</v>
      </c>
      <c r="CV6" s="36">
        <v>0</v>
      </c>
      <c r="CW6" s="36">
        <v>0</v>
      </c>
      <c r="CX6" s="36">
        <v>0</v>
      </c>
      <c r="CY6" s="36">
        <v>0</v>
      </c>
      <c r="CZ6" s="36">
        <v>0</v>
      </c>
      <c r="DA6" s="36">
        <v>0</v>
      </c>
      <c r="DB6" s="36">
        <v>0</v>
      </c>
      <c r="DC6" s="36">
        <v>0</v>
      </c>
      <c r="DD6" s="36">
        <v>0</v>
      </c>
      <c r="DE6" s="36">
        <v>0</v>
      </c>
      <c r="DF6" s="36">
        <v>0</v>
      </c>
      <c r="DG6" s="36">
        <v>0</v>
      </c>
      <c r="DH6" s="36">
        <v>0</v>
      </c>
      <c r="DI6" s="36">
        <v>0</v>
      </c>
      <c r="DJ6" s="36">
        <v>0</v>
      </c>
      <c r="DK6" s="36">
        <v>0</v>
      </c>
      <c r="DL6" s="36">
        <v>0</v>
      </c>
      <c r="DM6" s="36">
        <v>0</v>
      </c>
      <c r="DN6" s="36">
        <v>0</v>
      </c>
      <c r="DO6" s="36">
        <v>0</v>
      </c>
      <c r="DP6" s="36">
        <v>0</v>
      </c>
      <c r="DQ6" s="36">
        <v>0</v>
      </c>
      <c r="DR6" s="36">
        <v>0</v>
      </c>
      <c r="DS6" s="36">
        <v>0</v>
      </c>
      <c r="DT6" s="36">
        <v>0</v>
      </c>
      <c r="DU6" s="36">
        <v>0</v>
      </c>
      <c r="DV6" s="36">
        <v>0</v>
      </c>
      <c r="DW6" s="36">
        <v>0</v>
      </c>
      <c r="DX6" s="36">
        <v>0</v>
      </c>
      <c r="DY6" s="36">
        <v>0</v>
      </c>
      <c r="DZ6" s="36">
        <v>0</v>
      </c>
      <c r="EA6" s="36">
        <v>0</v>
      </c>
      <c r="EB6" s="36">
        <v>0</v>
      </c>
      <c r="EC6" s="36">
        <v>0</v>
      </c>
      <c r="ED6" s="36">
        <v>0</v>
      </c>
      <c r="EE6" s="36">
        <v>0</v>
      </c>
      <c r="EF6" s="37">
        <v>0</v>
      </c>
    </row>
    <row r="7" spans="2:136" s="3" customFormat="1" ht="18" customHeight="1" x14ac:dyDescent="0.2">
      <c r="B7" s="86">
        <v>4</v>
      </c>
      <c r="C7" s="86">
        <v>4</v>
      </c>
      <c r="D7" s="35">
        <v>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1</v>
      </c>
      <c r="K7" s="36">
        <v>1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  <c r="R7" s="36">
        <v>0</v>
      </c>
      <c r="S7" s="36">
        <v>0</v>
      </c>
      <c r="T7" s="36">
        <v>0</v>
      </c>
      <c r="U7" s="36">
        <v>0</v>
      </c>
      <c r="V7" s="36">
        <v>0</v>
      </c>
      <c r="W7" s="36">
        <v>0</v>
      </c>
      <c r="X7" s="36">
        <v>0</v>
      </c>
      <c r="Y7" s="36">
        <v>0</v>
      </c>
      <c r="Z7" s="36">
        <v>0</v>
      </c>
      <c r="AA7" s="36">
        <v>0</v>
      </c>
      <c r="AB7" s="36">
        <v>0</v>
      </c>
      <c r="AC7" s="36">
        <v>0</v>
      </c>
      <c r="AD7" s="36">
        <v>0</v>
      </c>
      <c r="AE7" s="36">
        <v>0</v>
      </c>
      <c r="AF7" s="36">
        <v>0</v>
      </c>
      <c r="AG7" s="36">
        <v>0</v>
      </c>
      <c r="AH7" s="36">
        <v>0</v>
      </c>
      <c r="AI7" s="36">
        <v>0</v>
      </c>
      <c r="AJ7" s="36">
        <v>0</v>
      </c>
      <c r="AK7" s="36">
        <v>0</v>
      </c>
      <c r="AL7" s="36">
        <v>0</v>
      </c>
      <c r="AM7" s="36">
        <v>0</v>
      </c>
      <c r="AN7" s="36">
        <v>0</v>
      </c>
      <c r="AO7" s="36">
        <v>0</v>
      </c>
      <c r="AP7" s="36">
        <v>0</v>
      </c>
      <c r="AQ7" s="36">
        <v>0</v>
      </c>
      <c r="AR7" s="36">
        <v>0</v>
      </c>
      <c r="AS7" s="36">
        <v>0</v>
      </c>
      <c r="AT7" s="36">
        <v>0</v>
      </c>
      <c r="AU7" s="36">
        <v>0</v>
      </c>
      <c r="AV7" s="36">
        <v>0</v>
      </c>
      <c r="AW7" s="36">
        <v>0</v>
      </c>
      <c r="AX7" s="36">
        <v>0</v>
      </c>
      <c r="AY7" s="36">
        <v>0</v>
      </c>
      <c r="AZ7" s="36">
        <v>0</v>
      </c>
      <c r="BA7" s="36">
        <v>0</v>
      </c>
      <c r="BB7" s="36">
        <v>0</v>
      </c>
      <c r="BC7" s="36">
        <v>0</v>
      </c>
      <c r="BD7" s="36">
        <v>0</v>
      </c>
      <c r="BE7" s="36">
        <v>0</v>
      </c>
      <c r="BF7" s="36">
        <v>0</v>
      </c>
      <c r="BG7" s="36">
        <v>0</v>
      </c>
      <c r="BH7" s="36">
        <v>0</v>
      </c>
      <c r="BI7" s="36">
        <v>0</v>
      </c>
      <c r="BJ7" s="36">
        <v>0</v>
      </c>
      <c r="BK7" s="36">
        <v>0</v>
      </c>
      <c r="BL7" s="36">
        <v>0</v>
      </c>
      <c r="BM7" s="36">
        <v>0</v>
      </c>
      <c r="BN7" s="36">
        <v>0</v>
      </c>
      <c r="BO7" s="36">
        <v>0</v>
      </c>
      <c r="BP7" s="36">
        <v>0</v>
      </c>
      <c r="BQ7" s="36">
        <v>0</v>
      </c>
      <c r="BR7" s="36">
        <v>0</v>
      </c>
      <c r="BS7" s="36">
        <v>0</v>
      </c>
      <c r="BT7" s="36">
        <v>0</v>
      </c>
      <c r="BU7" s="36">
        <v>0</v>
      </c>
      <c r="BV7" s="36">
        <v>0</v>
      </c>
      <c r="BW7" s="36">
        <v>0</v>
      </c>
      <c r="BX7" s="36">
        <v>0</v>
      </c>
      <c r="BY7" s="36">
        <v>0</v>
      </c>
      <c r="BZ7" s="36">
        <v>0</v>
      </c>
      <c r="CA7" s="36">
        <v>0</v>
      </c>
      <c r="CB7" s="36">
        <v>0</v>
      </c>
      <c r="CC7" s="36">
        <v>0</v>
      </c>
      <c r="CD7" s="36">
        <v>0</v>
      </c>
      <c r="CE7" s="36">
        <v>0</v>
      </c>
      <c r="CF7" s="36">
        <v>0</v>
      </c>
      <c r="CG7" s="36">
        <v>0</v>
      </c>
      <c r="CH7" s="36">
        <v>0</v>
      </c>
      <c r="CI7" s="36">
        <v>0</v>
      </c>
      <c r="CJ7" s="36">
        <v>0</v>
      </c>
      <c r="CK7" s="36">
        <v>0</v>
      </c>
      <c r="CL7" s="36">
        <v>0</v>
      </c>
      <c r="CM7" s="36">
        <v>0</v>
      </c>
      <c r="CN7" s="36">
        <v>0</v>
      </c>
      <c r="CO7" s="36">
        <v>0</v>
      </c>
      <c r="CP7" s="36">
        <v>0</v>
      </c>
      <c r="CQ7" s="36">
        <v>0</v>
      </c>
      <c r="CR7" s="36">
        <v>0</v>
      </c>
      <c r="CS7" s="36">
        <v>0</v>
      </c>
      <c r="CT7" s="36">
        <v>0</v>
      </c>
      <c r="CU7" s="36">
        <v>0</v>
      </c>
      <c r="CV7" s="36">
        <v>0</v>
      </c>
      <c r="CW7" s="36">
        <v>0</v>
      </c>
      <c r="CX7" s="36">
        <v>0</v>
      </c>
      <c r="CY7" s="36">
        <v>0</v>
      </c>
      <c r="CZ7" s="36">
        <v>0</v>
      </c>
      <c r="DA7" s="36">
        <v>0</v>
      </c>
      <c r="DB7" s="36">
        <v>0</v>
      </c>
      <c r="DC7" s="36">
        <v>0</v>
      </c>
      <c r="DD7" s="36">
        <v>0</v>
      </c>
      <c r="DE7" s="36">
        <v>0</v>
      </c>
      <c r="DF7" s="36">
        <v>0</v>
      </c>
      <c r="DG7" s="36">
        <v>0</v>
      </c>
      <c r="DH7" s="36">
        <v>0</v>
      </c>
      <c r="DI7" s="36">
        <v>0</v>
      </c>
      <c r="DJ7" s="36">
        <v>0</v>
      </c>
      <c r="DK7" s="36">
        <v>0</v>
      </c>
      <c r="DL7" s="36">
        <v>0</v>
      </c>
      <c r="DM7" s="36">
        <v>0</v>
      </c>
      <c r="DN7" s="36">
        <v>0</v>
      </c>
      <c r="DO7" s="36">
        <v>0</v>
      </c>
      <c r="DP7" s="36">
        <v>0</v>
      </c>
      <c r="DQ7" s="36">
        <v>0</v>
      </c>
      <c r="DR7" s="36">
        <v>0</v>
      </c>
      <c r="DS7" s="36">
        <v>0</v>
      </c>
      <c r="DT7" s="36">
        <v>0</v>
      </c>
      <c r="DU7" s="36">
        <v>0</v>
      </c>
      <c r="DV7" s="36">
        <v>0</v>
      </c>
      <c r="DW7" s="36">
        <v>0</v>
      </c>
      <c r="DX7" s="36">
        <v>0</v>
      </c>
      <c r="DY7" s="36">
        <v>0</v>
      </c>
      <c r="DZ7" s="36">
        <v>0</v>
      </c>
      <c r="EA7" s="36">
        <v>0</v>
      </c>
      <c r="EB7" s="36">
        <v>0</v>
      </c>
      <c r="EC7" s="36">
        <v>0</v>
      </c>
      <c r="ED7" s="36">
        <v>0</v>
      </c>
      <c r="EE7" s="36">
        <v>0</v>
      </c>
      <c r="EF7" s="37">
        <v>0</v>
      </c>
    </row>
    <row r="8" spans="2:136" s="3" customFormat="1" ht="18" customHeight="1" x14ac:dyDescent="0.2">
      <c r="B8" s="86">
        <v>5</v>
      </c>
      <c r="C8" s="86">
        <v>5</v>
      </c>
      <c r="D8" s="35">
        <v>0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1</v>
      </c>
      <c r="M8" s="36">
        <v>1</v>
      </c>
      <c r="N8" s="36">
        <v>0</v>
      </c>
      <c r="O8" s="36">
        <v>0</v>
      </c>
      <c r="P8" s="36">
        <v>0</v>
      </c>
      <c r="Q8" s="36">
        <v>0</v>
      </c>
      <c r="R8" s="36">
        <v>0</v>
      </c>
      <c r="S8" s="36">
        <v>0</v>
      </c>
      <c r="T8" s="36">
        <v>0</v>
      </c>
      <c r="U8" s="36">
        <v>0</v>
      </c>
      <c r="V8" s="36">
        <v>0</v>
      </c>
      <c r="W8" s="36">
        <v>0</v>
      </c>
      <c r="X8" s="36">
        <v>0</v>
      </c>
      <c r="Y8" s="36">
        <v>0</v>
      </c>
      <c r="Z8" s="3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36">
        <v>0</v>
      </c>
      <c r="AJ8" s="36">
        <v>0</v>
      </c>
      <c r="AK8" s="36">
        <v>0</v>
      </c>
      <c r="AL8" s="36">
        <v>0</v>
      </c>
      <c r="AM8" s="36">
        <v>0</v>
      </c>
      <c r="AN8" s="36">
        <v>0</v>
      </c>
      <c r="AO8" s="36">
        <v>0</v>
      </c>
      <c r="AP8" s="36">
        <v>0</v>
      </c>
      <c r="AQ8" s="36">
        <v>0</v>
      </c>
      <c r="AR8" s="36">
        <v>0</v>
      </c>
      <c r="AS8" s="36">
        <v>0</v>
      </c>
      <c r="AT8" s="36">
        <v>0</v>
      </c>
      <c r="AU8" s="36">
        <v>0</v>
      </c>
      <c r="AV8" s="36">
        <v>0</v>
      </c>
      <c r="AW8" s="36">
        <v>0</v>
      </c>
      <c r="AX8" s="36">
        <v>0</v>
      </c>
      <c r="AY8" s="36">
        <v>0</v>
      </c>
      <c r="AZ8" s="36">
        <v>0</v>
      </c>
      <c r="BA8" s="36">
        <v>0</v>
      </c>
      <c r="BB8" s="36">
        <v>0</v>
      </c>
      <c r="BC8" s="36">
        <v>0</v>
      </c>
      <c r="BD8" s="36">
        <v>0</v>
      </c>
      <c r="BE8" s="36">
        <v>0</v>
      </c>
      <c r="BF8" s="36">
        <v>0</v>
      </c>
      <c r="BG8" s="36">
        <v>0</v>
      </c>
      <c r="BH8" s="36">
        <v>0</v>
      </c>
      <c r="BI8" s="36">
        <v>0</v>
      </c>
      <c r="BJ8" s="36">
        <v>0</v>
      </c>
      <c r="BK8" s="36">
        <v>0</v>
      </c>
      <c r="BL8" s="36">
        <v>0</v>
      </c>
      <c r="BM8" s="36">
        <v>0</v>
      </c>
      <c r="BN8" s="36">
        <v>0</v>
      </c>
      <c r="BO8" s="36">
        <v>0</v>
      </c>
      <c r="BP8" s="36">
        <v>0</v>
      </c>
      <c r="BQ8" s="36">
        <v>0</v>
      </c>
      <c r="BR8" s="36">
        <v>0</v>
      </c>
      <c r="BS8" s="36">
        <v>0</v>
      </c>
      <c r="BT8" s="36">
        <v>0</v>
      </c>
      <c r="BU8" s="36">
        <v>0</v>
      </c>
      <c r="BV8" s="36">
        <v>0</v>
      </c>
      <c r="BW8" s="36">
        <v>0</v>
      </c>
      <c r="BX8" s="36">
        <v>0</v>
      </c>
      <c r="BY8" s="36">
        <v>0</v>
      </c>
      <c r="BZ8" s="36">
        <v>0</v>
      </c>
      <c r="CA8" s="36">
        <v>0</v>
      </c>
      <c r="CB8" s="36">
        <v>0</v>
      </c>
      <c r="CC8" s="36">
        <v>0</v>
      </c>
      <c r="CD8" s="36">
        <v>0</v>
      </c>
      <c r="CE8" s="36">
        <v>0</v>
      </c>
      <c r="CF8" s="36">
        <v>0</v>
      </c>
      <c r="CG8" s="36">
        <v>0</v>
      </c>
      <c r="CH8" s="36">
        <v>0</v>
      </c>
      <c r="CI8" s="36">
        <v>0</v>
      </c>
      <c r="CJ8" s="36">
        <v>0</v>
      </c>
      <c r="CK8" s="36">
        <v>0</v>
      </c>
      <c r="CL8" s="36">
        <v>0</v>
      </c>
      <c r="CM8" s="36">
        <v>0</v>
      </c>
      <c r="CN8" s="36">
        <v>0</v>
      </c>
      <c r="CO8" s="36">
        <v>0</v>
      </c>
      <c r="CP8" s="36">
        <v>0</v>
      </c>
      <c r="CQ8" s="36">
        <v>0</v>
      </c>
      <c r="CR8" s="36">
        <v>0</v>
      </c>
      <c r="CS8" s="36">
        <v>0</v>
      </c>
      <c r="CT8" s="36">
        <v>0</v>
      </c>
      <c r="CU8" s="36">
        <v>0</v>
      </c>
      <c r="CV8" s="36">
        <v>0</v>
      </c>
      <c r="CW8" s="36">
        <v>0</v>
      </c>
      <c r="CX8" s="36">
        <v>0</v>
      </c>
      <c r="CY8" s="36">
        <v>0</v>
      </c>
      <c r="CZ8" s="36">
        <v>0</v>
      </c>
      <c r="DA8" s="36">
        <v>0</v>
      </c>
      <c r="DB8" s="36">
        <v>0</v>
      </c>
      <c r="DC8" s="36">
        <v>0</v>
      </c>
      <c r="DD8" s="36">
        <v>0</v>
      </c>
      <c r="DE8" s="36">
        <v>0</v>
      </c>
      <c r="DF8" s="36">
        <v>0</v>
      </c>
      <c r="DG8" s="36">
        <v>0</v>
      </c>
      <c r="DH8" s="36">
        <v>0</v>
      </c>
      <c r="DI8" s="36">
        <v>0</v>
      </c>
      <c r="DJ8" s="36">
        <v>0</v>
      </c>
      <c r="DK8" s="36">
        <v>0</v>
      </c>
      <c r="DL8" s="36">
        <v>0</v>
      </c>
      <c r="DM8" s="36">
        <v>0</v>
      </c>
      <c r="DN8" s="36">
        <v>0</v>
      </c>
      <c r="DO8" s="36">
        <v>0</v>
      </c>
      <c r="DP8" s="36">
        <v>0</v>
      </c>
      <c r="DQ8" s="36">
        <v>0</v>
      </c>
      <c r="DR8" s="36">
        <v>0</v>
      </c>
      <c r="DS8" s="36">
        <v>0</v>
      </c>
      <c r="DT8" s="36">
        <v>0</v>
      </c>
      <c r="DU8" s="36">
        <v>0</v>
      </c>
      <c r="DV8" s="36">
        <v>0</v>
      </c>
      <c r="DW8" s="36">
        <v>0</v>
      </c>
      <c r="DX8" s="36">
        <v>0</v>
      </c>
      <c r="DY8" s="36">
        <v>0</v>
      </c>
      <c r="DZ8" s="36">
        <v>0</v>
      </c>
      <c r="EA8" s="36">
        <v>0</v>
      </c>
      <c r="EB8" s="36">
        <v>0</v>
      </c>
      <c r="EC8" s="36">
        <v>0</v>
      </c>
      <c r="ED8" s="36">
        <v>0</v>
      </c>
      <c r="EE8" s="36">
        <v>0</v>
      </c>
      <c r="EF8" s="37">
        <v>0</v>
      </c>
    </row>
    <row r="9" spans="2:136" s="3" customFormat="1" ht="18" customHeight="1" x14ac:dyDescent="0.2">
      <c r="B9" s="86">
        <v>6</v>
      </c>
      <c r="C9" s="86">
        <v>6</v>
      </c>
      <c r="D9" s="35">
        <v>0</v>
      </c>
      <c r="E9" s="36">
        <v>0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0</v>
      </c>
      <c r="N9" s="36">
        <v>1</v>
      </c>
      <c r="O9" s="36">
        <v>1</v>
      </c>
      <c r="P9" s="36">
        <v>0</v>
      </c>
      <c r="Q9" s="36">
        <v>0</v>
      </c>
      <c r="R9" s="36">
        <v>0</v>
      </c>
      <c r="S9" s="36">
        <v>0</v>
      </c>
      <c r="T9" s="36">
        <v>0</v>
      </c>
      <c r="U9" s="36">
        <v>0</v>
      </c>
      <c r="V9" s="36">
        <v>0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36">
        <v>0</v>
      </c>
      <c r="AJ9" s="36">
        <v>0</v>
      </c>
      <c r="AK9" s="36">
        <v>0</v>
      </c>
      <c r="AL9" s="36">
        <v>0</v>
      </c>
      <c r="AM9" s="36">
        <v>0</v>
      </c>
      <c r="AN9" s="36">
        <v>0</v>
      </c>
      <c r="AO9" s="36">
        <v>0</v>
      </c>
      <c r="AP9" s="36">
        <v>0</v>
      </c>
      <c r="AQ9" s="36">
        <v>0</v>
      </c>
      <c r="AR9" s="36">
        <v>0</v>
      </c>
      <c r="AS9" s="36">
        <v>0</v>
      </c>
      <c r="AT9" s="36">
        <v>0</v>
      </c>
      <c r="AU9" s="36">
        <v>0</v>
      </c>
      <c r="AV9" s="36">
        <v>0</v>
      </c>
      <c r="AW9" s="36">
        <v>0</v>
      </c>
      <c r="AX9" s="36">
        <v>0</v>
      </c>
      <c r="AY9" s="36">
        <v>0</v>
      </c>
      <c r="AZ9" s="36">
        <v>0</v>
      </c>
      <c r="BA9" s="36">
        <v>0</v>
      </c>
      <c r="BB9" s="36">
        <v>0</v>
      </c>
      <c r="BC9" s="36">
        <v>0</v>
      </c>
      <c r="BD9" s="36">
        <v>0</v>
      </c>
      <c r="BE9" s="36">
        <v>0</v>
      </c>
      <c r="BF9" s="36">
        <v>0</v>
      </c>
      <c r="BG9" s="36">
        <v>0</v>
      </c>
      <c r="BH9" s="36">
        <v>0</v>
      </c>
      <c r="BI9" s="36">
        <v>0</v>
      </c>
      <c r="BJ9" s="36">
        <v>0</v>
      </c>
      <c r="BK9" s="36">
        <v>0</v>
      </c>
      <c r="BL9" s="36">
        <v>0</v>
      </c>
      <c r="BM9" s="36">
        <v>0</v>
      </c>
      <c r="BN9" s="36">
        <v>0</v>
      </c>
      <c r="BO9" s="36">
        <v>0</v>
      </c>
      <c r="BP9" s="36">
        <v>0</v>
      </c>
      <c r="BQ9" s="36">
        <v>0</v>
      </c>
      <c r="BR9" s="36">
        <v>0</v>
      </c>
      <c r="BS9" s="36">
        <v>0</v>
      </c>
      <c r="BT9" s="36">
        <v>0</v>
      </c>
      <c r="BU9" s="36">
        <v>0</v>
      </c>
      <c r="BV9" s="36">
        <v>0</v>
      </c>
      <c r="BW9" s="36">
        <v>0</v>
      </c>
      <c r="BX9" s="36">
        <v>0</v>
      </c>
      <c r="BY9" s="36">
        <v>0</v>
      </c>
      <c r="BZ9" s="36">
        <v>0</v>
      </c>
      <c r="CA9" s="36">
        <v>0</v>
      </c>
      <c r="CB9" s="36">
        <v>0</v>
      </c>
      <c r="CC9" s="36">
        <v>0</v>
      </c>
      <c r="CD9" s="36">
        <v>0</v>
      </c>
      <c r="CE9" s="36">
        <v>0</v>
      </c>
      <c r="CF9" s="36">
        <v>0</v>
      </c>
      <c r="CG9" s="36">
        <v>0</v>
      </c>
      <c r="CH9" s="36">
        <v>0</v>
      </c>
      <c r="CI9" s="36">
        <v>0</v>
      </c>
      <c r="CJ9" s="36">
        <v>0</v>
      </c>
      <c r="CK9" s="36">
        <v>0</v>
      </c>
      <c r="CL9" s="36">
        <v>0</v>
      </c>
      <c r="CM9" s="36">
        <v>0</v>
      </c>
      <c r="CN9" s="36">
        <v>0</v>
      </c>
      <c r="CO9" s="36">
        <v>0</v>
      </c>
      <c r="CP9" s="36">
        <v>0</v>
      </c>
      <c r="CQ9" s="36">
        <v>0</v>
      </c>
      <c r="CR9" s="36">
        <v>0</v>
      </c>
      <c r="CS9" s="36">
        <v>0</v>
      </c>
      <c r="CT9" s="36">
        <v>0</v>
      </c>
      <c r="CU9" s="36">
        <v>0</v>
      </c>
      <c r="CV9" s="36">
        <v>0</v>
      </c>
      <c r="CW9" s="36">
        <v>0</v>
      </c>
      <c r="CX9" s="36">
        <v>0</v>
      </c>
      <c r="CY9" s="36">
        <v>0</v>
      </c>
      <c r="CZ9" s="36">
        <v>0</v>
      </c>
      <c r="DA9" s="36">
        <v>0</v>
      </c>
      <c r="DB9" s="36">
        <v>0</v>
      </c>
      <c r="DC9" s="36">
        <v>0</v>
      </c>
      <c r="DD9" s="36">
        <v>0</v>
      </c>
      <c r="DE9" s="36">
        <v>0</v>
      </c>
      <c r="DF9" s="36">
        <v>0</v>
      </c>
      <c r="DG9" s="36">
        <v>0</v>
      </c>
      <c r="DH9" s="36">
        <v>0</v>
      </c>
      <c r="DI9" s="36">
        <v>0</v>
      </c>
      <c r="DJ9" s="36">
        <v>0</v>
      </c>
      <c r="DK9" s="36">
        <v>0</v>
      </c>
      <c r="DL9" s="36">
        <v>0</v>
      </c>
      <c r="DM9" s="36">
        <v>0</v>
      </c>
      <c r="DN9" s="36">
        <v>0</v>
      </c>
      <c r="DO9" s="36">
        <v>0</v>
      </c>
      <c r="DP9" s="36">
        <v>0</v>
      </c>
      <c r="DQ9" s="36">
        <v>0</v>
      </c>
      <c r="DR9" s="36">
        <v>0</v>
      </c>
      <c r="DS9" s="36">
        <v>0</v>
      </c>
      <c r="DT9" s="36">
        <v>0</v>
      </c>
      <c r="DU9" s="36">
        <v>0</v>
      </c>
      <c r="DV9" s="36">
        <v>0</v>
      </c>
      <c r="DW9" s="36">
        <v>0</v>
      </c>
      <c r="DX9" s="36">
        <v>0</v>
      </c>
      <c r="DY9" s="36">
        <v>0</v>
      </c>
      <c r="DZ9" s="36">
        <v>0</v>
      </c>
      <c r="EA9" s="36">
        <v>0</v>
      </c>
      <c r="EB9" s="36">
        <v>0</v>
      </c>
      <c r="EC9" s="36">
        <v>0</v>
      </c>
      <c r="ED9" s="36">
        <v>0</v>
      </c>
      <c r="EE9" s="36">
        <v>0</v>
      </c>
      <c r="EF9" s="37">
        <v>0</v>
      </c>
    </row>
    <row r="10" spans="2:136" s="3" customFormat="1" ht="18" customHeight="1" x14ac:dyDescent="0.2">
      <c r="B10" s="86">
        <v>7</v>
      </c>
      <c r="C10" s="86">
        <v>7</v>
      </c>
      <c r="D10" s="35">
        <v>0</v>
      </c>
      <c r="E10" s="36">
        <v>0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1</v>
      </c>
      <c r="Q10" s="36">
        <v>1</v>
      </c>
      <c r="R10" s="36">
        <v>1</v>
      </c>
      <c r="S10" s="36">
        <v>0</v>
      </c>
      <c r="T10" s="36">
        <v>0</v>
      </c>
      <c r="U10" s="36">
        <v>0</v>
      </c>
      <c r="V10" s="36">
        <v>0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36">
        <v>0</v>
      </c>
      <c r="AJ10" s="36">
        <v>0</v>
      </c>
      <c r="AK10" s="36">
        <v>0</v>
      </c>
      <c r="AL10" s="36">
        <v>0</v>
      </c>
      <c r="AM10" s="36">
        <v>0</v>
      </c>
      <c r="AN10" s="36">
        <v>0</v>
      </c>
      <c r="AO10" s="36">
        <v>0</v>
      </c>
      <c r="AP10" s="36">
        <v>0</v>
      </c>
      <c r="AQ10" s="36">
        <v>0</v>
      </c>
      <c r="AR10" s="36">
        <v>0</v>
      </c>
      <c r="AS10" s="36">
        <v>0</v>
      </c>
      <c r="AT10" s="36">
        <v>0</v>
      </c>
      <c r="AU10" s="36">
        <v>0</v>
      </c>
      <c r="AV10" s="36">
        <v>0</v>
      </c>
      <c r="AW10" s="36">
        <v>0</v>
      </c>
      <c r="AX10" s="36">
        <v>0</v>
      </c>
      <c r="AY10" s="36">
        <v>0</v>
      </c>
      <c r="AZ10" s="36">
        <v>0</v>
      </c>
      <c r="BA10" s="36">
        <v>0</v>
      </c>
      <c r="BB10" s="36">
        <v>0</v>
      </c>
      <c r="BC10" s="36">
        <v>0</v>
      </c>
      <c r="BD10" s="36">
        <v>0</v>
      </c>
      <c r="BE10" s="36">
        <v>0</v>
      </c>
      <c r="BF10" s="36">
        <v>0</v>
      </c>
      <c r="BG10" s="36">
        <v>0</v>
      </c>
      <c r="BH10" s="36">
        <v>0</v>
      </c>
      <c r="BI10" s="36">
        <v>0</v>
      </c>
      <c r="BJ10" s="36">
        <v>0</v>
      </c>
      <c r="BK10" s="36">
        <v>0</v>
      </c>
      <c r="BL10" s="36">
        <v>0</v>
      </c>
      <c r="BM10" s="36">
        <v>0</v>
      </c>
      <c r="BN10" s="36">
        <v>0</v>
      </c>
      <c r="BO10" s="36">
        <v>0</v>
      </c>
      <c r="BP10" s="36">
        <v>0</v>
      </c>
      <c r="BQ10" s="36">
        <v>0</v>
      </c>
      <c r="BR10" s="36">
        <v>0</v>
      </c>
      <c r="BS10" s="36">
        <v>0</v>
      </c>
      <c r="BT10" s="36">
        <v>0</v>
      </c>
      <c r="BU10" s="36">
        <v>0</v>
      </c>
      <c r="BV10" s="36">
        <v>0</v>
      </c>
      <c r="BW10" s="36">
        <v>0</v>
      </c>
      <c r="BX10" s="36">
        <v>0</v>
      </c>
      <c r="BY10" s="36">
        <v>0</v>
      </c>
      <c r="BZ10" s="36">
        <v>0</v>
      </c>
      <c r="CA10" s="36">
        <v>0</v>
      </c>
      <c r="CB10" s="36">
        <v>0</v>
      </c>
      <c r="CC10" s="36">
        <v>0</v>
      </c>
      <c r="CD10" s="36">
        <v>0</v>
      </c>
      <c r="CE10" s="36">
        <v>0</v>
      </c>
      <c r="CF10" s="36">
        <v>0</v>
      </c>
      <c r="CG10" s="36">
        <v>0</v>
      </c>
      <c r="CH10" s="36">
        <v>0</v>
      </c>
      <c r="CI10" s="36">
        <v>0</v>
      </c>
      <c r="CJ10" s="36">
        <v>0</v>
      </c>
      <c r="CK10" s="36">
        <v>0</v>
      </c>
      <c r="CL10" s="36">
        <v>0</v>
      </c>
      <c r="CM10" s="36">
        <v>0</v>
      </c>
      <c r="CN10" s="36">
        <v>0</v>
      </c>
      <c r="CO10" s="36">
        <v>0</v>
      </c>
      <c r="CP10" s="36">
        <v>0</v>
      </c>
      <c r="CQ10" s="36">
        <v>0</v>
      </c>
      <c r="CR10" s="36">
        <v>0</v>
      </c>
      <c r="CS10" s="36">
        <v>0</v>
      </c>
      <c r="CT10" s="36">
        <v>0</v>
      </c>
      <c r="CU10" s="36">
        <v>0</v>
      </c>
      <c r="CV10" s="36">
        <v>0</v>
      </c>
      <c r="CW10" s="36">
        <v>0</v>
      </c>
      <c r="CX10" s="36">
        <v>0</v>
      </c>
      <c r="CY10" s="36">
        <v>0</v>
      </c>
      <c r="CZ10" s="36">
        <v>0</v>
      </c>
      <c r="DA10" s="36">
        <v>0</v>
      </c>
      <c r="DB10" s="36">
        <v>0</v>
      </c>
      <c r="DC10" s="36">
        <v>0</v>
      </c>
      <c r="DD10" s="36">
        <v>0</v>
      </c>
      <c r="DE10" s="36">
        <v>0</v>
      </c>
      <c r="DF10" s="36">
        <v>0</v>
      </c>
      <c r="DG10" s="36">
        <v>0</v>
      </c>
      <c r="DH10" s="36">
        <v>0</v>
      </c>
      <c r="DI10" s="36">
        <v>0</v>
      </c>
      <c r="DJ10" s="36">
        <v>0</v>
      </c>
      <c r="DK10" s="36">
        <v>0</v>
      </c>
      <c r="DL10" s="36">
        <v>0</v>
      </c>
      <c r="DM10" s="36">
        <v>0</v>
      </c>
      <c r="DN10" s="36">
        <v>0</v>
      </c>
      <c r="DO10" s="36">
        <v>0</v>
      </c>
      <c r="DP10" s="36">
        <v>0</v>
      </c>
      <c r="DQ10" s="36">
        <v>0</v>
      </c>
      <c r="DR10" s="36">
        <v>0</v>
      </c>
      <c r="DS10" s="36">
        <v>0</v>
      </c>
      <c r="DT10" s="36">
        <v>0</v>
      </c>
      <c r="DU10" s="36">
        <v>0</v>
      </c>
      <c r="DV10" s="36">
        <v>0</v>
      </c>
      <c r="DW10" s="36">
        <v>0</v>
      </c>
      <c r="DX10" s="36">
        <v>0</v>
      </c>
      <c r="DY10" s="36">
        <v>0</v>
      </c>
      <c r="DZ10" s="36">
        <v>0</v>
      </c>
      <c r="EA10" s="36">
        <v>0</v>
      </c>
      <c r="EB10" s="36">
        <v>0</v>
      </c>
      <c r="EC10" s="36">
        <v>0</v>
      </c>
      <c r="ED10" s="36">
        <v>0</v>
      </c>
      <c r="EE10" s="36">
        <v>0</v>
      </c>
      <c r="EF10" s="37">
        <v>0</v>
      </c>
    </row>
    <row r="11" spans="2:136" s="3" customFormat="1" ht="18" customHeight="1" x14ac:dyDescent="0.2">
      <c r="B11" s="86">
        <v>8</v>
      </c>
      <c r="C11" s="86">
        <v>8</v>
      </c>
      <c r="D11" s="35">
        <v>0</v>
      </c>
      <c r="E11" s="36">
        <v>0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  <c r="R11" s="36">
        <v>0</v>
      </c>
      <c r="S11" s="36">
        <v>1</v>
      </c>
      <c r="T11" s="36">
        <v>1</v>
      </c>
      <c r="U11" s="36">
        <v>1</v>
      </c>
      <c r="V11" s="36">
        <v>0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36">
        <v>0</v>
      </c>
      <c r="AJ11" s="36">
        <v>0</v>
      </c>
      <c r="AK11" s="36">
        <v>0</v>
      </c>
      <c r="AL11" s="36">
        <v>0</v>
      </c>
      <c r="AM11" s="36">
        <v>0</v>
      </c>
      <c r="AN11" s="36">
        <v>0</v>
      </c>
      <c r="AO11" s="36">
        <v>0</v>
      </c>
      <c r="AP11" s="36">
        <v>0</v>
      </c>
      <c r="AQ11" s="36">
        <v>0</v>
      </c>
      <c r="AR11" s="36">
        <v>0</v>
      </c>
      <c r="AS11" s="36">
        <v>0</v>
      </c>
      <c r="AT11" s="36">
        <v>0</v>
      </c>
      <c r="AU11" s="36">
        <v>0</v>
      </c>
      <c r="AV11" s="36">
        <v>0</v>
      </c>
      <c r="AW11" s="36">
        <v>0</v>
      </c>
      <c r="AX11" s="36">
        <v>0</v>
      </c>
      <c r="AY11" s="36">
        <v>0</v>
      </c>
      <c r="AZ11" s="36">
        <v>0</v>
      </c>
      <c r="BA11" s="36">
        <v>0</v>
      </c>
      <c r="BB11" s="36">
        <v>0</v>
      </c>
      <c r="BC11" s="36">
        <v>0</v>
      </c>
      <c r="BD11" s="36">
        <v>0</v>
      </c>
      <c r="BE11" s="36">
        <v>0</v>
      </c>
      <c r="BF11" s="36">
        <v>0</v>
      </c>
      <c r="BG11" s="36">
        <v>0</v>
      </c>
      <c r="BH11" s="36">
        <v>0</v>
      </c>
      <c r="BI11" s="36">
        <v>0</v>
      </c>
      <c r="BJ11" s="36">
        <v>0</v>
      </c>
      <c r="BK11" s="36">
        <v>0</v>
      </c>
      <c r="BL11" s="36">
        <v>0</v>
      </c>
      <c r="BM11" s="36">
        <v>0</v>
      </c>
      <c r="BN11" s="36">
        <v>0</v>
      </c>
      <c r="BO11" s="36">
        <v>0</v>
      </c>
      <c r="BP11" s="36">
        <v>0</v>
      </c>
      <c r="BQ11" s="36">
        <v>0</v>
      </c>
      <c r="BR11" s="36">
        <v>0</v>
      </c>
      <c r="BS11" s="36">
        <v>0</v>
      </c>
      <c r="BT11" s="36">
        <v>0</v>
      </c>
      <c r="BU11" s="36">
        <v>0</v>
      </c>
      <c r="BV11" s="36">
        <v>0</v>
      </c>
      <c r="BW11" s="36">
        <v>0</v>
      </c>
      <c r="BX11" s="36">
        <v>0</v>
      </c>
      <c r="BY11" s="36">
        <v>0</v>
      </c>
      <c r="BZ11" s="36">
        <v>0</v>
      </c>
      <c r="CA11" s="36">
        <v>0</v>
      </c>
      <c r="CB11" s="36">
        <v>0</v>
      </c>
      <c r="CC11" s="36">
        <v>0</v>
      </c>
      <c r="CD11" s="36">
        <v>0</v>
      </c>
      <c r="CE11" s="36">
        <v>0</v>
      </c>
      <c r="CF11" s="36">
        <v>0</v>
      </c>
      <c r="CG11" s="36">
        <v>0</v>
      </c>
      <c r="CH11" s="36">
        <v>0</v>
      </c>
      <c r="CI11" s="36">
        <v>0</v>
      </c>
      <c r="CJ11" s="36">
        <v>0</v>
      </c>
      <c r="CK11" s="36">
        <v>0</v>
      </c>
      <c r="CL11" s="36">
        <v>0</v>
      </c>
      <c r="CM11" s="36">
        <v>0</v>
      </c>
      <c r="CN11" s="36">
        <v>0</v>
      </c>
      <c r="CO11" s="36">
        <v>0</v>
      </c>
      <c r="CP11" s="36">
        <v>0</v>
      </c>
      <c r="CQ11" s="36">
        <v>0</v>
      </c>
      <c r="CR11" s="36">
        <v>0</v>
      </c>
      <c r="CS11" s="36">
        <v>0</v>
      </c>
      <c r="CT11" s="36">
        <v>0</v>
      </c>
      <c r="CU11" s="36">
        <v>0</v>
      </c>
      <c r="CV11" s="36">
        <v>0</v>
      </c>
      <c r="CW11" s="36">
        <v>0</v>
      </c>
      <c r="CX11" s="36">
        <v>0</v>
      </c>
      <c r="CY11" s="36">
        <v>0</v>
      </c>
      <c r="CZ11" s="36">
        <v>0</v>
      </c>
      <c r="DA11" s="36">
        <v>0</v>
      </c>
      <c r="DB11" s="36">
        <v>0</v>
      </c>
      <c r="DC11" s="36">
        <v>0</v>
      </c>
      <c r="DD11" s="36">
        <v>0</v>
      </c>
      <c r="DE11" s="36">
        <v>0</v>
      </c>
      <c r="DF11" s="36">
        <v>0</v>
      </c>
      <c r="DG11" s="36">
        <v>0</v>
      </c>
      <c r="DH11" s="36">
        <v>0</v>
      </c>
      <c r="DI11" s="36">
        <v>0</v>
      </c>
      <c r="DJ11" s="36">
        <v>0</v>
      </c>
      <c r="DK11" s="36">
        <v>0</v>
      </c>
      <c r="DL11" s="36">
        <v>0</v>
      </c>
      <c r="DM11" s="36">
        <v>0</v>
      </c>
      <c r="DN11" s="36">
        <v>0</v>
      </c>
      <c r="DO11" s="36">
        <v>0</v>
      </c>
      <c r="DP11" s="36">
        <v>0</v>
      </c>
      <c r="DQ11" s="36">
        <v>0</v>
      </c>
      <c r="DR11" s="36">
        <v>0</v>
      </c>
      <c r="DS11" s="36">
        <v>0</v>
      </c>
      <c r="DT11" s="36">
        <v>0</v>
      </c>
      <c r="DU11" s="36">
        <v>0</v>
      </c>
      <c r="DV11" s="36">
        <v>0</v>
      </c>
      <c r="DW11" s="36">
        <v>0</v>
      </c>
      <c r="DX11" s="36">
        <v>0</v>
      </c>
      <c r="DY11" s="36">
        <v>0</v>
      </c>
      <c r="DZ11" s="36">
        <v>0</v>
      </c>
      <c r="EA11" s="36">
        <v>0</v>
      </c>
      <c r="EB11" s="36">
        <v>0</v>
      </c>
      <c r="EC11" s="36">
        <v>0</v>
      </c>
      <c r="ED11" s="36">
        <v>0</v>
      </c>
      <c r="EE11" s="36">
        <v>0</v>
      </c>
      <c r="EF11" s="37">
        <v>0</v>
      </c>
    </row>
    <row r="12" spans="2:136" s="3" customFormat="1" ht="18" customHeight="1" x14ac:dyDescent="0.2">
      <c r="B12" s="86">
        <v>9</v>
      </c>
      <c r="C12" s="86">
        <v>9</v>
      </c>
      <c r="D12" s="35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T12" s="36">
        <v>0</v>
      </c>
      <c r="U12" s="36">
        <v>0</v>
      </c>
      <c r="V12" s="36">
        <v>1</v>
      </c>
      <c r="W12" s="36">
        <v>1</v>
      </c>
      <c r="X12" s="36">
        <v>1</v>
      </c>
      <c r="Y12" s="36">
        <v>0</v>
      </c>
      <c r="Z12" s="3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36">
        <v>0</v>
      </c>
      <c r="AJ12" s="36">
        <v>0</v>
      </c>
      <c r="AK12" s="36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36">
        <v>0</v>
      </c>
      <c r="AS12" s="36">
        <v>0</v>
      </c>
      <c r="AT12" s="36">
        <v>0</v>
      </c>
      <c r="AU12" s="36">
        <v>0</v>
      </c>
      <c r="AV12" s="36">
        <v>0</v>
      </c>
      <c r="AW12" s="36">
        <v>0</v>
      </c>
      <c r="AX12" s="36">
        <v>0</v>
      </c>
      <c r="AY12" s="36">
        <v>0</v>
      </c>
      <c r="AZ12" s="36">
        <v>0</v>
      </c>
      <c r="BA12" s="36">
        <v>0</v>
      </c>
      <c r="BB12" s="36">
        <v>0</v>
      </c>
      <c r="BC12" s="36">
        <v>0</v>
      </c>
      <c r="BD12" s="36">
        <v>0</v>
      </c>
      <c r="BE12" s="36">
        <v>0</v>
      </c>
      <c r="BF12" s="36">
        <v>0</v>
      </c>
      <c r="BG12" s="36">
        <v>0</v>
      </c>
      <c r="BH12" s="36">
        <v>0</v>
      </c>
      <c r="BI12" s="36">
        <v>0</v>
      </c>
      <c r="BJ12" s="36">
        <v>0</v>
      </c>
      <c r="BK12" s="36">
        <v>0</v>
      </c>
      <c r="BL12" s="36">
        <v>0</v>
      </c>
      <c r="BM12" s="36">
        <v>0</v>
      </c>
      <c r="BN12" s="36">
        <v>0</v>
      </c>
      <c r="BO12" s="36">
        <v>0</v>
      </c>
      <c r="BP12" s="36">
        <v>0</v>
      </c>
      <c r="BQ12" s="36">
        <v>0</v>
      </c>
      <c r="BR12" s="36">
        <v>0</v>
      </c>
      <c r="BS12" s="36">
        <v>0</v>
      </c>
      <c r="BT12" s="36">
        <v>0</v>
      </c>
      <c r="BU12" s="36">
        <v>0</v>
      </c>
      <c r="BV12" s="36">
        <v>0</v>
      </c>
      <c r="BW12" s="36">
        <v>0</v>
      </c>
      <c r="BX12" s="36">
        <v>0</v>
      </c>
      <c r="BY12" s="36">
        <v>0</v>
      </c>
      <c r="BZ12" s="36">
        <v>0</v>
      </c>
      <c r="CA12" s="36">
        <v>0</v>
      </c>
      <c r="CB12" s="36">
        <v>0</v>
      </c>
      <c r="CC12" s="36">
        <v>0</v>
      </c>
      <c r="CD12" s="36">
        <v>0</v>
      </c>
      <c r="CE12" s="36">
        <v>0</v>
      </c>
      <c r="CF12" s="36">
        <v>0</v>
      </c>
      <c r="CG12" s="36">
        <v>0</v>
      </c>
      <c r="CH12" s="36">
        <v>0</v>
      </c>
      <c r="CI12" s="36">
        <v>0</v>
      </c>
      <c r="CJ12" s="36">
        <v>0</v>
      </c>
      <c r="CK12" s="36">
        <v>0</v>
      </c>
      <c r="CL12" s="36">
        <v>0</v>
      </c>
      <c r="CM12" s="36">
        <v>0</v>
      </c>
      <c r="CN12" s="36">
        <v>0</v>
      </c>
      <c r="CO12" s="36">
        <v>0</v>
      </c>
      <c r="CP12" s="36">
        <v>0</v>
      </c>
      <c r="CQ12" s="36">
        <v>0</v>
      </c>
      <c r="CR12" s="36">
        <v>0</v>
      </c>
      <c r="CS12" s="36">
        <v>0</v>
      </c>
      <c r="CT12" s="36">
        <v>0</v>
      </c>
      <c r="CU12" s="36">
        <v>0</v>
      </c>
      <c r="CV12" s="36">
        <v>0</v>
      </c>
      <c r="CW12" s="36">
        <v>0</v>
      </c>
      <c r="CX12" s="36">
        <v>0</v>
      </c>
      <c r="CY12" s="36">
        <v>0</v>
      </c>
      <c r="CZ12" s="36">
        <v>0</v>
      </c>
      <c r="DA12" s="36">
        <v>0</v>
      </c>
      <c r="DB12" s="36">
        <v>0</v>
      </c>
      <c r="DC12" s="36">
        <v>0</v>
      </c>
      <c r="DD12" s="36">
        <v>0</v>
      </c>
      <c r="DE12" s="36">
        <v>0</v>
      </c>
      <c r="DF12" s="36">
        <v>0</v>
      </c>
      <c r="DG12" s="36">
        <v>0</v>
      </c>
      <c r="DH12" s="36">
        <v>0</v>
      </c>
      <c r="DI12" s="36">
        <v>0</v>
      </c>
      <c r="DJ12" s="36">
        <v>0</v>
      </c>
      <c r="DK12" s="36">
        <v>0</v>
      </c>
      <c r="DL12" s="36">
        <v>0</v>
      </c>
      <c r="DM12" s="36">
        <v>0</v>
      </c>
      <c r="DN12" s="36">
        <v>0</v>
      </c>
      <c r="DO12" s="36">
        <v>0</v>
      </c>
      <c r="DP12" s="36">
        <v>0</v>
      </c>
      <c r="DQ12" s="36">
        <v>0</v>
      </c>
      <c r="DR12" s="36">
        <v>0</v>
      </c>
      <c r="DS12" s="36">
        <v>0</v>
      </c>
      <c r="DT12" s="36">
        <v>0</v>
      </c>
      <c r="DU12" s="36">
        <v>0</v>
      </c>
      <c r="DV12" s="36">
        <v>0</v>
      </c>
      <c r="DW12" s="36">
        <v>0</v>
      </c>
      <c r="DX12" s="36">
        <v>0</v>
      </c>
      <c r="DY12" s="36">
        <v>0</v>
      </c>
      <c r="DZ12" s="36">
        <v>0</v>
      </c>
      <c r="EA12" s="36">
        <v>0</v>
      </c>
      <c r="EB12" s="36">
        <v>0</v>
      </c>
      <c r="EC12" s="36">
        <v>0</v>
      </c>
      <c r="ED12" s="36">
        <v>0</v>
      </c>
      <c r="EE12" s="36">
        <v>0</v>
      </c>
      <c r="EF12" s="37">
        <v>0</v>
      </c>
    </row>
    <row r="13" spans="2:136" s="3" customFormat="1" ht="18" customHeight="1" x14ac:dyDescent="0.2">
      <c r="B13" s="86">
        <v>10</v>
      </c>
      <c r="C13" s="86">
        <v>10</v>
      </c>
      <c r="D13" s="3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1</v>
      </c>
      <c r="Z13" s="36">
        <v>1</v>
      </c>
      <c r="AA13" s="36">
        <v>1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  <c r="AI13" s="36">
        <v>0</v>
      </c>
      <c r="AJ13" s="36">
        <v>0</v>
      </c>
      <c r="AK13" s="36">
        <v>0</v>
      </c>
      <c r="AL13" s="36">
        <v>0</v>
      </c>
      <c r="AM13" s="36">
        <v>0</v>
      </c>
      <c r="AN13" s="36">
        <v>0</v>
      </c>
      <c r="AO13" s="36">
        <v>0</v>
      </c>
      <c r="AP13" s="36">
        <v>0</v>
      </c>
      <c r="AQ13" s="36">
        <v>0</v>
      </c>
      <c r="AR13" s="36">
        <v>0</v>
      </c>
      <c r="AS13" s="36">
        <v>0</v>
      </c>
      <c r="AT13" s="36">
        <v>0</v>
      </c>
      <c r="AU13" s="36">
        <v>0</v>
      </c>
      <c r="AV13" s="36">
        <v>0</v>
      </c>
      <c r="AW13" s="36">
        <v>0</v>
      </c>
      <c r="AX13" s="36">
        <v>0</v>
      </c>
      <c r="AY13" s="36">
        <v>0</v>
      </c>
      <c r="AZ13" s="36">
        <v>0</v>
      </c>
      <c r="BA13" s="36">
        <v>0</v>
      </c>
      <c r="BB13" s="36">
        <v>0</v>
      </c>
      <c r="BC13" s="36">
        <v>0</v>
      </c>
      <c r="BD13" s="36">
        <v>0</v>
      </c>
      <c r="BE13" s="36">
        <v>0</v>
      </c>
      <c r="BF13" s="36">
        <v>0</v>
      </c>
      <c r="BG13" s="36">
        <v>0</v>
      </c>
      <c r="BH13" s="36">
        <v>0</v>
      </c>
      <c r="BI13" s="36">
        <v>0</v>
      </c>
      <c r="BJ13" s="36">
        <v>0</v>
      </c>
      <c r="BK13" s="36">
        <v>0</v>
      </c>
      <c r="BL13" s="36">
        <v>0</v>
      </c>
      <c r="BM13" s="36">
        <v>0</v>
      </c>
      <c r="BN13" s="36">
        <v>0</v>
      </c>
      <c r="BO13" s="36">
        <v>0</v>
      </c>
      <c r="BP13" s="36">
        <v>0</v>
      </c>
      <c r="BQ13" s="36">
        <v>0</v>
      </c>
      <c r="BR13" s="36">
        <v>0</v>
      </c>
      <c r="BS13" s="36">
        <v>0</v>
      </c>
      <c r="BT13" s="36">
        <v>0</v>
      </c>
      <c r="BU13" s="36">
        <v>0</v>
      </c>
      <c r="BV13" s="36">
        <v>0</v>
      </c>
      <c r="BW13" s="36">
        <v>0</v>
      </c>
      <c r="BX13" s="36">
        <v>0</v>
      </c>
      <c r="BY13" s="36">
        <v>0</v>
      </c>
      <c r="BZ13" s="36">
        <v>0</v>
      </c>
      <c r="CA13" s="36">
        <v>0</v>
      </c>
      <c r="CB13" s="36">
        <v>0</v>
      </c>
      <c r="CC13" s="36">
        <v>0</v>
      </c>
      <c r="CD13" s="36">
        <v>0</v>
      </c>
      <c r="CE13" s="36">
        <v>0</v>
      </c>
      <c r="CF13" s="36">
        <v>0</v>
      </c>
      <c r="CG13" s="36">
        <v>0</v>
      </c>
      <c r="CH13" s="36">
        <v>0</v>
      </c>
      <c r="CI13" s="36">
        <v>0</v>
      </c>
      <c r="CJ13" s="36">
        <v>0</v>
      </c>
      <c r="CK13" s="36">
        <v>0</v>
      </c>
      <c r="CL13" s="36">
        <v>0</v>
      </c>
      <c r="CM13" s="36">
        <v>0</v>
      </c>
      <c r="CN13" s="36">
        <v>0</v>
      </c>
      <c r="CO13" s="36">
        <v>0</v>
      </c>
      <c r="CP13" s="36">
        <v>0</v>
      </c>
      <c r="CQ13" s="36">
        <v>0</v>
      </c>
      <c r="CR13" s="36">
        <v>0</v>
      </c>
      <c r="CS13" s="36">
        <v>0</v>
      </c>
      <c r="CT13" s="36">
        <v>0</v>
      </c>
      <c r="CU13" s="36">
        <v>0</v>
      </c>
      <c r="CV13" s="36">
        <v>0</v>
      </c>
      <c r="CW13" s="36">
        <v>0</v>
      </c>
      <c r="CX13" s="36">
        <v>0</v>
      </c>
      <c r="CY13" s="36">
        <v>0</v>
      </c>
      <c r="CZ13" s="36">
        <v>0</v>
      </c>
      <c r="DA13" s="36">
        <v>0</v>
      </c>
      <c r="DB13" s="36">
        <v>0</v>
      </c>
      <c r="DC13" s="36">
        <v>0</v>
      </c>
      <c r="DD13" s="36">
        <v>0</v>
      </c>
      <c r="DE13" s="36">
        <v>0</v>
      </c>
      <c r="DF13" s="36">
        <v>0</v>
      </c>
      <c r="DG13" s="36">
        <v>0</v>
      </c>
      <c r="DH13" s="36">
        <v>0</v>
      </c>
      <c r="DI13" s="36">
        <v>0</v>
      </c>
      <c r="DJ13" s="36">
        <v>0</v>
      </c>
      <c r="DK13" s="36">
        <v>0</v>
      </c>
      <c r="DL13" s="36">
        <v>0</v>
      </c>
      <c r="DM13" s="36">
        <v>0</v>
      </c>
      <c r="DN13" s="36">
        <v>0</v>
      </c>
      <c r="DO13" s="36">
        <v>0</v>
      </c>
      <c r="DP13" s="36">
        <v>0</v>
      </c>
      <c r="DQ13" s="36">
        <v>0</v>
      </c>
      <c r="DR13" s="36">
        <v>0</v>
      </c>
      <c r="DS13" s="36">
        <v>0</v>
      </c>
      <c r="DT13" s="36">
        <v>0</v>
      </c>
      <c r="DU13" s="36">
        <v>0</v>
      </c>
      <c r="DV13" s="36">
        <v>0</v>
      </c>
      <c r="DW13" s="36">
        <v>0</v>
      </c>
      <c r="DX13" s="36">
        <v>0</v>
      </c>
      <c r="DY13" s="36">
        <v>0</v>
      </c>
      <c r="DZ13" s="36">
        <v>0</v>
      </c>
      <c r="EA13" s="36">
        <v>0</v>
      </c>
      <c r="EB13" s="36">
        <v>0</v>
      </c>
      <c r="EC13" s="36">
        <v>0</v>
      </c>
      <c r="ED13" s="36">
        <v>0</v>
      </c>
      <c r="EE13" s="36">
        <v>0</v>
      </c>
      <c r="EF13" s="37">
        <v>0</v>
      </c>
    </row>
    <row r="14" spans="2:136" s="3" customFormat="1" ht="18" customHeight="1" x14ac:dyDescent="0.2">
      <c r="B14" s="86">
        <v>11</v>
      </c>
      <c r="C14" s="86">
        <v>11</v>
      </c>
      <c r="D14" s="35">
        <v>0</v>
      </c>
      <c r="E14" s="36">
        <v>0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36">
        <v>0</v>
      </c>
      <c r="Y14" s="36">
        <v>0</v>
      </c>
      <c r="Z14" s="36">
        <v>0</v>
      </c>
      <c r="AA14" s="36">
        <v>0</v>
      </c>
      <c r="AB14" s="36">
        <v>1</v>
      </c>
      <c r="AC14" s="36">
        <v>1</v>
      </c>
      <c r="AD14" s="36">
        <v>1</v>
      </c>
      <c r="AE14" s="36">
        <v>0</v>
      </c>
      <c r="AF14" s="36">
        <v>0</v>
      </c>
      <c r="AG14" s="36">
        <v>0</v>
      </c>
      <c r="AH14" s="36">
        <v>0</v>
      </c>
      <c r="AI14" s="36">
        <v>0</v>
      </c>
      <c r="AJ14" s="36">
        <v>0</v>
      </c>
      <c r="AK14" s="36">
        <v>0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36">
        <v>0</v>
      </c>
      <c r="AS14" s="36">
        <v>0</v>
      </c>
      <c r="AT14" s="36">
        <v>0</v>
      </c>
      <c r="AU14" s="36">
        <v>0</v>
      </c>
      <c r="AV14" s="36">
        <v>0</v>
      </c>
      <c r="AW14" s="36">
        <v>0</v>
      </c>
      <c r="AX14" s="36">
        <v>0</v>
      </c>
      <c r="AY14" s="36">
        <v>0</v>
      </c>
      <c r="AZ14" s="36">
        <v>0</v>
      </c>
      <c r="BA14" s="36">
        <v>0</v>
      </c>
      <c r="BB14" s="36">
        <v>0</v>
      </c>
      <c r="BC14" s="36">
        <v>0</v>
      </c>
      <c r="BD14" s="36">
        <v>0</v>
      </c>
      <c r="BE14" s="36">
        <v>0</v>
      </c>
      <c r="BF14" s="36">
        <v>0</v>
      </c>
      <c r="BG14" s="36">
        <v>0</v>
      </c>
      <c r="BH14" s="36">
        <v>0</v>
      </c>
      <c r="BI14" s="36">
        <v>0</v>
      </c>
      <c r="BJ14" s="36">
        <v>0</v>
      </c>
      <c r="BK14" s="36">
        <v>0</v>
      </c>
      <c r="BL14" s="36">
        <v>0</v>
      </c>
      <c r="BM14" s="36">
        <v>0</v>
      </c>
      <c r="BN14" s="36">
        <v>0</v>
      </c>
      <c r="BO14" s="36">
        <v>0</v>
      </c>
      <c r="BP14" s="36">
        <v>0</v>
      </c>
      <c r="BQ14" s="36">
        <v>0</v>
      </c>
      <c r="BR14" s="36">
        <v>0</v>
      </c>
      <c r="BS14" s="36">
        <v>0</v>
      </c>
      <c r="BT14" s="36">
        <v>0</v>
      </c>
      <c r="BU14" s="36">
        <v>0</v>
      </c>
      <c r="BV14" s="36">
        <v>0</v>
      </c>
      <c r="BW14" s="36">
        <v>0</v>
      </c>
      <c r="BX14" s="36">
        <v>0</v>
      </c>
      <c r="BY14" s="36">
        <v>0</v>
      </c>
      <c r="BZ14" s="36">
        <v>0</v>
      </c>
      <c r="CA14" s="36">
        <v>0</v>
      </c>
      <c r="CB14" s="36">
        <v>0</v>
      </c>
      <c r="CC14" s="36">
        <v>0</v>
      </c>
      <c r="CD14" s="36">
        <v>0</v>
      </c>
      <c r="CE14" s="36">
        <v>0</v>
      </c>
      <c r="CF14" s="36">
        <v>0</v>
      </c>
      <c r="CG14" s="36">
        <v>0</v>
      </c>
      <c r="CH14" s="36">
        <v>0</v>
      </c>
      <c r="CI14" s="36">
        <v>0</v>
      </c>
      <c r="CJ14" s="36">
        <v>0</v>
      </c>
      <c r="CK14" s="36">
        <v>0</v>
      </c>
      <c r="CL14" s="36">
        <v>0</v>
      </c>
      <c r="CM14" s="36">
        <v>0</v>
      </c>
      <c r="CN14" s="36">
        <v>0</v>
      </c>
      <c r="CO14" s="36">
        <v>0</v>
      </c>
      <c r="CP14" s="36">
        <v>0</v>
      </c>
      <c r="CQ14" s="36">
        <v>0</v>
      </c>
      <c r="CR14" s="36">
        <v>0</v>
      </c>
      <c r="CS14" s="36">
        <v>0</v>
      </c>
      <c r="CT14" s="36">
        <v>0</v>
      </c>
      <c r="CU14" s="36">
        <v>0</v>
      </c>
      <c r="CV14" s="36">
        <v>0</v>
      </c>
      <c r="CW14" s="36">
        <v>0</v>
      </c>
      <c r="CX14" s="36">
        <v>0</v>
      </c>
      <c r="CY14" s="36">
        <v>0</v>
      </c>
      <c r="CZ14" s="36">
        <v>0</v>
      </c>
      <c r="DA14" s="36">
        <v>0</v>
      </c>
      <c r="DB14" s="36">
        <v>0</v>
      </c>
      <c r="DC14" s="36">
        <v>0</v>
      </c>
      <c r="DD14" s="36">
        <v>0</v>
      </c>
      <c r="DE14" s="36">
        <v>0</v>
      </c>
      <c r="DF14" s="36">
        <v>0</v>
      </c>
      <c r="DG14" s="36">
        <v>0</v>
      </c>
      <c r="DH14" s="36">
        <v>0</v>
      </c>
      <c r="DI14" s="36">
        <v>0</v>
      </c>
      <c r="DJ14" s="36">
        <v>0</v>
      </c>
      <c r="DK14" s="36">
        <v>0</v>
      </c>
      <c r="DL14" s="36">
        <v>0</v>
      </c>
      <c r="DM14" s="36">
        <v>0</v>
      </c>
      <c r="DN14" s="36">
        <v>0</v>
      </c>
      <c r="DO14" s="36">
        <v>0</v>
      </c>
      <c r="DP14" s="36">
        <v>0</v>
      </c>
      <c r="DQ14" s="36">
        <v>0</v>
      </c>
      <c r="DR14" s="36">
        <v>0</v>
      </c>
      <c r="DS14" s="36">
        <v>0</v>
      </c>
      <c r="DT14" s="36">
        <v>0</v>
      </c>
      <c r="DU14" s="36">
        <v>0</v>
      </c>
      <c r="DV14" s="36">
        <v>0</v>
      </c>
      <c r="DW14" s="36">
        <v>0</v>
      </c>
      <c r="DX14" s="36">
        <v>0</v>
      </c>
      <c r="DY14" s="36">
        <v>0</v>
      </c>
      <c r="DZ14" s="36">
        <v>0</v>
      </c>
      <c r="EA14" s="36">
        <v>0</v>
      </c>
      <c r="EB14" s="36">
        <v>0</v>
      </c>
      <c r="EC14" s="36">
        <v>0</v>
      </c>
      <c r="ED14" s="36">
        <v>0</v>
      </c>
      <c r="EE14" s="36">
        <v>0</v>
      </c>
      <c r="EF14" s="37">
        <v>0</v>
      </c>
    </row>
    <row r="15" spans="2:136" s="3" customFormat="1" ht="18" customHeight="1" x14ac:dyDescent="0.2">
      <c r="B15" s="86">
        <v>12</v>
      </c>
      <c r="C15" s="86">
        <v>12</v>
      </c>
      <c r="D15" s="35">
        <v>0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  <c r="R15" s="36">
        <v>0</v>
      </c>
      <c r="S15" s="36">
        <v>0</v>
      </c>
      <c r="T15" s="36">
        <v>0</v>
      </c>
      <c r="U15" s="36">
        <v>0</v>
      </c>
      <c r="V15" s="36">
        <v>0</v>
      </c>
      <c r="W15" s="36">
        <v>0</v>
      </c>
      <c r="X15" s="36">
        <v>0</v>
      </c>
      <c r="Y15" s="36">
        <v>0</v>
      </c>
      <c r="Z15" s="36">
        <v>0</v>
      </c>
      <c r="AA15" s="36">
        <v>0</v>
      </c>
      <c r="AB15" s="36">
        <v>0</v>
      </c>
      <c r="AC15" s="36">
        <v>0</v>
      </c>
      <c r="AD15" s="36">
        <v>0</v>
      </c>
      <c r="AE15" s="36">
        <v>1</v>
      </c>
      <c r="AF15" s="36">
        <v>1</v>
      </c>
      <c r="AG15" s="36">
        <v>1</v>
      </c>
      <c r="AH15" s="36">
        <v>0</v>
      </c>
      <c r="AI15" s="36">
        <v>0</v>
      </c>
      <c r="AJ15" s="36">
        <v>0</v>
      </c>
      <c r="AK15" s="36">
        <v>0</v>
      </c>
      <c r="AL15" s="36">
        <v>0</v>
      </c>
      <c r="AM15" s="36">
        <v>0</v>
      </c>
      <c r="AN15" s="36">
        <v>0</v>
      </c>
      <c r="AO15" s="36">
        <v>0</v>
      </c>
      <c r="AP15" s="36">
        <v>0</v>
      </c>
      <c r="AQ15" s="36">
        <v>0</v>
      </c>
      <c r="AR15" s="36">
        <v>0</v>
      </c>
      <c r="AS15" s="36">
        <v>0</v>
      </c>
      <c r="AT15" s="36">
        <v>0</v>
      </c>
      <c r="AU15" s="36">
        <v>0</v>
      </c>
      <c r="AV15" s="36">
        <v>0</v>
      </c>
      <c r="AW15" s="36">
        <v>0</v>
      </c>
      <c r="AX15" s="36">
        <v>0</v>
      </c>
      <c r="AY15" s="36">
        <v>0</v>
      </c>
      <c r="AZ15" s="36">
        <v>0</v>
      </c>
      <c r="BA15" s="36">
        <v>0</v>
      </c>
      <c r="BB15" s="36">
        <v>0</v>
      </c>
      <c r="BC15" s="36">
        <v>0</v>
      </c>
      <c r="BD15" s="36">
        <v>0</v>
      </c>
      <c r="BE15" s="36">
        <v>0</v>
      </c>
      <c r="BF15" s="36">
        <v>0</v>
      </c>
      <c r="BG15" s="36">
        <v>0</v>
      </c>
      <c r="BH15" s="36">
        <v>0</v>
      </c>
      <c r="BI15" s="36">
        <v>0</v>
      </c>
      <c r="BJ15" s="36">
        <v>0</v>
      </c>
      <c r="BK15" s="36">
        <v>0</v>
      </c>
      <c r="BL15" s="36">
        <v>0</v>
      </c>
      <c r="BM15" s="36">
        <v>0</v>
      </c>
      <c r="BN15" s="36">
        <v>0</v>
      </c>
      <c r="BO15" s="36">
        <v>0</v>
      </c>
      <c r="BP15" s="36">
        <v>0</v>
      </c>
      <c r="BQ15" s="36">
        <v>0</v>
      </c>
      <c r="BR15" s="36">
        <v>0</v>
      </c>
      <c r="BS15" s="36">
        <v>0</v>
      </c>
      <c r="BT15" s="36">
        <v>0</v>
      </c>
      <c r="BU15" s="36">
        <v>0</v>
      </c>
      <c r="BV15" s="36">
        <v>0</v>
      </c>
      <c r="BW15" s="36">
        <v>0</v>
      </c>
      <c r="BX15" s="36">
        <v>0</v>
      </c>
      <c r="BY15" s="36">
        <v>0</v>
      </c>
      <c r="BZ15" s="36">
        <v>0</v>
      </c>
      <c r="CA15" s="36">
        <v>0</v>
      </c>
      <c r="CB15" s="36">
        <v>0</v>
      </c>
      <c r="CC15" s="36">
        <v>0</v>
      </c>
      <c r="CD15" s="36">
        <v>0</v>
      </c>
      <c r="CE15" s="36">
        <v>0</v>
      </c>
      <c r="CF15" s="36">
        <v>0</v>
      </c>
      <c r="CG15" s="36">
        <v>0</v>
      </c>
      <c r="CH15" s="36">
        <v>0</v>
      </c>
      <c r="CI15" s="36">
        <v>0</v>
      </c>
      <c r="CJ15" s="36">
        <v>0</v>
      </c>
      <c r="CK15" s="36">
        <v>0</v>
      </c>
      <c r="CL15" s="36">
        <v>0</v>
      </c>
      <c r="CM15" s="36">
        <v>0</v>
      </c>
      <c r="CN15" s="36">
        <v>0</v>
      </c>
      <c r="CO15" s="36">
        <v>0</v>
      </c>
      <c r="CP15" s="36">
        <v>0</v>
      </c>
      <c r="CQ15" s="36">
        <v>0</v>
      </c>
      <c r="CR15" s="36">
        <v>0</v>
      </c>
      <c r="CS15" s="36">
        <v>0</v>
      </c>
      <c r="CT15" s="36">
        <v>0</v>
      </c>
      <c r="CU15" s="36">
        <v>0</v>
      </c>
      <c r="CV15" s="36">
        <v>0</v>
      </c>
      <c r="CW15" s="36">
        <v>0</v>
      </c>
      <c r="CX15" s="36">
        <v>0</v>
      </c>
      <c r="CY15" s="36">
        <v>0</v>
      </c>
      <c r="CZ15" s="36">
        <v>0</v>
      </c>
      <c r="DA15" s="36">
        <v>0</v>
      </c>
      <c r="DB15" s="36">
        <v>0</v>
      </c>
      <c r="DC15" s="36">
        <v>0</v>
      </c>
      <c r="DD15" s="36">
        <v>0</v>
      </c>
      <c r="DE15" s="36">
        <v>0</v>
      </c>
      <c r="DF15" s="36">
        <v>0</v>
      </c>
      <c r="DG15" s="36">
        <v>0</v>
      </c>
      <c r="DH15" s="36">
        <v>0</v>
      </c>
      <c r="DI15" s="36">
        <v>0</v>
      </c>
      <c r="DJ15" s="36">
        <v>0</v>
      </c>
      <c r="DK15" s="36">
        <v>0</v>
      </c>
      <c r="DL15" s="36">
        <v>0</v>
      </c>
      <c r="DM15" s="36">
        <v>0</v>
      </c>
      <c r="DN15" s="36">
        <v>0</v>
      </c>
      <c r="DO15" s="36">
        <v>0</v>
      </c>
      <c r="DP15" s="36">
        <v>0</v>
      </c>
      <c r="DQ15" s="36">
        <v>0</v>
      </c>
      <c r="DR15" s="36">
        <v>0</v>
      </c>
      <c r="DS15" s="36">
        <v>0</v>
      </c>
      <c r="DT15" s="36">
        <v>0</v>
      </c>
      <c r="DU15" s="36">
        <v>0</v>
      </c>
      <c r="DV15" s="36">
        <v>0</v>
      </c>
      <c r="DW15" s="36">
        <v>0</v>
      </c>
      <c r="DX15" s="36">
        <v>0</v>
      </c>
      <c r="DY15" s="36">
        <v>0</v>
      </c>
      <c r="DZ15" s="36">
        <v>0</v>
      </c>
      <c r="EA15" s="36">
        <v>0</v>
      </c>
      <c r="EB15" s="36">
        <v>0</v>
      </c>
      <c r="EC15" s="36">
        <v>0</v>
      </c>
      <c r="ED15" s="36">
        <v>0</v>
      </c>
      <c r="EE15" s="36">
        <v>0</v>
      </c>
      <c r="EF15" s="37">
        <v>0</v>
      </c>
    </row>
    <row r="16" spans="2:136" s="3" customFormat="1" ht="18" customHeight="1" x14ac:dyDescent="0.2">
      <c r="B16" s="86">
        <v>13</v>
      </c>
      <c r="C16" s="86">
        <v>13</v>
      </c>
      <c r="D16" s="35">
        <v>0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  <c r="R16" s="36">
        <v>0</v>
      </c>
      <c r="S16" s="36">
        <v>0</v>
      </c>
      <c r="T16" s="36">
        <v>0</v>
      </c>
      <c r="U16" s="36">
        <v>0</v>
      </c>
      <c r="V16" s="36">
        <v>0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6">
        <v>0</v>
      </c>
      <c r="AH16" s="36">
        <v>1</v>
      </c>
      <c r="AI16" s="36">
        <v>1</v>
      </c>
      <c r="AJ16" s="36">
        <v>1</v>
      </c>
      <c r="AK16" s="36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36">
        <v>0</v>
      </c>
      <c r="AS16" s="36">
        <v>0</v>
      </c>
      <c r="AT16" s="36">
        <v>0</v>
      </c>
      <c r="AU16" s="36">
        <v>0</v>
      </c>
      <c r="AV16" s="36">
        <v>0</v>
      </c>
      <c r="AW16" s="36">
        <v>0</v>
      </c>
      <c r="AX16" s="36">
        <v>0</v>
      </c>
      <c r="AY16" s="36">
        <v>0</v>
      </c>
      <c r="AZ16" s="36">
        <v>0</v>
      </c>
      <c r="BA16" s="36">
        <v>0</v>
      </c>
      <c r="BB16" s="36">
        <v>0</v>
      </c>
      <c r="BC16" s="36">
        <v>0</v>
      </c>
      <c r="BD16" s="36">
        <v>0</v>
      </c>
      <c r="BE16" s="36">
        <v>0</v>
      </c>
      <c r="BF16" s="36">
        <v>0</v>
      </c>
      <c r="BG16" s="36">
        <v>0</v>
      </c>
      <c r="BH16" s="36">
        <v>0</v>
      </c>
      <c r="BI16" s="36">
        <v>0</v>
      </c>
      <c r="BJ16" s="36">
        <v>0</v>
      </c>
      <c r="BK16" s="36">
        <v>0</v>
      </c>
      <c r="BL16" s="36">
        <v>0</v>
      </c>
      <c r="BM16" s="36">
        <v>0</v>
      </c>
      <c r="BN16" s="36">
        <v>0</v>
      </c>
      <c r="BO16" s="36">
        <v>0</v>
      </c>
      <c r="BP16" s="36">
        <v>0</v>
      </c>
      <c r="BQ16" s="36">
        <v>0</v>
      </c>
      <c r="BR16" s="36">
        <v>0</v>
      </c>
      <c r="BS16" s="36">
        <v>0</v>
      </c>
      <c r="BT16" s="36">
        <v>0</v>
      </c>
      <c r="BU16" s="36">
        <v>0</v>
      </c>
      <c r="BV16" s="36">
        <v>0</v>
      </c>
      <c r="BW16" s="36">
        <v>0</v>
      </c>
      <c r="BX16" s="36">
        <v>0</v>
      </c>
      <c r="BY16" s="36">
        <v>0</v>
      </c>
      <c r="BZ16" s="36">
        <v>0</v>
      </c>
      <c r="CA16" s="36">
        <v>0</v>
      </c>
      <c r="CB16" s="36">
        <v>0</v>
      </c>
      <c r="CC16" s="36">
        <v>0</v>
      </c>
      <c r="CD16" s="36">
        <v>0</v>
      </c>
      <c r="CE16" s="36">
        <v>0</v>
      </c>
      <c r="CF16" s="36">
        <v>0</v>
      </c>
      <c r="CG16" s="36">
        <v>0</v>
      </c>
      <c r="CH16" s="36">
        <v>0</v>
      </c>
      <c r="CI16" s="36">
        <v>0</v>
      </c>
      <c r="CJ16" s="36">
        <v>0</v>
      </c>
      <c r="CK16" s="36">
        <v>0</v>
      </c>
      <c r="CL16" s="36">
        <v>0</v>
      </c>
      <c r="CM16" s="36">
        <v>0</v>
      </c>
      <c r="CN16" s="36">
        <v>0</v>
      </c>
      <c r="CO16" s="36">
        <v>0</v>
      </c>
      <c r="CP16" s="36">
        <v>0</v>
      </c>
      <c r="CQ16" s="36">
        <v>0</v>
      </c>
      <c r="CR16" s="36">
        <v>0</v>
      </c>
      <c r="CS16" s="36">
        <v>0</v>
      </c>
      <c r="CT16" s="36">
        <v>0</v>
      </c>
      <c r="CU16" s="36">
        <v>0</v>
      </c>
      <c r="CV16" s="36">
        <v>0</v>
      </c>
      <c r="CW16" s="36">
        <v>0</v>
      </c>
      <c r="CX16" s="36">
        <v>0</v>
      </c>
      <c r="CY16" s="36">
        <v>0</v>
      </c>
      <c r="CZ16" s="36">
        <v>0</v>
      </c>
      <c r="DA16" s="36">
        <v>0</v>
      </c>
      <c r="DB16" s="36">
        <v>0</v>
      </c>
      <c r="DC16" s="36">
        <v>0</v>
      </c>
      <c r="DD16" s="36">
        <v>0</v>
      </c>
      <c r="DE16" s="36">
        <v>0</v>
      </c>
      <c r="DF16" s="36">
        <v>0</v>
      </c>
      <c r="DG16" s="36">
        <v>0</v>
      </c>
      <c r="DH16" s="36">
        <v>0</v>
      </c>
      <c r="DI16" s="36">
        <v>0</v>
      </c>
      <c r="DJ16" s="36">
        <v>0</v>
      </c>
      <c r="DK16" s="36">
        <v>0</v>
      </c>
      <c r="DL16" s="36">
        <v>0</v>
      </c>
      <c r="DM16" s="36">
        <v>0</v>
      </c>
      <c r="DN16" s="36">
        <v>0</v>
      </c>
      <c r="DO16" s="36">
        <v>0</v>
      </c>
      <c r="DP16" s="36">
        <v>0</v>
      </c>
      <c r="DQ16" s="36">
        <v>0</v>
      </c>
      <c r="DR16" s="36">
        <v>0</v>
      </c>
      <c r="DS16" s="36">
        <v>0</v>
      </c>
      <c r="DT16" s="36">
        <v>0</v>
      </c>
      <c r="DU16" s="36">
        <v>0</v>
      </c>
      <c r="DV16" s="36">
        <v>0</v>
      </c>
      <c r="DW16" s="36">
        <v>0</v>
      </c>
      <c r="DX16" s="36">
        <v>0</v>
      </c>
      <c r="DY16" s="36">
        <v>0</v>
      </c>
      <c r="DZ16" s="36">
        <v>0</v>
      </c>
      <c r="EA16" s="36">
        <v>0</v>
      </c>
      <c r="EB16" s="36">
        <v>0</v>
      </c>
      <c r="EC16" s="36">
        <v>0</v>
      </c>
      <c r="ED16" s="36">
        <v>0</v>
      </c>
      <c r="EE16" s="36">
        <v>0</v>
      </c>
      <c r="EF16" s="37">
        <v>0</v>
      </c>
    </row>
    <row r="17" spans="1:136" s="3" customFormat="1" ht="18" customHeight="1" x14ac:dyDescent="0.2">
      <c r="B17" s="86">
        <v>14</v>
      </c>
      <c r="C17" s="86">
        <v>14</v>
      </c>
      <c r="D17" s="35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D17" s="36">
        <v>0</v>
      </c>
      <c r="AE17" s="36">
        <v>0</v>
      </c>
      <c r="AF17" s="36">
        <v>0</v>
      </c>
      <c r="AG17" s="36">
        <v>0</v>
      </c>
      <c r="AH17" s="36">
        <v>0</v>
      </c>
      <c r="AI17" s="36">
        <v>0</v>
      </c>
      <c r="AJ17" s="36">
        <v>0</v>
      </c>
      <c r="AK17" s="36">
        <v>1</v>
      </c>
      <c r="AL17" s="36">
        <v>1</v>
      </c>
      <c r="AM17" s="36">
        <v>1</v>
      </c>
      <c r="AN17" s="36">
        <v>0</v>
      </c>
      <c r="AO17" s="36">
        <v>0</v>
      </c>
      <c r="AP17" s="36">
        <v>0</v>
      </c>
      <c r="AQ17" s="36">
        <v>0</v>
      </c>
      <c r="AR17" s="36">
        <v>0</v>
      </c>
      <c r="AS17" s="36">
        <v>0</v>
      </c>
      <c r="AT17" s="36">
        <v>0</v>
      </c>
      <c r="AU17" s="36">
        <v>0</v>
      </c>
      <c r="AV17" s="36">
        <v>0</v>
      </c>
      <c r="AW17" s="36">
        <v>0</v>
      </c>
      <c r="AX17" s="36">
        <v>0</v>
      </c>
      <c r="AY17" s="36">
        <v>0</v>
      </c>
      <c r="AZ17" s="36">
        <v>0</v>
      </c>
      <c r="BA17" s="36">
        <v>0</v>
      </c>
      <c r="BB17" s="36">
        <v>0</v>
      </c>
      <c r="BC17" s="36">
        <v>0</v>
      </c>
      <c r="BD17" s="36">
        <v>0</v>
      </c>
      <c r="BE17" s="36">
        <v>0</v>
      </c>
      <c r="BF17" s="36">
        <v>0</v>
      </c>
      <c r="BG17" s="36">
        <v>0</v>
      </c>
      <c r="BH17" s="36">
        <v>0</v>
      </c>
      <c r="BI17" s="36">
        <v>0</v>
      </c>
      <c r="BJ17" s="36">
        <v>0</v>
      </c>
      <c r="BK17" s="36">
        <v>0</v>
      </c>
      <c r="BL17" s="36">
        <v>0</v>
      </c>
      <c r="BM17" s="36">
        <v>0</v>
      </c>
      <c r="BN17" s="36">
        <v>0</v>
      </c>
      <c r="BO17" s="36">
        <v>0</v>
      </c>
      <c r="BP17" s="36">
        <v>0</v>
      </c>
      <c r="BQ17" s="36">
        <v>0</v>
      </c>
      <c r="BR17" s="36">
        <v>0</v>
      </c>
      <c r="BS17" s="36">
        <v>0</v>
      </c>
      <c r="BT17" s="36">
        <v>0</v>
      </c>
      <c r="BU17" s="36">
        <v>0</v>
      </c>
      <c r="BV17" s="36">
        <v>0</v>
      </c>
      <c r="BW17" s="36">
        <v>0</v>
      </c>
      <c r="BX17" s="36">
        <v>0</v>
      </c>
      <c r="BY17" s="36">
        <v>0</v>
      </c>
      <c r="BZ17" s="36">
        <v>0</v>
      </c>
      <c r="CA17" s="36">
        <v>0</v>
      </c>
      <c r="CB17" s="36">
        <v>0</v>
      </c>
      <c r="CC17" s="36">
        <v>0</v>
      </c>
      <c r="CD17" s="36">
        <v>0</v>
      </c>
      <c r="CE17" s="36">
        <v>0</v>
      </c>
      <c r="CF17" s="36">
        <v>0</v>
      </c>
      <c r="CG17" s="36">
        <v>0</v>
      </c>
      <c r="CH17" s="36">
        <v>0</v>
      </c>
      <c r="CI17" s="36">
        <v>0</v>
      </c>
      <c r="CJ17" s="36">
        <v>0</v>
      </c>
      <c r="CK17" s="36">
        <v>0</v>
      </c>
      <c r="CL17" s="36">
        <v>0</v>
      </c>
      <c r="CM17" s="36">
        <v>0</v>
      </c>
      <c r="CN17" s="36">
        <v>0</v>
      </c>
      <c r="CO17" s="36">
        <v>0</v>
      </c>
      <c r="CP17" s="36">
        <v>0</v>
      </c>
      <c r="CQ17" s="36">
        <v>0</v>
      </c>
      <c r="CR17" s="36">
        <v>0</v>
      </c>
      <c r="CS17" s="36">
        <v>0</v>
      </c>
      <c r="CT17" s="36">
        <v>0</v>
      </c>
      <c r="CU17" s="36">
        <v>0</v>
      </c>
      <c r="CV17" s="36">
        <v>0</v>
      </c>
      <c r="CW17" s="36">
        <v>0</v>
      </c>
      <c r="CX17" s="36">
        <v>0</v>
      </c>
      <c r="CY17" s="36">
        <v>0</v>
      </c>
      <c r="CZ17" s="36">
        <v>0</v>
      </c>
      <c r="DA17" s="36">
        <v>0</v>
      </c>
      <c r="DB17" s="36">
        <v>0</v>
      </c>
      <c r="DC17" s="36">
        <v>0</v>
      </c>
      <c r="DD17" s="36">
        <v>0</v>
      </c>
      <c r="DE17" s="36">
        <v>0</v>
      </c>
      <c r="DF17" s="36">
        <v>0</v>
      </c>
      <c r="DG17" s="36">
        <v>0</v>
      </c>
      <c r="DH17" s="36">
        <v>0</v>
      </c>
      <c r="DI17" s="36">
        <v>0</v>
      </c>
      <c r="DJ17" s="36">
        <v>0</v>
      </c>
      <c r="DK17" s="36">
        <v>0</v>
      </c>
      <c r="DL17" s="36">
        <v>0</v>
      </c>
      <c r="DM17" s="36">
        <v>0</v>
      </c>
      <c r="DN17" s="36">
        <v>0</v>
      </c>
      <c r="DO17" s="36">
        <v>0</v>
      </c>
      <c r="DP17" s="36">
        <v>0</v>
      </c>
      <c r="DQ17" s="36">
        <v>0</v>
      </c>
      <c r="DR17" s="36">
        <v>0</v>
      </c>
      <c r="DS17" s="36">
        <v>0</v>
      </c>
      <c r="DT17" s="36">
        <v>0</v>
      </c>
      <c r="DU17" s="36">
        <v>0</v>
      </c>
      <c r="DV17" s="36">
        <v>0</v>
      </c>
      <c r="DW17" s="36">
        <v>0</v>
      </c>
      <c r="DX17" s="36">
        <v>0</v>
      </c>
      <c r="DY17" s="36">
        <v>0</v>
      </c>
      <c r="DZ17" s="36">
        <v>0</v>
      </c>
      <c r="EA17" s="36">
        <v>0</v>
      </c>
      <c r="EB17" s="36">
        <v>0</v>
      </c>
      <c r="EC17" s="36">
        <v>0</v>
      </c>
      <c r="ED17" s="36">
        <v>0</v>
      </c>
      <c r="EE17" s="36">
        <v>0</v>
      </c>
      <c r="EF17" s="37">
        <v>0</v>
      </c>
    </row>
    <row r="18" spans="1:136" s="3" customFormat="1" ht="18" customHeight="1" x14ac:dyDescent="0.2">
      <c r="B18" s="86">
        <v>15</v>
      </c>
      <c r="C18" s="86">
        <v>15</v>
      </c>
      <c r="D18" s="35">
        <v>0</v>
      </c>
      <c r="E18" s="36">
        <v>0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  <c r="R18" s="36">
        <v>0</v>
      </c>
      <c r="S18" s="36">
        <v>0</v>
      </c>
      <c r="T18" s="36">
        <v>0</v>
      </c>
      <c r="U18" s="36">
        <v>0</v>
      </c>
      <c r="V18" s="36">
        <v>0</v>
      </c>
      <c r="W18" s="36">
        <v>0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D18" s="36">
        <v>0</v>
      </c>
      <c r="AE18" s="36">
        <v>0</v>
      </c>
      <c r="AF18" s="36">
        <v>0</v>
      </c>
      <c r="AG18" s="36">
        <v>0</v>
      </c>
      <c r="AH18" s="36">
        <v>0</v>
      </c>
      <c r="AI18" s="36">
        <v>0</v>
      </c>
      <c r="AJ18" s="36">
        <v>0</v>
      </c>
      <c r="AK18" s="36">
        <v>0</v>
      </c>
      <c r="AL18" s="36">
        <v>0</v>
      </c>
      <c r="AM18" s="36">
        <v>0</v>
      </c>
      <c r="AN18" s="36">
        <v>1</v>
      </c>
      <c r="AO18" s="36">
        <v>1</v>
      </c>
      <c r="AP18" s="36">
        <v>1</v>
      </c>
      <c r="AQ18" s="36">
        <v>0</v>
      </c>
      <c r="AR18" s="36">
        <v>0</v>
      </c>
      <c r="AS18" s="36">
        <v>0</v>
      </c>
      <c r="AT18" s="36">
        <v>0</v>
      </c>
      <c r="AU18" s="36">
        <v>0</v>
      </c>
      <c r="AV18" s="36">
        <v>0</v>
      </c>
      <c r="AW18" s="36">
        <v>0</v>
      </c>
      <c r="AX18" s="36">
        <v>0</v>
      </c>
      <c r="AY18" s="36">
        <v>0</v>
      </c>
      <c r="AZ18" s="36">
        <v>0</v>
      </c>
      <c r="BA18" s="36">
        <v>0</v>
      </c>
      <c r="BB18" s="36">
        <v>0</v>
      </c>
      <c r="BC18" s="36">
        <v>0</v>
      </c>
      <c r="BD18" s="36">
        <v>0</v>
      </c>
      <c r="BE18" s="36">
        <v>0</v>
      </c>
      <c r="BF18" s="36">
        <v>0</v>
      </c>
      <c r="BG18" s="36">
        <v>0</v>
      </c>
      <c r="BH18" s="36">
        <v>0</v>
      </c>
      <c r="BI18" s="36">
        <v>0</v>
      </c>
      <c r="BJ18" s="36">
        <v>0</v>
      </c>
      <c r="BK18" s="36">
        <v>0</v>
      </c>
      <c r="BL18" s="36">
        <v>0</v>
      </c>
      <c r="BM18" s="36">
        <v>0</v>
      </c>
      <c r="BN18" s="36">
        <v>0</v>
      </c>
      <c r="BO18" s="36">
        <v>0</v>
      </c>
      <c r="BP18" s="36">
        <v>0</v>
      </c>
      <c r="BQ18" s="36">
        <v>0</v>
      </c>
      <c r="BR18" s="36">
        <v>0</v>
      </c>
      <c r="BS18" s="36">
        <v>0</v>
      </c>
      <c r="BT18" s="36">
        <v>0</v>
      </c>
      <c r="BU18" s="36">
        <v>0</v>
      </c>
      <c r="BV18" s="36">
        <v>0</v>
      </c>
      <c r="BW18" s="36">
        <v>0</v>
      </c>
      <c r="BX18" s="36">
        <v>0</v>
      </c>
      <c r="BY18" s="36">
        <v>0</v>
      </c>
      <c r="BZ18" s="36">
        <v>0</v>
      </c>
      <c r="CA18" s="36">
        <v>0</v>
      </c>
      <c r="CB18" s="36">
        <v>0</v>
      </c>
      <c r="CC18" s="36">
        <v>0</v>
      </c>
      <c r="CD18" s="36">
        <v>0</v>
      </c>
      <c r="CE18" s="36">
        <v>0</v>
      </c>
      <c r="CF18" s="36">
        <v>0</v>
      </c>
      <c r="CG18" s="36">
        <v>0</v>
      </c>
      <c r="CH18" s="36">
        <v>0</v>
      </c>
      <c r="CI18" s="36">
        <v>0</v>
      </c>
      <c r="CJ18" s="36">
        <v>0</v>
      </c>
      <c r="CK18" s="36">
        <v>0</v>
      </c>
      <c r="CL18" s="36">
        <v>0</v>
      </c>
      <c r="CM18" s="36">
        <v>0</v>
      </c>
      <c r="CN18" s="36">
        <v>0</v>
      </c>
      <c r="CO18" s="36">
        <v>0</v>
      </c>
      <c r="CP18" s="36">
        <v>0</v>
      </c>
      <c r="CQ18" s="36">
        <v>0</v>
      </c>
      <c r="CR18" s="36">
        <v>0</v>
      </c>
      <c r="CS18" s="36">
        <v>0</v>
      </c>
      <c r="CT18" s="36">
        <v>0</v>
      </c>
      <c r="CU18" s="36">
        <v>0</v>
      </c>
      <c r="CV18" s="36">
        <v>0</v>
      </c>
      <c r="CW18" s="36">
        <v>0</v>
      </c>
      <c r="CX18" s="36">
        <v>0</v>
      </c>
      <c r="CY18" s="36">
        <v>0</v>
      </c>
      <c r="CZ18" s="36">
        <v>0</v>
      </c>
      <c r="DA18" s="36">
        <v>0</v>
      </c>
      <c r="DB18" s="36">
        <v>0</v>
      </c>
      <c r="DC18" s="36">
        <v>0</v>
      </c>
      <c r="DD18" s="36">
        <v>0</v>
      </c>
      <c r="DE18" s="36">
        <v>0</v>
      </c>
      <c r="DF18" s="36">
        <v>0</v>
      </c>
      <c r="DG18" s="36">
        <v>0</v>
      </c>
      <c r="DH18" s="36">
        <v>0</v>
      </c>
      <c r="DI18" s="36">
        <v>0</v>
      </c>
      <c r="DJ18" s="36">
        <v>0</v>
      </c>
      <c r="DK18" s="36">
        <v>0</v>
      </c>
      <c r="DL18" s="36">
        <v>0</v>
      </c>
      <c r="DM18" s="36">
        <v>0</v>
      </c>
      <c r="DN18" s="36">
        <v>0</v>
      </c>
      <c r="DO18" s="36">
        <v>0</v>
      </c>
      <c r="DP18" s="36">
        <v>0</v>
      </c>
      <c r="DQ18" s="36">
        <v>0</v>
      </c>
      <c r="DR18" s="36">
        <v>0</v>
      </c>
      <c r="DS18" s="36">
        <v>0</v>
      </c>
      <c r="DT18" s="36">
        <v>0</v>
      </c>
      <c r="DU18" s="36">
        <v>0</v>
      </c>
      <c r="DV18" s="36">
        <v>0</v>
      </c>
      <c r="DW18" s="36">
        <v>0</v>
      </c>
      <c r="DX18" s="36">
        <v>0</v>
      </c>
      <c r="DY18" s="36">
        <v>0</v>
      </c>
      <c r="DZ18" s="36">
        <v>0</v>
      </c>
      <c r="EA18" s="36">
        <v>0</v>
      </c>
      <c r="EB18" s="36">
        <v>0</v>
      </c>
      <c r="EC18" s="36">
        <v>0</v>
      </c>
      <c r="ED18" s="36">
        <v>0</v>
      </c>
      <c r="EE18" s="36">
        <v>0</v>
      </c>
      <c r="EF18" s="37">
        <v>0</v>
      </c>
    </row>
    <row r="19" spans="1:136" s="3" customFormat="1" ht="18" customHeight="1" x14ac:dyDescent="0.2">
      <c r="B19" s="86">
        <v>16</v>
      </c>
      <c r="C19" s="86">
        <v>16</v>
      </c>
      <c r="D19" s="35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X19" s="36">
        <v>0</v>
      </c>
      <c r="Y19" s="36">
        <v>0</v>
      </c>
      <c r="Z19" s="36">
        <v>0</v>
      </c>
      <c r="AA19" s="36">
        <v>0</v>
      </c>
      <c r="AB19" s="36">
        <v>0</v>
      </c>
      <c r="AC19" s="36">
        <v>0</v>
      </c>
      <c r="AD19" s="36">
        <v>0</v>
      </c>
      <c r="AE19" s="36">
        <v>0</v>
      </c>
      <c r="AF19" s="36">
        <v>0</v>
      </c>
      <c r="AG19" s="36">
        <v>0</v>
      </c>
      <c r="AH19" s="36">
        <v>0</v>
      </c>
      <c r="AI19" s="36">
        <v>0</v>
      </c>
      <c r="AJ19" s="36">
        <v>0</v>
      </c>
      <c r="AK19" s="36">
        <v>0</v>
      </c>
      <c r="AL19" s="36">
        <v>0</v>
      </c>
      <c r="AM19" s="36">
        <v>0</v>
      </c>
      <c r="AN19" s="36">
        <v>0</v>
      </c>
      <c r="AO19" s="36">
        <v>0</v>
      </c>
      <c r="AP19" s="36">
        <v>0</v>
      </c>
      <c r="AQ19" s="36">
        <v>1</v>
      </c>
      <c r="AR19" s="36">
        <v>1</v>
      </c>
      <c r="AS19" s="36">
        <v>1</v>
      </c>
      <c r="AT19" s="36">
        <v>1</v>
      </c>
      <c r="AU19" s="36">
        <v>0</v>
      </c>
      <c r="AV19" s="36">
        <v>0</v>
      </c>
      <c r="AW19" s="36">
        <v>0</v>
      </c>
      <c r="AX19" s="36">
        <v>0</v>
      </c>
      <c r="AY19" s="36">
        <v>0</v>
      </c>
      <c r="AZ19" s="36">
        <v>0</v>
      </c>
      <c r="BA19" s="36">
        <v>0</v>
      </c>
      <c r="BB19" s="36">
        <v>0</v>
      </c>
      <c r="BC19" s="36">
        <v>0</v>
      </c>
      <c r="BD19" s="36">
        <v>0</v>
      </c>
      <c r="BE19" s="36">
        <v>0</v>
      </c>
      <c r="BF19" s="36">
        <v>0</v>
      </c>
      <c r="BG19" s="36">
        <v>0</v>
      </c>
      <c r="BH19" s="36">
        <v>0</v>
      </c>
      <c r="BI19" s="36">
        <v>0</v>
      </c>
      <c r="BJ19" s="36">
        <v>0</v>
      </c>
      <c r="BK19" s="36">
        <v>0</v>
      </c>
      <c r="BL19" s="36">
        <v>0</v>
      </c>
      <c r="BM19" s="36">
        <v>0</v>
      </c>
      <c r="BN19" s="36">
        <v>0</v>
      </c>
      <c r="BO19" s="36">
        <v>0</v>
      </c>
      <c r="BP19" s="36">
        <v>0</v>
      </c>
      <c r="BQ19" s="36">
        <v>0</v>
      </c>
      <c r="BR19" s="36">
        <v>0</v>
      </c>
      <c r="BS19" s="36">
        <v>0</v>
      </c>
      <c r="BT19" s="36">
        <v>0</v>
      </c>
      <c r="BU19" s="36">
        <v>0</v>
      </c>
      <c r="BV19" s="36">
        <v>0</v>
      </c>
      <c r="BW19" s="36">
        <v>0</v>
      </c>
      <c r="BX19" s="36">
        <v>0</v>
      </c>
      <c r="BY19" s="36">
        <v>0</v>
      </c>
      <c r="BZ19" s="36">
        <v>0</v>
      </c>
      <c r="CA19" s="36">
        <v>0</v>
      </c>
      <c r="CB19" s="36">
        <v>0</v>
      </c>
      <c r="CC19" s="36">
        <v>0</v>
      </c>
      <c r="CD19" s="36">
        <v>0</v>
      </c>
      <c r="CE19" s="36">
        <v>0</v>
      </c>
      <c r="CF19" s="36">
        <v>0</v>
      </c>
      <c r="CG19" s="36">
        <v>0</v>
      </c>
      <c r="CH19" s="36">
        <v>0</v>
      </c>
      <c r="CI19" s="36">
        <v>0</v>
      </c>
      <c r="CJ19" s="36">
        <v>0</v>
      </c>
      <c r="CK19" s="36">
        <v>0</v>
      </c>
      <c r="CL19" s="36">
        <v>0</v>
      </c>
      <c r="CM19" s="36">
        <v>0</v>
      </c>
      <c r="CN19" s="36">
        <v>0</v>
      </c>
      <c r="CO19" s="36">
        <v>0</v>
      </c>
      <c r="CP19" s="36">
        <v>0</v>
      </c>
      <c r="CQ19" s="36">
        <v>0</v>
      </c>
      <c r="CR19" s="36">
        <v>0</v>
      </c>
      <c r="CS19" s="36">
        <v>0</v>
      </c>
      <c r="CT19" s="36">
        <v>0</v>
      </c>
      <c r="CU19" s="36">
        <v>0</v>
      </c>
      <c r="CV19" s="36">
        <v>0</v>
      </c>
      <c r="CW19" s="36">
        <v>0</v>
      </c>
      <c r="CX19" s="36">
        <v>0</v>
      </c>
      <c r="CY19" s="36">
        <v>0</v>
      </c>
      <c r="CZ19" s="36">
        <v>0</v>
      </c>
      <c r="DA19" s="36">
        <v>0</v>
      </c>
      <c r="DB19" s="36">
        <v>0</v>
      </c>
      <c r="DC19" s="36">
        <v>0</v>
      </c>
      <c r="DD19" s="36">
        <v>0</v>
      </c>
      <c r="DE19" s="36">
        <v>0</v>
      </c>
      <c r="DF19" s="36">
        <v>0</v>
      </c>
      <c r="DG19" s="36">
        <v>0</v>
      </c>
      <c r="DH19" s="36">
        <v>0</v>
      </c>
      <c r="DI19" s="36">
        <v>0</v>
      </c>
      <c r="DJ19" s="36">
        <v>0</v>
      </c>
      <c r="DK19" s="36">
        <v>0</v>
      </c>
      <c r="DL19" s="36">
        <v>0</v>
      </c>
      <c r="DM19" s="36">
        <v>0</v>
      </c>
      <c r="DN19" s="36">
        <v>0</v>
      </c>
      <c r="DO19" s="36">
        <v>0</v>
      </c>
      <c r="DP19" s="36">
        <v>0</v>
      </c>
      <c r="DQ19" s="36">
        <v>0</v>
      </c>
      <c r="DR19" s="36">
        <v>0</v>
      </c>
      <c r="DS19" s="36">
        <v>0</v>
      </c>
      <c r="DT19" s="36">
        <v>0</v>
      </c>
      <c r="DU19" s="36">
        <v>0</v>
      </c>
      <c r="DV19" s="36">
        <v>0</v>
      </c>
      <c r="DW19" s="36">
        <v>0</v>
      </c>
      <c r="DX19" s="36">
        <v>0</v>
      </c>
      <c r="DY19" s="36">
        <v>0</v>
      </c>
      <c r="DZ19" s="36">
        <v>0</v>
      </c>
      <c r="EA19" s="36">
        <v>0</v>
      </c>
      <c r="EB19" s="36">
        <v>0</v>
      </c>
      <c r="EC19" s="36">
        <v>0</v>
      </c>
      <c r="ED19" s="36">
        <v>0</v>
      </c>
      <c r="EE19" s="36">
        <v>0</v>
      </c>
      <c r="EF19" s="37">
        <v>0</v>
      </c>
    </row>
    <row r="20" spans="1:136" s="3" customFormat="1" ht="18" customHeight="1" x14ac:dyDescent="0.2">
      <c r="B20" s="86">
        <v>17</v>
      </c>
      <c r="C20" s="86">
        <v>17</v>
      </c>
      <c r="D20" s="35">
        <v>0</v>
      </c>
      <c r="E20" s="36">
        <v>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  <c r="R20" s="36">
        <v>0</v>
      </c>
      <c r="S20" s="36">
        <v>0</v>
      </c>
      <c r="T20" s="36">
        <v>0</v>
      </c>
      <c r="U20" s="36">
        <v>0</v>
      </c>
      <c r="V20" s="36">
        <v>0</v>
      </c>
      <c r="W20" s="36">
        <v>0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D20" s="36">
        <v>0</v>
      </c>
      <c r="AE20" s="36">
        <v>0</v>
      </c>
      <c r="AF20" s="36">
        <v>0</v>
      </c>
      <c r="AG20" s="36">
        <v>0</v>
      </c>
      <c r="AH20" s="36">
        <v>0</v>
      </c>
      <c r="AI20" s="36">
        <v>0</v>
      </c>
      <c r="AJ20" s="36">
        <v>0</v>
      </c>
      <c r="AK20" s="36">
        <v>0</v>
      </c>
      <c r="AL20" s="36">
        <v>0</v>
      </c>
      <c r="AM20" s="36">
        <v>0</v>
      </c>
      <c r="AN20" s="36">
        <v>0</v>
      </c>
      <c r="AO20" s="36">
        <v>0</v>
      </c>
      <c r="AP20" s="36">
        <v>0</v>
      </c>
      <c r="AQ20" s="36">
        <v>0</v>
      </c>
      <c r="AR20" s="36">
        <v>0</v>
      </c>
      <c r="AS20" s="36">
        <v>0</v>
      </c>
      <c r="AT20" s="36">
        <v>0</v>
      </c>
      <c r="AU20" s="36">
        <v>1</v>
      </c>
      <c r="AV20" s="36">
        <v>1</v>
      </c>
      <c r="AW20" s="36">
        <v>1</v>
      </c>
      <c r="AX20" s="36">
        <v>1</v>
      </c>
      <c r="AY20" s="36">
        <v>0</v>
      </c>
      <c r="AZ20" s="36">
        <v>0</v>
      </c>
      <c r="BA20" s="36">
        <v>0</v>
      </c>
      <c r="BB20" s="36">
        <v>0</v>
      </c>
      <c r="BC20" s="36">
        <v>0</v>
      </c>
      <c r="BD20" s="36">
        <v>0</v>
      </c>
      <c r="BE20" s="36">
        <v>0</v>
      </c>
      <c r="BF20" s="36">
        <v>0</v>
      </c>
      <c r="BG20" s="36">
        <v>0</v>
      </c>
      <c r="BH20" s="36">
        <v>0</v>
      </c>
      <c r="BI20" s="36">
        <v>0</v>
      </c>
      <c r="BJ20" s="36">
        <v>0</v>
      </c>
      <c r="BK20" s="36">
        <v>0</v>
      </c>
      <c r="BL20" s="36">
        <v>0</v>
      </c>
      <c r="BM20" s="36">
        <v>0</v>
      </c>
      <c r="BN20" s="36">
        <v>0</v>
      </c>
      <c r="BO20" s="36">
        <v>0</v>
      </c>
      <c r="BP20" s="36">
        <v>0</v>
      </c>
      <c r="BQ20" s="36">
        <v>0</v>
      </c>
      <c r="BR20" s="36">
        <v>0</v>
      </c>
      <c r="BS20" s="36">
        <v>0</v>
      </c>
      <c r="BT20" s="36">
        <v>0</v>
      </c>
      <c r="BU20" s="36">
        <v>0</v>
      </c>
      <c r="BV20" s="36">
        <v>0</v>
      </c>
      <c r="BW20" s="36">
        <v>0</v>
      </c>
      <c r="BX20" s="36">
        <v>0</v>
      </c>
      <c r="BY20" s="36">
        <v>0</v>
      </c>
      <c r="BZ20" s="36">
        <v>0</v>
      </c>
      <c r="CA20" s="36">
        <v>0</v>
      </c>
      <c r="CB20" s="36">
        <v>0</v>
      </c>
      <c r="CC20" s="36">
        <v>0</v>
      </c>
      <c r="CD20" s="36">
        <v>0</v>
      </c>
      <c r="CE20" s="36">
        <v>0</v>
      </c>
      <c r="CF20" s="36">
        <v>0</v>
      </c>
      <c r="CG20" s="36">
        <v>0</v>
      </c>
      <c r="CH20" s="36">
        <v>0</v>
      </c>
      <c r="CI20" s="36">
        <v>0</v>
      </c>
      <c r="CJ20" s="36">
        <v>0</v>
      </c>
      <c r="CK20" s="36">
        <v>0</v>
      </c>
      <c r="CL20" s="36">
        <v>0</v>
      </c>
      <c r="CM20" s="36">
        <v>0</v>
      </c>
      <c r="CN20" s="36">
        <v>0</v>
      </c>
      <c r="CO20" s="36">
        <v>0</v>
      </c>
      <c r="CP20" s="36">
        <v>0</v>
      </c>
      <c r="CQ20" s="36">
        <v>0</v>
      </c>
      <c r="CR20" s="36">
        <v>0</v>
      </c>
      <c r="CS20" s="36">
        <v>0</v>
      </c>
      <c r="CT20" s="36">
        <v>0</v>
      </c>
      <c r="CU20" s="36">
        <v>0</v>
      </c>
      <c r="CV20" s="36">
        <v>0</v>
      </c>
      <c r="CW20" s="36">
        <v>0</v>
      </c>
      <c r="CX20" s="36">
        <v>0</v>
      </c>
      <c r="CY20" s="36">
        <v>0</v>
      </c>
      <c r="CZ20" s="36">
        <v>0</v>
      </c>
      <c r="DA20" s="36">
        <v>0</v>
      </c>
      <c r="DB20" s="36">
        <v>0</v>
      </c>
      <c r="DC20" s="36">
        <v>0</v>
      </c>
      <c r="DD20" s="36">
        <v>0</v>
      </c>
      <c r="DE20" s="36">
        <v>0</v>
      </c>
      <c r="DF20" s="36">
        <v>0</v>
      </c>
      <c r="DG20" s="36">
        <v>0</v>
      </c>
      <c r="DH20" s="36">
        <v>0</v>
      </c>
      <c r="DI20" s="36">
        <v>0</v>
      </c>
      <c r="DJ20" s="36">
        <v>0</v>
      </c>
      <c r="DK20" s="36">
        <v>0</v>
      </c>
      <c r="DL20" s="36">
        <v>0</v>
      </c>
      <c r="DM20" s="36">
        <v>0</v>
      </c>
      <c r="DN20" s="36">
        <v>0</v>
      </c>
      <c r="DO20" s="36">
        <v>0</v>
      </c>
      <c r="DP20" s="36">
        <v>0</v>
      </c>
      <c r="DQ20" s="36">
        <v>0</v>
      </c>
      <c r="DR20" s="36">
        <v>0</v>
      </c>
      <c r="DS20" s="36">
        <v>0</v>
      </c>
      <c r="DT20" s="36">
        <v>0</v>
      </c>
      <c r="DU20" s="36">
        <v>0</v>
      </c>
      <c r="DV20" s="36">
        <v>0</v>
      </c>
      <c r="DW20" s="36">
        <v>0</v>
      </c>
      <c r="DX20" s="36">
        <v>0</v>
      </c>
      <c r="DY20" s="36">
        <v>0</v>
      </c>
      <c r="DZ20" s="36">
        <v>0</v>
      </c>
      <c r="EA20" s="36">
        <v>0</v>
      </c>
      <c r="EB20" s="36">
        <v>0</v>
      </c>
      <c r="EC20" s="36">
        <v>0</v>
      </c>
      <c r="ED20" s="36">
        <v>0</v>
      </c>
      <c r="EE20" s="36">
        <v>0</v>
      </c>
      <c r="EF20" s="37">
        <v>0</v>
      </c>
    </row>
    <row r="21" spans="1:136" s="3" customFormat="1" ht="18" customHeight="1" x14ac:dyDescent="0.2">
      <c r="B21" s="86">
        <v>18</v>
      </c>
      <c r="C21" s="86">
        <v>18</v>
      </c>
      <c r="D21" s="35">
        <v>0</v>
      </c>
      <c r="E21" s="36">
        <v>0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0</v>
      </c>
      <c r="T21" s="36">
        <v>0</v>
      </c>
      <c r="U21" s="36">
        <v>0</v>
      </c>
      <c r="V21" s="36">
        <v>0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0</v>
      </c>
      <c r="AE21" s="36">
        <v>0</v>
      </c>
      <c r="AF21" s="36">
        <v>0</v>
      </c>
      <c r="AG21" s="36">
        <v>0</v>
      </c>
      <c r="AH21" s="36">
        <v>0</v>
      </c>
      <c r="AI21" s="36">
        <v>0</v>
      </c>
      <c r="AJ21" s="36">
        <v>0</v>
      </c>
      <c r="AK21" s="36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36">
        <v>0</v>
      </c>
      <c r="AS21" s="36">
        <v>0</v>
      </c>
      <c r="AT21" s="36">
        <v>0</v>
      </c>
      <c r="AU21" s="36">
        <v>0</v>
      </c>
      <c r="AV21" s="36">
        <v>0</v>
      </c>
      <c r="AW21" s="36">
        <v>0</v>
      </c>
      <c r="AX21" s="36">
        <v>0</v>
      </c>
      <c r="AY21" s="36">
        <v>1</v>
      </c>
      <c r="AZ21" s="36">
        <v>1</v>
      </c>
      <c r="BA21" s="36">
        <v>1</v>
      </c>
      <c r="BB21" s="36">
        <v>1</v>
      </c>
      <c r="BC21" s="36">
        <v>0</v>
      </c>
      <c r="BD21" s="36">
        <v>0</v>
      </c>
      <c r="BE21" s="36">
        <v>0</v>
      </c>
      <c r="BF21" s="36">
        <v>0</v>
      </c>
      <c r="BG21" s="36">
        <v>0</v>
      </c>
      <c r="BH21" s="36">
        <v>0</v>
      </c>
      <c r="BI21" s="36">
        <v>0</v>
      </c>
      <c r="BJ21" s="36">
        <v>0</v>
      </c>
      <c r="BK21" s="36">
        <v>0</v>
      </c>
      <c r="BL21" s="36">
        <v>0</v>
      </c>
      <c r="BM21" s="36">
        <v>0</v>
      </c>
      <c r="BN21" s="36">
        <v>0</v>
      </c>
      <c r="BO21" s="36">
        <v>0</v>
      </c>
      <c r="BP21" s="36">
        <v>0</v>
      </c>
      <c r="BQ21" s="36">
        <v>0</v>
      </c>
      <c r="BR21" s="36">
        <v>0</v>
      </c>
      <c r="BS21" s="36">
        <v>0</v>
      </c>
      <c r="BT21" s="36">
        <v>0</v>
      </c>
      <c r="BU21" s="36">
        <v>0</v>
      </c>
      <c r="BV21" s="36">
        <v>0</v>
      </c>
      <c r="BW21" s="36">
        <v>0</v>
      </c>
      <c r="BX21" s="36">
        <v>0</v>
      </c>
      <c r="BY21" s="36">
        <v>0</v>
      </c>
      <c r="BZ21" s="36">
        <v>0</v>
      </c>
      <c r="CA21" s="36">
        <v>0</v>
      </c>
      <c r="CB21" s="36">
        <v>0</v>
      </c>
      <c r="CC21" s="36">
        <v>0</v>
      </c>
      <c r="CD21" s="36">
        <v>0</v>
      </c>
      <c r="CE21" s="36">
        <v>0</v>
      </c>
      <c r="CF21" s="36">
        <v>0</v>
      </c>
      <c r="CG21" s="36">
        <v>0</v>
      </c>
      <c r="CH21" s="36">
        <v>0</v>
      </c>
      <c r="CI21" s="36">
        <v>0</v>
      </c>
      <c r="CJ21" s="36">
        <v>0</v>
      </c>
      <c r="CK21" s="36">
        <v>0</v>
      </c>
      <c r="CL21" s="36">
        <v>0</v>
      </c>
      <c r="CM21" s="36">
        <v>0</v>
      </c>
      <c r="CN21" s="36">
        <v>0</v>
      </c>
      <c r="CO21" s="36">
        <v>0</v>
      </c>
      <c r="CP21" s="36">
        <v>0</v>
      </c>
      <c r="CQ21" s="36">
        <v>0</v>
      </c>
      <c r="CR21" s="36">
        <v>0</v>
      </c>
      <c r="CS21" s="36">
        <v>0</v>
      </c>
      <c r="CT21" s="36">
        <v>0</v>
      </c>
      <c r="CU21" s="36">
        <v>0</v>
      </c>
      <c r="CV21" s="36">
        <v>0</v>
      </c>
      <c r="CW21" s="36">
        <v>0</v>
      </c>
      <c r="CX21" s="36">
        <v>0</v>
      </c>
      <c r="CY21" s="36">
        <v>0</v>
      </c>
      <c r="CZ21" s="36">
        <v>0</v>
      </c>
      <c r="DA21" s="36">
        <v>0</v>
      </c>
      <c r="DB21" s="36">
        <v>0</v>
      </c>
      <c r="DC21" s="36">
        <v>0</v>
      </c>
      <c r="DD21" s="36">
        <v>0</v>
      </c>
      <c r="DE21" s="36">
        <v>0</v>
      </c>
      <c r="DF21" s="36">
        <v>0</v>
      </c>
      <c r="DG21" s="36">
        <v>0</v>
      </c>
      <c r="DH21" s="36">
        <v>0</v>
      </c>
      <c r="DI21" s="36">
        <v>0</v>
      </c>
      <c r="DJ21" s="36">
        <v>0</v>
      </c>
      <c r="DK21" s="36">
        <v>0</v>
      </c>
      <c r="DL21" s="36">
        <v>0</v>
      </c>
      <c r="DM21" s="36">
        <v>0</v>
      </c>
      <c r="DN21" s="36">
        <v>0</v>
      </c>
      <c r="DO21" s="36">
        <v>0</v>
      </c>
      <c r="DP21" s="36">
        <v>0</v>
      </c>
      <c r="DQ21" s="36">
        <v>0</v>
      </c>
      <c r="DR21" s="36">
        <v>0</v>
      </c>
      <c r="DS21" s="36">
        <v>0</v>
      </c>
      <c r="DT21" s="36">
        <v>0</v>
      </c>
      <c r="DU21" s="36">
        <v>0</v>
      </c>
      <c r="DV21" s="36">
        <v>0</v>
      </c>
      <c r="DW21" s="36">
        <v>0</v>
      </c>
      <c r="DX21" s="36">
        <v>0</v>
      </c>
      <c r="DY21" s="36">
        <v>0</v>
      </c>
      <c r="DZ21" s="36">
        <v>0</v>
      </c>
      <c r="EA21" s="36">
        <v>0</v>
      </c>
      <c r="EB21" s="36">
        <v>0</v>
      </c>
      <c r="EC21" s="36">
        <v>0</v>
      </c>
      <c r="ED21" s="36">
        <v>0</v>
      </c>
      <c r="EE21" s="36">
        <v>0</v>
      </c>
      <c r="EF21" s="37">
        <v>0</v>
      </c>
    </row>
    <row r="22" spans="1:136" s="3" customFormat="1" ht="18" customHeight="1" x14ac:dyDescent="0.2">
      <c r="B22" s="86">
        <v>19</v>
      </c>
      <c r="C22" s="86">
        <v>19</v>
      </c>
      <c r="D22" s="35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D22" s="36">
        <v>0</v>
      </c>
      <c r="AE22" s="36">
        <v>0</v>
      </c>
      <c r="AF22" s="36">
        <v>0</v>
      </c>
      <c r="AG22" s="36">
        <v>0</v>
      </c>
      <c r="AH22" s="36">
        <v>0</v>
      </c>
      <c r="AI22" s="36">
        <v>0</v>
      </c>
      <c r="AJ22" s="36">
        <v>0</v>
      </c>
      <c r="AK22" s="36">
        <v>0</v>
      </c>
      <c r="AL22" s="36">
        <v>0</v>
      </c>
      <c r="AM22" s="36">
        <v>0</v>
      </c>
      <c r="AN22" s="36">
        <v>0</v>
      </c>
      <c r="AO22" s="36">
        <v>0</v>
      </c>
      <c r="AP22" s="36">
        <v>0</v>
      </c>
      <c r="AQ22" s="36">
        <v>0</v>
      </c>
      <c r="AR22" s="36">
        <v>0</v>
      </c>
      <c r="AS22" s="36">
        <v>0</v>
      </c>
      <c r="AT22" s="36">
        <v>0</v>
      </c>
      <c r="AU22" s="36">
        <v>0</v>
      </c>
      <c r="AV22" s="36">
        <v>0</v>
      </c>
      <c r="AW22" s="36">
        <v>0</v>
      </c>
      <c r="AX22" s="36">
        <v>0</v>
      </c>
      <c r="AY22" s="36">
        <v>0</v>
      </c>
      <c r="AZ22" s="36">
        <v>0</v>
      </c>
      <c r="BA22" s="36">
        <v>0</v>
      </c>
      <c r="BB22" s="36">
        <v>0</v>
      </c>
      <c r="BC22" s="36">
        <v>1</v>
      </c>
      <c r="BD22" s="36">
        <v>1</v>
      </c>
      <c r="BE22" s="36">
        <v>1</v>
      </c>
      <c r="BF22" s="36">
        <v>1</v>
      </c>
      <c r="BG22" s="36">
        <v>0</v>
      </c>
      <c r="BH22" s="36">
        <v>0</v>
      </c>
      <c r="BI22" s="36">
        <v>0</v>
      </c>
      <c r="BJ22" s="36">
        <v>0</v>
      </c>
      <c r="BK22" s="36">
        <v>0</v>
      </c>
      <c r="BL22" s="36">
        <v>0</v>
      </c>
      <c r="BM22" s="36">
        <v>0</v>
      </c>
      <c r="BN22" s="36">
        <v>0</v>
      </c>
      <c r="BO22" s="36">
        <v>0</v>
      </c>
      <c r="BP22" s="36">
        <v>0</v>
      </c>
      <c r="BQ22" s="36">
        <v>0</v>
      </c>
      <c r="BR22" s="36">
        <v>0</v>
      </c>
      <c r="BS22" s="36">
        <v>0</v>
      </c>
      <c r="BT22" s="36">
        <v>0</v>
      </c>
      <c r="BU22" s="36">
        <v>0</v>
      </c>
      <c r="BV22" s="36">
        <v>0</v>
      </c>
      <c r="BW22" s="36">
        <v>0</v>
      </c>
      <c r="BX22" s="36">
        <v>0</v>
      </c>
      <c r="BY22" s="36">
        <v>0</v>
      </c>
      <c r="BZ22" s="36">
        <v>0</v>
      </c>
      <c r="CA22" s="36">
        <v>0</v>
      </c>
      <c r="CB22" s="36">
        <v>0</v>
      </c>
      <c r="CC22" s="36">
        <v>0</v>
      </c>
      <c r="CD22" s="36">
        <v>0</v>
      </c>
      <c r="CE22" s="36">
        <v>0</v>
      </c>
      <c r="CF22" s="36">
        <v>0</v>
      </c>
      <c r="CG22" s="36">
        <v>0</v>
      </c>
      <c r="CH22" s="36">
        <v>0</v>
      </c>
      <c r="CI22" s="36">
        <v>0</v>
      </c>
      <c r="CJ22" s="36">
        <v>0</v>
      </c>
      <c r="CK22" s="36">
        <v>0</v>
      </c>
      <c r="CL22" s="36">
        <v>0</v>
      </c>
      <c r="CM22" s="36">
        <v>0</v>
      </c>
      <c r="CN22" s="36">
        <v>0</v>
      </c>
      <c r="CO22" s="36">
        <v>0</v>
      </c>
      <c r="CP22" s="36">
        <v>0</v>
      </c>
      <c r="CQ22" s="36">
        <v>0</v>
      </c>
      <c r="CR22" s="36">
        <v>0</v>
      </c>
      <c r="CS22" s="36">
        <v>0</v>
      </c>
      <c r="CT22" s="36">
        <v>0</v>
      </c>
      <c r="CU22" s="36">
        <v>0</v>
      </c>
      <c r="CV22" s="36">
        <v>0</v>
      </c>
      <c r="CW22" s="36">
        <v>0</v>
      </c>
      <c r="CX22" s="36">
        <v>0</v>
      </c>
      <c r="CY22" s="36">
        <v>0</v>
      </c>
      <c r="CZ22" s="36">
        <v>0</v>
      </c>
      <c r="DA22" s="36">
        <v>0</v>
      </c>
      <c r="DB22" s="36">
        <v>0</v>
      </c>
      <c r="DC22" s="36">
        <v>0</v>
      </c>
      <c r="DD22" s="36">
        <v>0</v>
      </c>
      <c r="DE22" s="36">
        <v>0</v>
      </c>
      <c r="DF22" s="36">
        <v>0</v>
      </c>
      <c r="DG22" s="36">
        <v>0</v>
      </c>
      <c r="DH22" s="36">
        <v>0</v>
      </c>
      <c r="DI22" s="36">
        <v>0</v>
      </c>
      <c r="DJ22" s="36">
        <v>0</v>
      </c>
      <c r="DK22" s="36">
        <v>0</v>
      </c>
      <c r="DL22" s="36">
        <v>0</v>
      </c>
      <c r="DM22" s="36">
        <v>0</v>
      </c>
      <c r="DN22" s="36">
        <v>0</v>
      </c>
      <c r="DO22" s="36">
        <v>0</v>
      </c>
      <c r="DP22" s="36">
        <v>0</v>
      </c>
      <c r="DQ22" s="36">
        <v>0</v>
      </c>
      <c r="DR22" s="36">
        <v>0</v>
      </c>
      <c r="DS22" s="36">
        <v>0</v>
      </c>
      <c r="DT22" s="36">
        <v>0</v>
      </c>
      <c r="DU22" s="36">
        <v>0</v>
      </c>
      <c r="DV22" s="36">
        <v>0</v>
      </c>
      <c r="DW22" s="36">
        <v>0</v>
      </c>
      <c r="DX22" s="36">
        <v>0</v>
      </c>
      <c r="DY22" s="36">
        <v>0</v>
      </c>
      <c r="DZ22" s="36">
        <v>0</v>
      </c>
      <c r="EA22" s="36">
        <v>0</v>
      </c>
      <c r="EB22" s="36">
        <v>0</v>
      </c>
      <c r="EC22" s="36">
        <v>0</v>
      </c>
      <c r="ED22" s="36">
        <v>0</v>
      </c>
      <c r="EE22" s="36">
        <v>0</v>
      </c>
      <c r="EF22" s="37">
        <v>0</v>
      </c>
    </row>
    <row r="23" spans="1:136" s="3" customFormat="1" ht="18" customHeight="1" x14ac:dyDescent="0.2">
      <c r="B23" s="86">
        <v>20</v>
      </c>
      <c r="C23" s="86">
        <v>20</v>
      </c>
      <c r="D23" s="35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T23" s="36">
        <v>0</v>
      </c>
      <c r="U23" s="36">
        <v>0</v>
      </c>
      <c r="V23" s="36">
        <v>0</v>
      </c>
      <c r="W23" s="36">
        <v>0</v>
      </c>
      <c r="X23" s="36">
        <v>0</v>
      </c>
      <c r="Y23" s="36">
        <v>0</v>
      </c>
      <c r="Z23" s="36">
        <v>0</v>
      </c>
      <c r="AA23" s="36">
        <v>0</v>
      </c>
      <c r="AB23" s="36">
        <v>0</v>
      </c>
      <c r="AC23" s="36">
        <v>0</v>
      </c>
      <c r="AD23" s="36">
        <v>0</v>
      </c>
      <c r="AE23" s="36">
        <v>0</v>
      </c>
      <c r="AF23" s="36">
        <v>0</v>
      </c>
      <c r="AG23" s="36">
        <v>0</v>
      </c>
      <c r="AH23" s="36">
        <v>0</v>
      </c>
      <c r="AI23" s="36">
        <v>0</v>
      </c>
      <c r="AJ23" s="36">
        <v>0</v>
      </c>
      <c r="AK23" s="36">
        <v>0</v>
      </c>
      <c r="AL23" s="36">
        <v>0</v>
      </c>
      <c r="AM23" s="36">
        <v>0</v>
      </c>
      <c r="AN23" s="36">
        <v>0</v>
      </c>
      <c r="AO23" s="36">
        <v>0</v>
      </c>
      <c r="AP23" s="36">
        <v>0</v>
      </c>
      <c r="AQ23" s="36">
        <v>0</v>
      </c>
      <c r="AR23" s="36">
        <v>0</v>
      </c>
      <c r="AS23" s="36">
        <v>0</v>
      </c>
      <c r="AT23" s="36">
        <v>0</v>
      </c>
      <c r="AU23" s="36">
        <v>0</v>
      </c>
      <c r="AV23" s="36">
        <v>0</v>
      </c>
      <c r="AW23" s="36">
        <v>0</v>
      </c>
      <c r="AX23" s="36">
        <v>0</v>
      </c>
      <c r="AY23" s="36">
        <v>0</v>
      </c>
      <c r="AZ23" s="36">
        <v>0</v>
      </c>
      <c r="BA23" s="36">
        <v>0</v>
      </c>
      <c r="BB23" s="36">
        <v>0</v>
      </c>
      <c r="BC23" s="36">
        <v>0</v>
      </c>
      <c r="BD23" s="36">
        <v>0</v>
      </c>
      <c r="BE23" s="36">
        <v>0</v>
      </c>
      <c r="BF23" s="36">
        <v>0</v>
      </c>
      <c r="BG23" s="36">
        <v>1</v>
      </c>
      <c r="BH23" s="36">
        <v>1</v>
      </c>
      <c r="BI23" s="36">
        <v>1</v>
      </c>
      <c r="BJ23" s="36">
        <v>1</v>
      </c>
      <c r="BK23" s="36">
        <v>0</v>
      </c>
      <c r="BL23" s="36">
        <v>0</v>
      </c>
      <c r="BM23" s="36">
        <v>0</v>
      </c>
      <c r="BN23" s="36">
        <v>0</v>
      </c>
      <c r="BO23" s="36">
        <v>0</v>
      </c>
      <c r="BP23" s="36">
        <v>0</v>
      </c>
      <c r="BQ23" s="36">
        <v>0</v>
      </c>
      <c r="BR23" s="36">
        <v>0</v>
      </c>
      <c r="BS23" s="36">
        <v>0</v>
      </c>
      <c r="BT23" s="36">
        <v>0</v>
      </c>
      <c r="BU23" s="36">
        <v>0</v>
      </c>
      <c r="BV23" s="36">
        <v>0</v>
      </c>
      <c r="BW23" s="36">
        <v>0</v>
      </c>
      <c r="BX23" s="36">
        <v>0</v>
      </c>
      <c r="BY23" s="36">
        <v>0</v>
      </c>
      <c r="BZ23" s="36">
        <v>0</v>
      </c>
      <c r="CA23" s="36">
        <v>0</v>
      </c>
      <c r="CB23" s="36">
        <v>0</v>
      </c>
      <c r="CC23" s="36">
        <v>0</v>
      </c>
      <c r="CD23" s="36">
        <v>0</v>
      </c>
      <c r="CE23" s="36">
        <v>0</v>
      </c>
      <c r="CF23" s="36">
        <v>0</v>
      </c>
      <c r="CG23" s="36">
        <v>0</v>
      </c>
      <c r="CH23" s="36">
        <v>0</v>
      </c>
      <c r="CI23" s="36">
        <v>0</v>
      </c>
      <c r="CJ23" s="36">
        <v>0</v>
      </c>
      <c r="CK23" s="36">
        <v>0</v>
      </c>
      <c r="CL23" s="36">
        <v>0</v>
      </c>
      <c r="CM23" s="36">
        <v>0</v>
      </c>
      <c r="CN23" s="36">
        <v>0</v>
      </c>
      <c r="CO23" s="36">
        <v>0</v>
      </c>
      <c r="CP23" s="36">
        <v>0</v>
      </c>
      <c r="CQ23" s="36">
        <v>0</v>
      </c>
      <c r="CR23" s="36">
        <v>0</v>
      </c>
      <c r="CS23" s="36">
        <v>0</v>
      </c>
      <c r="CT23" s="36">
        <v>0</v>
      </c>
      <c r="CU23" s="36">
        <v>0</v>
      </c>
      <c r="CV23" s="36">
        <v>0</v>
      </c>
      <c r="CW23" s="36">
        <v>0</v>
      </c>
      <c r="CX23" s="36">
        <v>0</v>
      </c>
      <c r="CY23" s="36">
        <v>0</v>
      </c>
      <c r="CZ23" s="36">
        <v>0</v>
      </c>
      <c r="DA23" s="36">
        <v>0</v>
      </c>
      <c r="DB23" s="36">
        <v>0</v>
      </c>
      <c r="DC23" s="36">
        <v>0</v>
      </c>
      <c r="DD23" s="36">
        <v>0</v>
      </c>
      <c r="DE23" s="36">
        <v>0</v>
      </c>
      <c r="DF23" s="36">
        <v>0</v>
      </c>
      <c r="DG23" s="36">
        <v>0</v>
      </c>
      <c r="DH23" s="36">
        <v>0</v>
      </c>
      <c r="DI23" s="36">
        <v>0</v>
      </c>
      <c r="DJ23" s="36">
        <v>0</v>
      </c>
      <c r="DK23" s="36">
        <v>0</v>
      </c>
      <c r="DL23" s="36">
        <v>0</v>
      </c>
      <c r="DM23" s="36">
        <v>0</v>
      </c>
      <c r="DN23" s="36">
        <v>0</v>
      </c>
      <c r="DO23" s="36">
        <v>0</v>
      </c>
      <c r="DP23" s="36">
        <v>0</v>
      </c>
      <c r="DQ23" s="36">
        <v>0</v>
      </c>
      <c r="DR23" s="36">
        <v>0</v>
      </c>
      <c r="DS23" s="36">
        <v>0</v>
      </c>
      <c r="DT23" s="36">
        <v>0</v>
      </c>
      <c r="DU23" s="36">
        <v>0</v>
      </c>
      <c r="DV23" s="36">
        <v>0</v>
      </c>
      <c r="DW23" s="36">
        <v>0</v>
      </c>
      <c r="DX23" s="36">
        <v>0</v>
      </c>
      <c r="DY23" s="36">
        <v>0</v>
      </c>
      <c r="DZ23" s="36">
        <v>0</v>
      </c>
      <c r="EA23" s="36">
        <v>0</v>
      </c>
      <c r="EB23" s="36">
        <v>0</v>
      </c>
      <c r="EC23" s="36">
        <v>0</v>
      </c>
      <c r="ED23" s="36">
        <v>0</v>
      </c>
      <c r="EE23" s="36">
        <v>0</v>
      </c>
      <c r="EF23" s="37">
        <v>0</v>
      </c>
    </row>
    <row r="24" spans="1:136" s="3" customFormat="1" ht="18" customHeight="1" x14ac:dyDescent="0.2">
      <c r="B24" s="86">
        <v>21</v>
      </c>
      <c r="C24" s="86">
        <v>21</v>
      </c>
      <c r="D24" s="35">
        <v>0</v>
      </c>
      <c r="E24" s="36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D24" s="36">
        <v>0</v>
      </c>
      <c r="AE24" s="36">
        <v>0</v>
      </c>
      <c r="AF24" s="36">
        <v>0</v>
      </c>
      <c r="AG24" s="36">
        <v>0</v>
      </c>
      <c r="AH24" s="36">
        <v>0</v>
      </c>
      <c r="AI24" s="36">
        <v>0</v>
      </c>
      <c r="AJ24" s="36">
        <v>0</v>
      </c>
      <c r="AK24" s="36">
        <v>0</v>
      </c>
      <c r="AL24" s="36">
        <v>0</v>
      </c>
      <c r="AM24" s="36">
        <v>0</v>
      </c>
      <c r="AN24" s="36">
        <v>0</v>
      </c>
      <c r="AO24" s="36">
        <v>0</v>
      </c>
      <c r="AP24" s="36">
        <v>0</v>
      </c>
      <c r="AQ24" s="36">
        <v>0</v>
      </c>
      <c r="AR24" s="36">
        <v>0</v>
      </c>
      <c r="AS24" s="36">
        <v>0</v>
      </c>
      <c r="AT24" s="36">
        <v>0</v>
      </c>
      <c r="AU24" s="36">
        <v>0</v>
      </c>
      <c r="AV24" s="36">
        <v>0</v>
      </c>
      <c r="AW24" s="36">
        <v>0</v>
      </c>
      <c r="AX24" s="36">
        <v>0</v>
      </c>
      <c r="AY24" s="36">
        <v>0</v>
      </c>
      <c r="AZ24" s="36">
        <v>0</v>
      </c>
      <c r="BA24" s="36">
        <v>0</v>
      </c>
      <c r="BB24" s="36">
        <v>0</v>
      </c>
      <c r="BC24" s="36">
        <v>0</v>
      </c>
      <c r="BD24" s="36">
        <v>0</v>
      </c>
      <c r="BE24" s="36">
        <v>0</v>
      </c>
      <c r="BF24" s="36">
        <v>0</v>
      </c>
      <c r="BG24" s="36">
        <v>0</v>
      </c>
      <c r="BH24" s="36">
        <v>0</v>
      </c>
      <c r="BI24" s="36">
        <v>0</v>
      </c>
      <c r="BJ24" s="36">
        <v>0</v>
      </c>
      <c r="BK24" s="36">
        <v>1</v>
      </c>
      <c r="BL24" s="36">
        <v>1</v>
      </c>
      <c r="BM24" s="36">
        <v>1</v>
      </c>
      <c r="BN24" s="36">
        <v>1</v>
      </c>
      <c r="BO24" s="36">
        <v>0</v>
      </c>
      <c r="BP24" s="36">
        <v>0</v>
      </c>
      <c r="BQ24" s="36">
        <v>0</v>
      </c>
      <c r="BR24" s="36">
        <v>0</v>
      </c>
      <c r="BS24" s="36">
        <v>0</v>
      </c>
      <c r="BT24" s="36">
        <v>0</v>
      </c>
      <c r="BU24" s="36">
        <v>0</v>
      </c>
      <c r="BV24" s="36">
        <v>0</v>
      </c>
      <c r="BW24" s="36">
        <v>0</v>
      </c>
      <c r="BX24" s="36">
        <v>0</v>
      </c>
      <c r="BY24" s="36">
        <v>0</v>
      </c>
      <c r="BZ24" s="36">
        <v>0</v>
      </c>
      <c r="CA24" s="36">
        <v>0</v>
      </c>
      <c r="CB24" s="36">
        <v>0</v>
      </c>
      <c r="CC24" s="36">
        <v>0</v>
      </c>
      <c r="CD24" s="36">
        <v>0</v>
      </c>
      <c r="CE24" s="36">
        <v>0</v>
      </c>
      <c r="CF24" s="36">
        <v>0</v>
      </c>
      <c r="CG24" s="36">
        <v>0</v>
      </c>
      <c r="CH24" s="36">
        <v>0</v>
      </c>
      <c r="CI24" s="36">
        <v>0</v>
      </c>
      <c r="CJ24" s="36">
        <v>0</v>
      </c>
      <c r="CK24" s="36">
        <v>0</v>
      </c>
      <c r="CL24" s="36">
        <v>0</v>
      </c>
      <c r="CM24" s="36">
        <v>0</v>
      </c>
      <c r="CN24" s="36">
        <v>0</v>
      </c>
      <c r="CO24" s="36">
        <v>0</v>
      </c>
      <c r="CP24" s="36">
        <v>0</v>
      </c>
      <c r="CQ24" s="36">
        <v>0</v>
      </c>
      <c r="CR24" s="36">
        <v>0</v>
      </c>
      <c r="CS24" s="36">
        <v>0</v>
      </c>
      <c r="CT24" s="36">
        <v>0</v>
      </c>
      <c r="CU24" s="36">
        <v>0</v>
      </c>
      <c r="CV24" s="36">
        <v>0</v>
      </c>
      <c r="CW24" s="36">
        <v>0</v>
      </c>
      <c r="CX24" s="36">
        <v>0</v>
      </c>
      <c r="CY24" s="36">
        <v>0</v>
      </c>
      <c r="CZ24" s="36">
        <v>0</v>
      </c>
      <c r="DA24" s="36">
        <v>0</v>
      </c>
      <c r="DB24" s="36">
        <v>0</v>
      </c>
      <c r="DC24" s="36">
        <v>0</v>
      </c>
      <c r="DD24" s="36">
        <v>0</v>
      </c>
      <c r="DE24" s="36">
        <v>0</v>
      </c>
      <c r="DF24" s="36">
        <v>0</v>
      </c>
      <c r="DG24" s="36">
        <v>0</v>
      </c>
      <c r="DH24" s="36">
        <v>0</v>
      </c>
      <c r="DI24" s="36">
        <v>0</v>
      </c>
      <c r="DJ24" s="36">
        <v>0</v>
      </c>
      <c r="DK24" s="36">
        <v>0</v>
      </c>
      <c r="DL24" s="36">
        <v>0</v>
      </c>
      <c r="DM24" s="36">
        <v>0</v>
      </c>
      <c r="DN24" s="36">
        <v>0</v>
      </c>
      <c r="DO24" s="36">
        <v>0</v>
      </c>
      <c r="DP24" s="36">
        <v>0</v>
      </c>
      <c r="DQ24" s="36">
        <v>0</v>
      </c>
      <c r="DR24" s="36">
        <v>0</v>
      </c>
      <c r="DS24" s="36">
        <v>0</v>
      </c>
      <c r="DT24" s="36">
        <v>0</v>
      </c>
      <c r="DU24" s="36">
        <v>0</v>
      </c>
      <c r="DV24" s="36">
        <v>0</v>
      </c>
      <c r="DW24" s="36">
        <v>0</v>
      </c>
      <c r="DX24" s="36">
        <v>0</v>
      </c>
      <c r="DY24" s="36">
        <v>0</v>
      </c>
      <c r="DZ24" s="36">
        <v>0</v>
      </c>
      <c r="EA24" s="36">
        <v>0</v>
      </c>
      <c r="EB24" s="36">
        <v>0</v>
      </c>
      <c r="EC24" s="36">
        <v>0</v>
      </c>
      <c r="ED24" s="36">
        <v>0</v>
      </c>
      <c r="EE24" s="36">
        <v>0</v>
      </c>
      <c r="EF24" s="37">
        <v>0</v>
      </c>
    </row>
    <row r="25" spans="1:136" s="3" customFormat="1" ht="18" customHeight="1" x14ac:dyDescent="0.2">
      <c r="B25" s="86">
        <v>22</v>
      </c>
      <c r="C25" s="86">
        <v>22</v>
      </c>
      <c r="D25" s="35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  <c r="AH25" s="36">
        <v>0</v>
      </c>
      <c r="AI25" s="36">
        <v>0</v>
      </c>
      <c r="AJ25" s="36">
        <v>0</v>
      </c>
      <c r="AK25" s="36">
        <v>0</v>
      </c>
      <c r="AL25" s="36">
        <v>0</v>
      </c>
      <c r="AM25" s="36">
        <v>0</v>
      </c>
      <c r="AN25" s="36">
        <v>0</v>
      </c>
      <c r="AO25" s="36">
        <v>0</v>
      </c>
      <c r="AP25" s="36">
        <v>0</v>
      </c>
      <c r="AQ25" s="36">
        <v>0</v>
      </c>
      <c r="AR25" s="36">
        <v>0</v>
      </c>
      <c r="AS25" s="36">
        <v>0</v>
      </c>
      <c r="AT25" s="36">
        <v>0</v>
      </c>
      <c r="AU25" s="36">
        <v>0</v>
      </c>
      <c r="AV25" s="36">
        <v>0</v>
      </c>
      <c r="AW25" s="36">
        <v>0</v>
      </c>
      <c r="AX25" s="36">
        <v>0</v>
      </c>
      <c r="AY25" s="36">
        <v>0</v>
      </c>
      <c r="AZ25" s="36">
        <v>0</v>
      </c>
      <c r="BA25" s="36">
        <v>0</v>
      </c>
      <c r="BB25" s="36">
        <v>0</v>
      </c>
      <c r="BC25" s="36">
        <v>0</v>
      </c>
      <c r="BD25" s="36">
        <v>0</v>
      </c>
      <c r="BE25" s="36">
        <v>0</v>
      </c>
      <c r="BF25" s="36">
        <v>0</v>
      </c>
      <c r="BG25" s="36">
        <v>0</v>
      </c>
      <c r="BH25" s="36">
        <v>0</v>
      </c>
      <c r="BI25" s="36">
        <v>0</v>
      </c>
      <c r="BJ25" s="36">
        <v>0</v>
      </c>
      <c r="BK25" s="36">
        <v>0</v>
      </c>
      <c r="BL25" s="36">
        <v>0</v>
      </c>
      <c r="BM25" s="36">
        <v>0</v>
      </c>
      <c r="BN25" s="36">
        <v>0</v>
      </c>
      <c r="BO25" s="36">
        <v>1</v>
      </c>
      <c r="BP25" s="36">
        <v>1</v>
      </c>
      <c r="BQ25" s="36">
        <v>1</v>
      </c>
      <c r="BR25" s="36">
        <v>1</v>
      </c>
      <c r="BS25" s="36">
        <v>0</v>
      </c>
      <c r="BT25" s="36">
        <v>0</v>
      </c>
      <c r="BU25" s="36">
        <v>0</v>
      </c>
      <c r="BV25" s="36">
        <v>0</v>
      </c>
      <c r="BW25" s="36">
        <v>0</v>
      </c>
      <c r="BX25" s="36">
        <v>0</v>
      </c>
      <c r="BY25" s="36">
        <v>0</v>
      </c>
      <c r="BZ25" s="36">
        <v>0</v>
      </c>
      <c r="CA25" s="36">
        <v>0</v>
      </c>
      <c r="CB25" s="36">
        <v>0</v>
      </c>
      <c r="CC25" s="36">
        <v>0</v>
      </c>
      <c r="CD25" s="36">
        <v>0</v>
      </c>
      <c r="CE25" s="36">
        <v>0</v>
      </c>
      <c r="CF25" s="36">
        <v>0</v>
      </c>
      <c r="CG25" s="36">
        <v>0</v>
      </c>
      <c r="CH25" s="36">
        <v>0</v>
      </c>
      <c r="CI25" s="36">
        <v>0</v>
      </c>
      <c r="CJ25" s="36">
        <v>0</v>
      </c>
      <c r="CK25" s="36">
        <v>0</v>
      </c>
      <c r="CL25" s="36">
        <v>0</v>
      </c>
      <c r="CM25" s="36">
        <v>0</v>
      </c>
      <c r="CN25" s="36">
        <v>0</v>
      </c>
      <c r="CO25" s="36">
        <v>0</v>
      </c>
      <c r="CP25" s="36">
        <v>0</v>
      </c>
      <c r="CQ25" s="36">
        <v>0</v>
      </c>
      <c r="CR25" s="36">
        <v>0</v>
      </c>
      <c r="CS25" s="36">
        <v>0</v>
      </c>
      <c r="CT25" s="36">
        <v>0</v>
      </c>
      <c r="CU25" s="36">
        <v>0</v>
      </c>
      <c r="CV25" s="36">
        <v>0</v>
      </c>
      <c r="CW25" s="36">
        <v>0</v>
      </c>
      <c r="CX25" s="36">
        <v>0</v>
      </c>
      <c r="CY25" s="36">
        <v>0</v>
      </c>
      <c r="CZ25" s="36">
        <v>0</v>
      </c>
      <c r="DA25" s="36">
        <v>0</v>
      </c>
      <c r="DB25" s="36">
        <v>0</v>
      </c>
      <c r="DC25" s="36">
        <v>0</v>
      </c>
      <c r="DD25" s="36">
        <v>0</v>
      </c>
      <c r="DE25" s="36">
        <v>0</v>
      </c>
      <c r="DF25" s="36">
        <v>0</v>
      </c>
      <c r="DG25" s="36">
        <v>0</v>
      </c>
      <c r="DH25" s="36">
        <v>0</v>
      </c>
      <c r="DI25" s="36">
        <v>0</v>
      </c>
      <c r="DJ25" s="36">
        <v>0</v>
      </c>
      <c r="DK25" s="36">
        <v>0</v>
      </c>
      <c r="DL25" s="36">
        <v>0</v>
      </c>
      <c r="DM25" s="36">
        <v>0</v>
      </c>
      <c r="DN25" s="36">
        <v>0</v>
      </c>
      <c r="DO25" s="36">
        <v>0</v>
      </c>
      <c r="DP25" s="36">
        <v>0</v>
      </c>
      <c r="DQ25" s="36">
        <v>0</v>
      </c>
      <c r="DR25" s="36">
        <v>0</v>
      </c>
      <c r="DS25" s="36">
        <v>0</v>
      </c>
      <c r="DT25" s="36">
        <v>0</v>
      </c>
      <c r="DU25" s="36">
        <v>0</v>
      </c>
      <c r="DV25" s="36">
        <v>0</v>
      </c>
      <c r="DW25" s="36">
        <v>0</v>
      </c>
      <c r="DX25" s="36">
        <v>0</v>
      </c>
      <c r="DY25" s="36">
        <v>0</v>
      </c>
      <c r="DZ25" s="36">
        <v>0</v>
      </c>
      <c r="EA25" s="36">
        <v>0</v>
      </c>
      <c r="EB25" s="36">
        <v>0</v>
      </c>
      <c r="EC25" s="36">
        <v>0</v>
      </c>
      <c r="ED25" s="36">
        <v>0</v>
      </c>
      <c r="EE25" s="36">
        <v>0</v>
      </c>
      <c r="EF25" s="37">
        <v>0</v>
      </c>
    </row>
    <row r="26" spans="1:136" s="3" customFormat="1" ht="18.5" customHeight="1" x14ac:dyDescent="0.2">
      <c r="B26" s="86">
        <v>23</v>
      </c>
      <c r="C26" s="86">
        <v>23</v>
      </c>
      <c r="D26" s="35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6">
        <v>0</v>
      </c>
      <c r="AH26" s="36">
        <v>0</v>
      </c>
      <c r="AI26" s="36">
        <v>0</v>
      </c>
      <c r="AJ26" s="36">
        <v>0</v>
      </c>
      <c r="AK26" s="36">
        <v>0</v>
      </c>
      <c r="AL26" s="36">
        <v>0</v>
      </c>
      <c r="AM26" s="36">
        <v>0</v>
      </c>
      <c r="AN26" s="36">
        <v>0</v>
      </c>
      <c r="AO26" s="36">
        <v>0</v>
      </c>
      <c r="AP26" s="36">
        <v>0</v>
      </c>
      <c r="AQ26" s="36">
        <v>0</v>
      </c>
      <c r="AR26" s="36">
        <v>0</v>
      </c>
      <c r="AS26" s="36">
        <v>0</v>
      </c>
      <c r="AT26" s="36">
        <v>0</v>
      </c>
      <c r="AU26" s="36">
        <v>0</v>
      </c>
      <c r="AV26" s="36">
        <v>0</v>
      </c>
      <c r="AW26" s="36">
        <v>0</v>
      </c>
      <c r="AX26" s="36">
        <v>0</v>
      </c>
      <c r="AY26" s="36">
        <v>0</v>
      </c>
      <c r="AZ26" s="36">
        <v>0</v>
      </c>
      <c r="BA26" s="36">
        <v>0</v>
      </c>
      <c r="BB26" s="36">
        <v>0</v>
      </c>
      <c r="BC26" s="36">
        <v>0</v>
      </c>
      <c r="BD26" s="36">
        <v>0</v>
      </c>
      <c r="BE26" s="36">
        <v>0</v>
      </c>
      <c r="BF26" s="36">
        <v>0</v>
      </c>
      <c r="BG26" s="36">
        <v>0</v>
      </c>
      <c r="BH26" s="36">
        <v>0</v>
      </c>
      <c r="BI26" s="36">
        <v>0</v>
      </c>
      <c r="BJ26" s="36">
        <v>0</v>
      </c>
      <c r="BK26" s="36">
        <v>0</v>
      </c>
      <c r="BL26" s="36">
        <v>0</v>
      </c>
      <c r="BM26" s="36">
        <v>0</v>
      </c>
      <c r="BN26" s="36">
        <v>0</v>
      </c>
      <c r="BO26" s="36">
        <v>0</v>
      </c>
      <c r="BP26" s="36">
        <v>0</v>
      </c>
      <c r="BQ26" s="36">
        <v>0</v>
      </c>
      <c r="BR26" s="36">
        <v>0</v>
      </c>
      <c r="BS26" s="36">
        <v>1</v>
      </c>
      <c r="BT26" s="36">
        <v>1</v>
      </c>
      <c r="BU26" s="36">
        <v>1</v>
      </c>
      <c r="BV26" s="36">
        <v>1</v>
      </c>
      <c r="BW26" s="36">
        <v>0</v>
      </c>
      <c r="BX26" s="36">
        <v>0</v>
      </c>
      <c r="BY26" s="36">
        <v>0</v>
      </c>
      <c r="BZ26" s="36">
        <v>0</v>
      </c>
      <c r="CA26" s="36">
        <v>0</v>
      </c>
      <c r="CB26" s="36">
        <v>0</v>
      </c>
      <c r="CC26" s="36">
        <v>0</v>
      </c>
      <c r="CD26" s="36">
        <v>0</v>
      </c>
      <c r="CE26" s="36">
        <v>0</v>
      </c>
      <c r="CF26" s="36">
        <v>0</v>
      </c>
      <c r="CG26" s="36">
        <v>0</v>
      </c>
      <c r="CH26" s="36">
        <v>0</v>
      </c>
      <c r="CI26" s="36">
        <v>0</v>
      </c>
      <c r="CJ26" s="36">
        <v>0</v>
      </c>
      <c r="CK26" s="36">
        <v>0</v>
      </c>
      <c r="CL26" s="36">
        <v>0</v>
      </c>
      <c r="CM26" s="36">
        <v>0</v>
      </c>
      <c r="CN26" s="36">
        <v>0</v>
      </c>
      <c r="CO26" s="36">
        <v>0</v>
      </c>
      <c r="CP26" s="36">
        <v>0</v>
      </c>
      <c r="CQ26" s="36">
        <v>0</v>
      </c>
      <c r="CR26" s="36">
        <v>0</v>
      </c>
      <c r="CS26" s="36">
        <v>0</v>
      </c>
      <c r="CT26" s="36">
        <v>0</v>
      </c>
      <c r="CU26" s="36">
        <v>0</v>
      </c>
      <c r="CV26" s="36">
        <v>0</v>
      </c>
      <c r="CW26" s="36">
        <v>0</v>
      </c>
      <c r="CX26" s="36">
        <v>0</v>
      </c>
      <c r="CY26" s="36">
        <v>0</v>
      </c>
      <c r="CZ26" s="36">
        <v>0</v>
      </c>
      <c r="DA26" s="36">
        <v>0</v>
      </c>
      <c r="DB26" s="36">
        <v>0</v>
      </c>
      <c r="DC26" s="36">
        <v>0</v>
      </c>
      <c r="DD26" s="36">
        <v>0</v>
      </c>
      <c r="DE26" s="36">
        <v>0</v>
      </c>
      <c r="DF26" s="36">
        <v>0</v>
      </c>
      <c r="DG26" s="36">
        <v>0</v>
      </c>
      <c r="DH26" s="36">
        <v>0</v>
      </c>
      <c r="DI26" s="36">
        <v>0</v>
      </c>
      <c r="DJ26" s="36">
        <v>0</v>
      </c>
      <c r="DK26" s="36">
        <v>0</v>
      </c>
      <c r="DL26" s="36">
        <v>0</v>
      </c>
      <c r="DM26" s="36">
        <v>0</v>
      </c>
      <c r="DN26" s="36">
        <v>0</v>
      </c>
      <c r="DO26" s="36">
        <v>0</v>
      </c>
      <c r="DP26" s="36">
        <v>0</v>
      </c>
      <c r="DQ26" s="36">
        <v>0</v>
      </c>
      <c r="DR26" s="36">
        <v>0</v>
      </c>
      <c r="DS26" s="36">
        <v>0</v>
      </c>
      <c r="DT26" s="36">
        <v>0</v>
      </c>
      <c r="DU26" s="36">
        <v>0</v>
      </c>
      <c r="DV26" s="36">
        <v>0</v>
      </c>
      <c r="DW26" s="36">
        <v>0</v>
      </c>
      <c r="DX26" s="36">
        <v>0</v>
      </c>
      <c r="DY26" s="36">
        <v>0</v>
      </c>
      <c r="DZ26" s="36">
        <v>0</v>
      </c>
      <c r="EA26" s="36">
        <v>0</v>
      </c>
      <c r="EB26" s="36">
        <v>0</v>
      </c>
      <c r="EC26" s="36">
        <v>0</v>
      </c>
      <c r="ED26" s="36">
        <v>0</v>
      </c>
      <c r="EE26" s="36">
        <v>0</v>
      </c>
      <c r="EF26" s="37">
        <v>0</v>
      </c>
    </row>
    <row r="27" spans="1:136" s="3" customFormat="1" ht="19" customHeight="1" x14ac:dyDescent="0.2">
      <c r="A27" s="117" t="s">
        <v>291</v>
      </c>
      <c r="B27" s="86">
        <v>24</v>
      </c>
      <c r="C27" s="86">
        <v>24</v>
      </c>
      <c r="D27" s="35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  <c r="AJ27" s="36">
        <v>0</v>
      </c>
      <c r="AK27" s="36">
        <v>0</v>
      </c>
      <c r="AL27" s="36">
        <v>0</v>
      </c>
      <c r="AM27" s="36">
        <v>0</v>
      </c>
      <c r="AN27" s="36">
        <v>0</v>
      </c>
      <c r="AO27" s="36">
        <v>0</v>
      </c>
      <c r="AP27" s="36">
        <v>0</v>
      </c>
      <c r="AQ27" s="36">
        <v>0</v>
      </c>
      <c r="AR27" s="36">
        <v>0</v>
      </c>
      <c r="AS27" s="36">
        <v>0</v>
      </c>
      <c r="AT27" s="36">
        <v>0</v>
      </c>
      <c r="AU27" s="36">
        <v>0</v>
      </c>
      <c r="AV27" s="36">
        <v>0</v>
      </c>
      <c r="AW27" s="36">
        <v>0</v>
      </c>
      <c r="AX27" s="36">
        <v>0</v>
      </c>
      <c r="AY27" s="36">
        <v>0</v>
      </c>
      <c r="AZ27" s="36">
        <v>0</v>
      </c>
      <c r="BA27" s="36">
        <v>0</v>
      </c>
      <c r="BB27" s="36">
        <v>0</v>
      </c>
      <c r="BC27" s="36">
        <v>0</v>
      </c>
      <c r="BD27" s="36">
        <v>0</v>
      </c>
      <c r="BE27" s="36">
        <v>0</v>
      </c>
      <c r="BF27" s="36">
        <v>0</v>
      </c>
      <c r="BG27" s="36">
        <v>0</v>
      </c>
      <c r="BH27" s="36">
        <v>0</v>
      </c>
      <c r="BI27" s="36">
        <v>0</v>
      </c>
      <c r="BJ27" s="36">
        <v>0</v>
      </c>
      <c r="BK27" s="36">
        <v>0</v>
      </c>
      <c r="BL27" s="36">
        <v>0</v>
      </c>
      <c r="BM27" s="36">
        <v>0</v>
      </c>
      <c r="BN27" s="36">
        <v>0</v>
      </c>
      <c r="BO27" s="36">
        <v>0</v>
      </c>
      <c r="BP27" s="36">
        <v>0</v>
      </c>
      <c r="BQ27" s="36">
        <v>0</v>
      </c>
      <c r="BR27" s="36">
        <v>0</v>
      </c>
      <c r="BS27" s="36">
        <v>0</v>
      </c>
      <c r="BT27" s="36">
        <v>0</v>
      </c>
      <c r="BU27" s="36">
        <v>0</v>
      </c>
      <c r="BV27" s="36">
        <v>0</v>
      </c>
      <c r="BW27" s="36">
        <v>1</v>
      </c>
      <c r="BX27" s="36">
        <v>1</v>
      </c>
      <c r="BY27" s="36">
        <v>1</v>
      </c>
      <c r="BZ27" s="36">
        <v>1</v>
      </c>
      <c r="CA27" s="36">
        <v>0</v>
      </c>
      <c r="CB27" s="36">
        <v>0</v>
      </c>
      <c r="CC27" s="36">
        <v>0</v>
      </c>
      <c r="CD27" s="36">
        <v>0</v>
      </c>
      <c r="CE27" s="36">
        <v>0</v>
      </c>
      <c r="CF27" s="36">
        <v>0</v>
      </c>
      <c r="CG27" s="36">
        <v>0</v>
      </c>
      <c r="CH27" s="36">
        <v>0</v>
      </c>
      <c r="CI27" s="36">
        <v>0</v>
      </c>
      <c r="CJ27" s="36">
        <v>0</v>
      </c>
      <c r="CK27" s="36">
        <v>0</v>
      </c>
      <c r="CL27" s="36">
        <v>0</v>
      </c>
      <c r="CM27" s="36">
        <v>0</v>
      </c>
      <c r="CN27" s="36">
        <v>0</v>
      </c>
      <c r="CO27" s="36">
        <v>0</v>
      </c>
      <c r="CP27" s="36">
        <v>0</v>
      </c>
      <c r="CQ27" s="36">
        <v>0</v>
      </c>
      <c r="CR27" s="36">
        <v>0</v>
      </c>
      <c r="CS27" s="36">
        <v>0</v>
      </c>
      <c r="CT27" s="36">
        <v>0</v>
      </c>
      <c r="CU27" s="36">
        <v>0</v>
      </c>
      <c r="CV27" s="36">
        <v>0</v>
      </c>
      <c r="CW27" s="36">
        <v>0</v>
      </c>
      <c r="CX27" s="36">
        <v>0</v>
      </c>
      <c r="CY27" s="36">
        <v>0</v>
      </c>
      <c r="CZ27" s="36">
        <v>0</v>
      </c>
      <c r="DA27" s="36">
        <v>0</v>
      </c>
      <c r="DB27" s="36">
        <v>0</v>
      </c>
      <c r="DC27" s="36">
        <v>0</v>
      </c>
      <c r="DD27" s="36">
        <v>0</v>
      </c>
      <c r="DE27" s="36">
        <v>0</v>
      </c>
      <c r="DF27" s="36">
        <v>0</v>
      </c>
      <c r="DG27" s="36">
        <v>0</v>
      </c>
      <c r="DH27" s="36">
        <v>0</v>
      </c>
      <c r="DI27" s="36">
        <v>0</v>
      </c>
      <c r="DJ27" s="36">
        <v>0</v>
      </c>
      <c r="DK27" s="36">
        <v>0</v>
      </c>
      <c r="DL27" s="36">
        <v>0</v>
      </c>
      <c r="DM27" s="36">
        <v>0</v>
      </c>
      <c r="DN27" s="36">
        <v>0</v>
      </c>
      <c r="DO27" s="36">
        <v>0</v>
      </c>
      <c r="DP27" s="36">
        <v>0</v>
      </c>
      <c r="DQ27" s="36">
        <v>0</v>
      </c>
      <c r="DR27" s="36">
        <v>0</v>
      </c>
      <c r="DS27" s="36">
        <v>0</v>
      </c>
      <c r="DT27" s="36">
        <v>0</v>
      </c>
      <c r="DU27" s="36">
        <v>0</v>
      </c>
      <c r="DV27" s="36">
        <v>0</v>
      </c>
      <c r="DW27" s="36">
        <v>0</v>
      </c>
      <c r="DX27" s="36">
        <v>0</v>
      </c>
      <c r="DY27" s="36">
        <v>0</v>
      </c>
      <c r="DZ27" s="36">
        <v>0</v>
      </c>
      <c r="EA27" s="36">
        <v>0</v>
      </c>
      <c r="EB27" s="36">
        <v>0</v>
      </c>
      <c r="EC27" s="36">
        <v>0</v>
      </c>
      <c r="ED27" s="36">
        <v>0</v>
      </c>
      <c r="EE27" s="36">
        <v>0</v>
      </c>
      <c r="EF27" s="37">
        <v>0</v>
      </c>
    </row>
    <row r="28" spans="1:136" s="3" customFormat="1" ht="18.5" customHeight="1" x14ac:dyDescent="0.2">
      <c r="B28" s="86">
        <v>25</v>
      </c>
      <c r="C28" s="86">
        <v>25</v>
      </c>
      <c r="D28" s="35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6">
        <v>0</v>
      </c>
      <c r="AH28" s="36">
        <v>0</v>
      </c>
      <c r="AI28" s="36">
        <v>0</v>
      </c>
      <c r="AJ28" s="36">
        <v>0</v>
      </c>
      <c r="AK28" s="36">
        <v>0</v>
      </c>
      <c r="AL28" s="36">
        <v>0</v>
      </c>
      <c r="AM28" s="36">
        <v>0</v>
      </c>
      <c r="AN28" s="36">
        <v>0</v>
      </c>
      <c r="AO28" s="36">
        <v>0</v>
      </c>
      <c r="AP28" s="36">
        <v>0</v>
      </c>
      <c r="AQ28" s="36">
        <v>0</v>
      </c>
      <c r="AR28" s="36">
        <v>0</v>
      </c>
      <c r="AS28" s="36">
        <v>0</v>
      </c>
      <c r="AT28" s="36">
        <v>0</v>
      </c>
      <c r="AU28" s="36">
        <v>0</v>
      </c>
      <c r="AV28" s="36">
        <v>0</v>
      </c>
      <c r="AW28" s="36">
        <v>0</v>
      </c>
      <c r="AX28" s="36">
        <v>0</v>
      </c>
      <c r="AY28" s="36">
        <v>0</v>
      </c>
      <c r="AZ28" s="36">
        <v>0</v>
      </c>
      <c r="BA28" s="36">
        <v>0</v>
      </c>
      <c r="BB28" s="36">
        <v>0</v>
      </c>
      <c r="BC28" s="36">
        <v>0</v>
      </c>
      <c r="BD28" s="36">
        <v>0</v>
      </c>
      <c r="BE28" s="36">
        <v>0</v>
      </c>
      <c r="BF28" s="36">
        <v>0</v>
      </c>
      <c r="BG28" s="36">
        <v>0</v>
      </c>
      <c r="BH28" s="36">
        <v>0</v>
      </c>
      <c r="BI28" s="36">
        <v>0</v>
      </c>
      <c r="BJ28" s="36">
        <v>0</v>
      </c>
      <c r="BK28" s="36">
        <v>0</v>
      </c>
      <c r="BL28" s="36">
        <v>0</v>
      </c>
      <c r="BM28" s="36">
        <v>0</v>
      </c>
      <c r="BN28" s="36">
        <v>0</v>
      </c>
      <c r="BO28" s="36">
        <v>0</v>
      </c>
      <c r="BP28" s="36">
        <v>0</v>
      </c>
      <c r="BQ28" s="36">
        <v>0</v>
      </c>
      <c r="BR28" s="36">
        <v>0</v>
      </c>
      <c r="BS28" s="36">
        <v>0</v>
      </c>
      <c r="BT28" s="36">
        <v>0</v>
      </c>
      <c r="BU28" s="36">
        <v>0</v>
      </c>
      <c r="BV28" s="36">
        <v>0</v>
      </c>
      <c r="BW28" s="36">
        <v>0</v>
      </c>
      <c r="BX28" s="36">
        <v>0</v>
      </c>
      <c r="BY28" s="36">
        <v>0</v>
      </c>
      <c r="BZ28" s="36">
        <v>0</v>
      </c>
      <c r="CA28" s="36">
        <v>1</v>
      </c>
      <c r="CB28" s="36">
        <v>1</v>
      </c>
      <c r="CC28" s="36">
        <v>1</v>
      </c>
      <c r="CD28" s="36">
        <v>1</v>
      </c>
      <c r="CE28" s="36">
        <v>0</v>
      </c>
      <c r="CF28" s="36">
        <v>0</v>
      </c>
      <c r="CG28" s="36">
        <v>0</v>
      </c>
      <c r="CH28" s="36">
        <v>0</v>
      </c>
      <c r="CI28" s="36">
        <v>0</v>
      </c>
      <c r="CJ28" s="36">
        <v>0</v>
      </c>
      <c r="CK28" s="36">
        <v>0</v>
      </c>
      <c r="CL28" s="36">
        <v>0</v>
      </c>
      <c r="CM28" s="36">
        <v>0</v>
      </c>
      <c r="CN28" s="36">
        <v>0</v>
      </c>
      <c r="CO28" s="36">
        <v>0</v>
      </c>
      <c r="CP28" s="36">
        <v>0</v>
      </c>
      <c r="CQ28" s="36">
        <v>0</v>
      </c>
      <c r="CR28" s="36">
        <v>0</v>
      </c>
      <c r="CS28" s="36">
        <v>0</v>
      </c>
      <c r="CT28" s="36">
        <v>0</v>
      </c>
      <c r="CU28" s="36">
        <v>0</v>
      </c>
      <c r="CV28" s="36">
        <v>0</v>
      </c>
      <c r="CW28" s="36">
        <v>0</v>
      </c>
      <c r="CX28" s="36">
        <v>0</v>
      </c>
      <c r="CY28" s="36">
        <v>0</v>
      </c>
      <c r="CZ28" s="36">
        <v>0</v>
      </c>
      <c r="DA28" s="36">
        <v>0</v>
      </c>
      <c r="DB28" s="36">
        <v>0</v>
      </c>
      <c r="DC28" s="36">
        <v>0</v>
      </c>
      <c r="DD28" s="36">
        <v>0</v>
      </c>
      <c r="DE28" s="36">
        <v>0</v>
      </c>
      <c r="DF28" s="36">
        <v>0</v>
      </c>
      <c r="DG28" s="36">
        <v>0</v>
      </c>
      <c r="DH28" s="36">
        <v>0</v>
      </c>
      <c r="DI28" s="36">
        <v>0</v>
      </c>
      <c r="DJ28" s="36">
        <v>0</v>
      </c>
      <c r="DK28" s="36">
        <v>0</v>
      </c>
      <c r="DL28" s="36">
        <v>0</v>
      </c>
      <c r="DM28" s="36">
        <v>0</v>
      </c>
      <c r="DN28" s="36">
        <v>0</v>
      </c>
      <c r="DO28" s="36">
        <v>0</v>
      </c>
      <c r="DP28" s="36">
        <v>0</v>
      </c>
      <c r="DQ28" s="36">
        <v>0</v>
      </c>
      <c r="DR28" s="36">
        <v>0</v>
      </c>
      <c r="DS28" s="36">
        <v>0</v>
      </c>
      <c r="DT28" s="36">
        <v>0</v>
      </c>
      <c r="DU28" s="36">
        <v>0</v>
      </c>
      <c r="DV28" s="36">
        <v>0</v>
      </c>
      <c r="DW28" s="36">
        <v>0</v>
      </c>
      <c r="DX28" s="36">
        <v>0</v>
      </c>
      <c r="DY28" s="36">
        <v>0</v>
      </c>
      <c r="DZ28" s="36">
        <v>0</v>
      </c>
      <c r="EA28" s="36">
        <v>0</v>
      </c>
      <c r="EB28" s="36">
        <v>0</v>
      </c>
      <c r="EC28" s="36">
        <v>0</v>
      </c>
      <c r="ED28" s="36">
        <v>0</v>
      </c>
      <c r="EE28" s="36">
        <v>0</v>
      </c>
      <c r="EF28" s="37">
        <v>0</v>
      </c>
    </row>
    <row r="29" spans="1:136" s="3" customFormat="1" ht="18" customHeight="1" x14ac:dyDescent="0.2">
      <c r="B29" s="86">
        <v>26</v>
      </c>
      <c r="C29" s="86">
        <v>26</v>
      </c>
      <c r="D29" s="35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  <c r="AD29" s="36">
        <v>0</v>
      </c>
      <c r="AE29" s="36">
        <v>0</v>
      </c>
      <c r="AF29" s="36">
        <v>0</v>
      </c>
      <c r="AG29" s="36">
        <v>0</v>
      </c>
      <c r="AH29" s="36">
        <v>0</v>
      </c>
      <c r="AI29" s="36">
        <v>0</v>
      </c>
      <c r="AJ29" s="36">
        <v>0</v>
      </c>
      <c r="AK29" s="36">
        <v>0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36">
        <v>0</v>
      </c>
      <c r="AS29" s="36">
        <v>0</v>
      </c>
      <c r="AT29" s="36">
        <v>0</v>
      </c>
      <c r="AU29" s="36">
        <v>0</v>
      </c>
      <c r="AV29" s="36">
        <v>0</v>
      </c>
      <c r="AW29" s="36">
        <v>0</v>
      </c>
      <c r="AX29" s="36">
        <v>0</v>
      </c>
      <c r="AY29" s="36">
        <v>0</v>
      </c>
      <c r="AZ29" s="36">
        <v>0</v>
      </c>
      <c r="BA29" s="36">
        <v>0</v>
      </c>
      <c r="BB29" s="36">
        <v>0</v>
      </c>
      <c r="BC29" s="36">
        <v>0</v>
      </c>
      <c r="BD29" s="36">
        <v>0</v>
      </c>
      <c r="BE29" s="36">
        <v>0</v>
      </c>
      <c r="BF29" s="36">
        <v>0</v>
      </c>
      <c r="BG29" s="36">
        <v>0</v>
      </c>
      <c r="BH29" s="36">
        <v>0</v>
      </c>
      <c r="BI29" s="36">
        <v>0</v>
      </c>
      <c r="BJ29" s="36">
        <v>0</v>
      </c>
      <c r="BK29" s="36">
        <v>0</v>
      </c>
      <c r="BL29" s="36">
        <v>0</v>
      </c>
      <c r="BM29" s="36">
        <v>0</v>
      </c>
      <c r="BN29" s="36">
        <v>0</v>
      </c>
      <c r="BO29" s="36">
        <v>0</v>
      </c>
      <c r="BP29" s="36">
        <v>0</v>
      </c>
      <c r="BQ29" s="36">
        <v>0</v>
      </c>
      <c r="BR29" s="36">
        <v>0</v>
      </c>
      <c r="BS29" s="36">
        <v>0</v>
      </c>
      <c r="BT29" s="36">
        <v>0</v>
      </c>
      <c r="BU29" s="36">
        <v>0</v>
      </c>
      <c r="BV29" s="36">
        <v>0</v>
      </c>
      <c r="BW29" s="36">
        <v>0</v>
      </c>
      <c r="BX29" s="36">
        <v>0</v>
      </c>
      <c r="BY29" s="36">
        <v>0</v>
      </c>
      <c r="BZ29" s="36">
        <v>0</v>
      </c>
      <c r="CA29" s="36">
        <v>0</v>
      </c>
      <c r="CB29" s="36">
        <v>0</v>
      </c>
      <c r="CC29" s="36">
        <v>0</v>
      </c>
      <c r="CD29" s="36">
        <v>0</v>
      </c>
      <c r="CE29" s="36">
        <v>1</v>
      </c>
      <c r="CF29" s="36">
        <v>1</v>
      </c>
      <c r="CG29" s="36">
        <v>1</v>
      </c>
      <c r="CH29" s="36">
        <v>1</v>
      </c>
      <c r="CI29" s="36">
        <v>0</v>
      </c>
      <c r="CJ29" s="36">
        <v>0</v>
      </c>
      <c r="CK29" s="36">
        <v>0</v>
      </c>
      <c r="CL29" s="36">
        <v>0</v>
      </c>
      <c r="CM29" s="36">
        <v>0</v>
      </c>
      <c r="CN29" s="36">
        <v>0</v>
      </c>
      <c r="CO29" s="36">
        <v>0</v>
      </c>
      <c r="CP29" s="36">
        <v>0</v>
      </c>
      <c r="CQ29" s="36">
        <v>0</v>
      </c>
      <c r="CR29" s="36">
        <v>0</v>
      </c>
      <c r="CS29" s="36">
        <v>0</v>
      </c>
      <c r="CT29" s="36">
        <v>0</v>
      </c>
      <c r="CU29" s="36">
        <v>0</v>
      </c>
      <c r="CV29" s="36">
        <v>0</v>
      </c>
      <c r="CW29" s="36">
        <v>0</v>
      </c>
      <c r="CX29" s="36">
        <v>0</v>
      </c>
      <c r="CY29" s="36">
        <v>0</v>
      </c>
      <c r="CZ29" s="36">
        <v>0</v>
      </c>
      <c r="DA29" s="36">
        <v>0</v>
      </c>
      <c r="DB29" s="36">
        <v>0</v>
      </c>
      <c r="DC29" s="36">
        <v>0</v>
      </c>
      <c r="DD29" s="36">
        <v>0</v>
      </c>
      <c r="DE29" s="36">
        <v>0</v>
      </c>
      <c r="DF29" s="36">
        <v>0</v>
      </c>
      <c r="DG29" s="36">
        <v>0</v>
      </c>
      <c r="DH29" s="36">
        <v>0</v>
      </c>
      <c r="DI29" s="36">
        <v>0</v>
      </c>
      <c r="DJ29" s="36">
        <v>0</v>
      </c>
      <c r="DK29" s="36">
        <v>0</v>
      </c>
      <c r="DL29" s="36">
        <v>0</v>
      </c>
      <c r="DM29" s="36">
        <v>0</v>
      </c>
      <c r="DN29" s="36">
        <v>0</v>
      </c>
      <c r="DO29" s="36">
        <v>0</v>
      </c>
      <c r="DP29" s="36">
        <v>0</v>
      </c>
      <c r="DQ29" s="36">
        <v>0</v>
      </c>
      <c r="DR29" s="36">
        <v>0</v>
      </c>
      <c r="DS29" s="36">
        <v>0</v>
      </c>
      <c r="DT29" s="36">
        <v>0</v>
      </c>
      <c r="DU29" s="36">
        <v>0</v>
      </c>
      <c r="DV29" s="36">
        <v>0</v>
      </c>
      <c r="DW29" s="36">
        <v>0</v>
      </c>
      <c r="DX29" s="36">
        <v>0</v>
      </c>
      <c r="DY29" s="36">
        <v>0</v>
      </c>
      <c r="DZ29" s="36">
        <v>0</v>
      </c>
      <c r="EA29" s="36">
        <v>0</v>
      </c>
      <c r="EB29" s="36">
        <v>0</v>
      </c>
      <c r="EC29" s="36">
        <v>0</v>
      </c>
      <c r="ED29" s="36">
        <v>0</v>
      </c>
      <c r="EE29" s="36">
        <v>0</v>
      </c>
      <c r="EF29" s="37">
        <v>0</v>
      </c>
    </row>
    <row r="30" spans="1:136" s="3" customFormat="1" ht="18" customHeight="1" x14ac:dyDescent="0.2">
      <c r="B30" s="86">
        <v>27</v>
      </c>
      <c r="C30" s="86">
        <v>27</v>
      </c>
      <c r="D30" s="35">
        <v>0</v>
      </c>
      <c r="E30" s="36">
        <v>0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  <c r="AD30" s="36">
        <v>0</v>
      </c>
      <c r="AE30" s="36">
        <v>0</v>
      </c>
      <c r="AF30" s="36">
        <v>0</v>
      </c>
      <c r="AG30" s="36">
        <v>0</v>
      </c>
      <c r="AH30" s="36">
        <v>0</v>
      </c>
      <c r="AI30" s="36">
        <v>0</v>
      </c>
      <c r="AJ30" s="36">
        <v>0</v>
      </c>
      <c r="AK30" s="36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36">
        <v>0</v>
      </c>
      <c r="AS30" s="36">
        <v>0</v>
      </c>
      <c r="AT30" s="36">
        <v>0</v>
      </c>
      <c r="AU30" s="36">
        <v>0</v>
      </c>
      <c r="AV30" s="36">
        <v>0</v>
      </c>
      <c r="AW30" s="36">
        <v>0</v>
      </c>
      <c r="AX30" s="36">
        <v>0</v>
      </c>
      <c r="AY30" s="36">
        <v>0</v>
      </c>
      <c r="AZ30" s="36">
        <v>0</v>
      </c>
      <c r="BA30" s="36">
        <v>0</v>
      </c>
      <c r="BB30" s="36">
        <v>0</v>
      </c>
      <c r="BC30" s="36">
        <v>0</v>
      </c>
      <c r="BD30" s="36">
        <v>0</v>
      </c>
      <c r="BE30" s="36">
        <v>0</v>
      </c>
      <c r="BF30" s="36">
        <v>0</v>
      </c>
      <c r="BG30" s="36">
        <v>0</v>
      </c>
      <c r="BH30" s="36">
        <v>0</v>
      </c>
      <c r="BI30" s="36">
        <v>0</v>
      </c>
      <c r="BJ30" s="36">
        <v>0</v>
      </c>
      <c r="BK30" s="36">
        <v>0</v>
      </c>
      <c r="BL30" s="36">
        <v>0</v>
      </c>
      <c r="BM30" s="36">
        <v>0</v>
      </c>
      <c r="BN30" s="36">
        <v>0</v>
      </c>
      <c r="BO30" s="36">
        <v>0</v>
      </c>
      <c r="BP30" s="36">
        <v>0</v>
      </c>
      <c r="BQ30" s="36">
        <v>0</v>
      </c>
      <c r="BR30" s="36">
        <v>0</v>
      </c>
      <c r="BS30" s="36">
        <v>0</v>
      </c>
      <c r="BT30" s="36">
        <v>0</v>
      </c>
      <c r="BU30" s="36">
        <v>0</v>
      </c>
      <c r="BV30" s="36">
        <v>0</v>
      </c>
      <c r="BW30" s="36">
        <v>0</v>
      </c>
      <c r="BX30" s="36">
        <v>0</v>
      </c>
      <c r="BY30" s="36">
        <v>0</v>
      </c>
      <c r="BZ30" s="36">
        <v>0</v>
      </c>
      <c r="CA30" s="36">
        <v>0</v>
      </c>
      <c r="CB30" s="36">
        <v>0</v>
      </c>
      <c r="CC30" s="36">
        <v>0</v>
      </c>
      <c r="CD30" s="36">
        <v>0</v>
      </c>
      <c r="CE30" s="36">
        <v>0</v>
      </c>
      <c r="CF30" s="36">
        <v>0</v>
      </c>
      <c r="CG30" s="36">
        <v>0</v>
      </c>
      <c r="CH30" s="36">
        <v>0</v>
      </c>
      <c r="CI30" s="36">
        <v>1</v>
      </c>
      <c r="CJ30" s="36">
        <v>1</v>
      </c>
      <c r="CK30" s="36">
        <v>1</v>
      </c>
      <c r="CL30" s="36">
        <v>1</v>
      </c>
      <c r="CM30" s="36">
        <v>0</v>
      </c>
      <c r="CN30" s="36">
        <v>0</v>
      </c>
      <c r="CO30" s="36">
        <v>0</v>
      </c>
      <c r="CP30" s="36">
        <v>0</v>
      </c>
      <c r="CQ30" s="36">
        <v>0</v>
      </c>
      <c r="CR30" s="36">
        <v>0</v>
      </c>
      <c r="CS30" s="36">
        <v>0</v>
      </c>
      <c r="CT30" s="36">
        <v>0</v>
      </c>
      <c r="CU30" s="36">
        <v>0</v>
      </c>
      <c r="CV30" s="36">
        <v>0</v>
      </c>
      <c r="CW30" s="36">
        <v>0</v>
      </c>
      <c r="CX30" s="36">
        <v>0</v>
      </c>
      <c r="CY30" s="36">
        <v>0</v>
      </c>
      <c r="CZ30" s="36">
        <v>0</v>
      </c>
      <c r="DA30" s="36">
        <v>0</v>
      </c>
      <c r="DB30" s="36">
        <v>0</v>
      </c>
      <c r="DC30" s="36">
        <v>0</v>
      </c>
      <c r="DD30" s="36">
        <v>0</v>
      </c>
      <c r="DE30" s="36">
        <v>0</v>
      </c>
      <c r="DF30" s="36">
        <v>0</v>
      </c>
      <c r="DG30" s="36">
        <v>0</v>
      </c>
      <c r="DH30" s="36">
        <v>0</v>
      </c>
      <c r="DI30" s="36">
        <v>0</v>
      </c>
      <c r="DJ30" s="36">
        <v>0</v>
      </c>
      <c r="DK30" s="36">
        <v>0</v>
      </c>
      <c r="DL30" s="36">
        <v>0</v>
      </c>
      <c r="DM30" s="36">
        <v>0</v>
      </c>
      <c r="DN30" s="36">
        <v>0</v>
      </c>
      <c r="DO30" s="36">
        <v>0</v>
      </c>
      <c r="DP30" s="36">
        <v>0</v>
      </c>
      <c r="DQ30" s="36">
        <v>0</v>
      </c>
      <c r="DR30" s="36">
        <v>0</v>
      </c>
      <c r="DS30" s="36">
        <v>0</v>
      </c>
      <c r="DT30" s="36">
        <v>0</v>
      </c>
      <c r="DU30" s="36">
        <v>0</v>
      </c>
      <c r="DV30" s="36">
        <v>0</v>
      </c>
      <c r="DW30" s="36">
        <v>0</v>
      </c>
      <c r="DX30" s="36">
        <v>0</v>
      </c>
      <c r="DY30" s="36">
        <v>0</v>
      </c>
      <c r="DZ30" s="36">
        <v>0</v>
      </c>
      <c r="EA30" s="36">
        <v>0</v>
      </c>
      <c r="EB30" s="36">
        <v>0</v>
      </c>
      <c r="EC30" s="36">
        <v>0</v>
      </c>
      <c r="ED30" s="36">
        <v>0</v>
      </c>
      <c r="EE30" s="36">
        <v>0</v>
      </c>
      <c r="EF30" s="37">
        <v>0</v>
      </c>
    </row>
    <row r="31" spans="1:136" s="3" customFormat="1" ht="18" customHeight="1" x14ac:dyDescent="0.2">
      <c r="B31" s="86">
        <v>28</v>
      </c>
      <c r="C31" s="86">
        <v>28</v>
      </c>
      <c r="D31" s="35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  <c r="AH31" s="36">
        <v>0</v>
      </c>
      <c r="AI31" s="36">
        <v>0</v>
      </c>
      <c r="AJ31" s="36">
        <v>0</v>
      </c>
      <c r="AK31" s="36">
        <v>0</v>
      </c>
      <c r="AL31" s="36">
        <v>0</v>
      </c>
      <c r="AM31" s="36">
        <v>0</v>
      </c>
      <c r="AN31" s="36">
        <v>0</v>
      </c>
      <c r="AO31" s="36">
        <v>0</v>
      </c>
      <c r="AP31" s="36">
        <v>0</v>
      </c>
      <c r="AQ31" s="36">
        <v>0</v>
      </c>
      <c r="AR31" s="36">
        <v>0</v>
      </c>
      <c r="AS31" s="36">
        <v>0</v>
      </c>
      <c r="AT31" s="36">
        <v>0</v>
      </c>
      <c r="AU31" s="36">
        <v>0</v>
      </c>
      <c r="AV31" s="36">
        <v>0</v>
      </c>
      <c r="AW31" s="36">
        <v>0</v>
      </c>
      <c r="AX31" s="36">
        <v>0</v>
      </c>
      <c r="AY31" s="36">
        <v>0</v>
      </c>
      <c r="AZ31" s="36">
        <v>0</v>
      </c>
      <c r="BA31" s="36">
        <v>0</v>
      </c>
      <c r="BB31" s="36">
        <v>0</v>
      </c>
      <c r="BC31" s="36">
        <v>0</v>
      </c>
      <c r="BD31" s="36">
        <v>0</v>
      </c>
      <c r="BE31" s="36">
        <v>0</v>
      </c>
      <c r="BF31" s="36">
        <v>0</v>
      </c>
      <c r="BG31" s="36">
        <v>0</v>
      </c>
      <c r="BH31" s="36">
        <v>0</v>
      </c>
      <c r="BI31" s="36">
        <v>0</v>
      </c>
      <c r="BJ31" s="36">
        <v>0</v>
      </c>
      <c r="BK31" s="36">
        <v>0</v>
      </c>
      <c r="BL31" s="36">
        <v>0</v>
      </c>
      <c r="BM31" s="36">
        <v>0</v>
      </c>
      <c r="BN31" s="36">
        <v>0</v>
      </c>
      <c r="BO31" s="36">
        <v>0</v>
      </c>
      <c r="BP31" s="36">
        <v>0</v>
      </c>
      <c r="BQ31" s="36">
        <v>0</v>
      </c>
      <c r="BR31" s="36">
        <v>0</v>
      </c>
      <c r="BS31" s="36">
        <v>0</v>
      </c>
      <c r="BT31" s="36">
        <v>0</v>
      </c>
      <c r="BU31" s="36">
        <v>0</v>
      </c>
      <c r="BV31" s="36">
        <v>0</v>
      </c>
      <c r="BW31" s="36">
        <v>0</v>
      </c>
      <c r="BX31" s="36">
        <v>0</v>
      </c>
      <c r="BY31" s="36">
        <v>0</v>
      </c>
      <c r="BZ31" s="36">
        <v>0</v>
      </c>
      <c r="CA31" s="36">
        <v>0</v>
      </c>
      <c r="CB31" s="36">
        <v>0</v>
      </c>
      <c r="CC31" s="36">
        <v>0</v>
      </c>
      <c r="CD31" s="36">
        <v>0</v>
      </c>
      <c r="CE31" s="36">
        <v>0</v>
      </c>
      <c r="CF31" s="36">
        <v>0</v>
      </c>
      <c r="CG31" s="36">
        <v>0</v>
      </c>
      <c r="CH31" s="36">
        <v>0</v>
      </c>
      <c r="CI31" s="36">
        <v>0</v>
      </c>
      <c r="CJ31" s="36">
        <v>0</v>
      </c>
      <c r="CK31" s="36">
        <v>0</v>
      </c>
      <c r="CL31" s="36">
        <v>0</v>
      </c>
      <c r="CM31" s="36">
        <v>1</v>
      </c>
      <c r="CN31" s="36">
        <v>1</v>
      </c>
      <c r="CO31" s="36">
        <v>1</v>
      </c>
      <c r="CP31" s="36">
        <v>1</v>
      </c>
      <c r="CQ31" s="36">
        <v>0</v>
      </c>
      <c r="CR31" s="36">
        <v>0</v>
      </c>
      <c r="CS31" s="36">
        <v>0</v>
      </c>
      <c r="CT31" s="36">
        <v>0</v>
      </c>
      <c r="CU31" s="36">
        <v>0</v>
      </c>
      <c r="CV31" s="36">
        <v>0</v>
      </c>
      <c r="CW31" s="36">
        <v>0</v>
      </c>
      <c r="CX31" s="36">
        <v>0</v>
      </c>
      <c r="CY31" s="36">
        <v>0</v>
      </c>
      <c r="CZ31" s="36">
        <v>0</v>
      </c>
      <c r="DA31" s="36">
        <v>0</v>
      </c>
      <c r="DB31" s="36">
        <v>0</v>
      </c>
      <c r="DC31" s="36">
        <v>0</v>
      </c>
      <c r="DD31" s="36">
        <v>0</v>
      </c>
      <c r="DE31" s="36">
        <v>0</v>
      </c>
      <c r="DF31" s="36">
        <v>0</v>
      </c>
      <c r="DG31" s="36">
        <v>0</v>
      </c>
      <c r="DH31" s="36">
        <v>0</v>
      </c>
      <c r="DI31" s="36">
        <v>0</v>
      </c>
      <c r="DJ31" s="36">
        <v>0</v>
      </c>
      <c r="DK31" s="36">
        <v>0</v>
      </c>
      <c r="DL31" s="36">
        <v>0</v>
      </c>
      <c r="DM31" s="36">
        <v>0</v>
      </c>
      <c r="DN31" s="36">
        <v>0</v>
      </c>
      <c r="DO31" s="36">
        <v>0</v>
      </c>
      <c r="DP31" s="36">
        <v>0</v>
      </c>
      <c r="DQ31" s="36">
        <v>0</v>
      </c>
      <c r="DR31" s="36">
        <v>0</v>
      </c>
      <c r="DS31" s="36">
        <v>0</v>
      </c>
      <c r="DT31" s="36">
        <v>0</v>
      </c>
      <c r="DU31" s="36">
        <v>0</v>
      </c>
      <c r="DV31" s="36">
        <v>0</v>
      </c>
      <c r="DW31" s="36">
        <v>0</v>
      </c>
      <c r="DX31" s="36">
        <v>0</v>
      </c>
      <c r="DY31" s="36">
        <v>0</v>
      </c>
      <c r="DZ31" s="36">
        <v>0</v>
      </c>
      <c r="EA31" s="36">
        <v>0</v>
      </c>
      <c r="EB31" s="36">
        <v>0</v>
      </c>
      <c r="EC31" s="36">
        <v>0</v>
      </c>
      <c r="ED31" s="36">
        <v>0</v>
      </c>
      <c r="EE31" s="36">
        <v>0</v>
      </c>
      <c r="EF31" s="37">
        <v>0</v>
      </c>
    </row>
    <row r="32" spans="1:136" s="3" customFormat="1" ht="18" customHeight="1" x14ac:dyDescent="0.2">
      <c r="B32" s="86">
        <v>29</v>
      </c>
      <c r="C32" s="86">
        <v>29</v>
      </c>
      <c r="D32" s="35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  <c r="AJ32" s="36">
        <v>0</v>
      </c>
      <c r="AK32" s="36">
        <v>0</v>
      </c>
      <c r="AL32" s="36">
        <v>0</v>
      </c>
      <c r="AM32" s="36">
        <v>0</v>
      </c>
      <c r="AN32" s="36">
        <v>0</v>
      </c>
      <c r="AO32" s="36">
        <v>0</v>
      </c>
      <c r="AP32" s="36">
        <v>0</v>
      </c>
      <c r="AQ32" s="36">
        <v>0</v>
      </c>
      <c r="AR32" s="36">
        <v>0</v>
      </c>
      <c r="AS32" s="36">
        <v>0</v>
      </c>
      <c r="AT32" s="36">
        <v>0</v>
      </c>
      <c r="AU32" s="36">
        <v>0</v>
      </c>
      <c r="AV32" s="36">
        <v>0</v>
      </c>
      <c r="AW32" s="36">
        <v>0</v>
      </c>
      <c r="AX32" s="36">
        <v>0</v>
      </c>
      <c r="AY32" s="36">
        <v>0</v>
      </c>
      <c r="AZ32" s="36">
        <v>0</v>
      </c>
      <c r="BA32" s="36">
        <v>0</v>
      </c>
      <c r="BB32" s="36">
        <v>0</v>
      </c>
      <c r="BC32" s="36">
        <v>0</v>
      </c>
      <c r="BD32" s="36">
        <v>0</v>
      </c>
      <c r="BE32" s="36">
        <v>0</v>
      </c>
      <c r="BF32" s="36">
        <v>0</v>
      </c>
      <c r="BG32" s="36">
        <v>0</v>
      </c>
      <c r="BH32" s="36">
        <v>0</v>
      </c>
      <c r="BI32" s="36">
        <v>0</v>
      </c>
      <c r="BJ32" s="36">
        <v>0</v>
      </c>
      <c r="BK32" s="36">
        <v>0</v>
      </c>
      <c r="BL32" s="36">
        <v>0</v>
      </c>
      <c r="BM32" s="36">
        <v>0</v>
      </c>
      <c r="BN32" s="36">
        <v>0</v>
      </c>
      <c r="BO32" s="36">
        <v>0</v>
      </c>
      <c r="BP32" s="36">
        <v>0</v>
      </c>
      <c r="BQ32" s="36">
        <v>0</v>
      </c>
      <c r="BR32" s="36">
        <v>0</v>
      </c>
      <c r="BS32" s="36">
        <v>0</v>
      </c>
      <c r="BT32" s="36">
        <v>0</v>
      </c>
      <c r="BU32" s="36">
        <v>0</v>
      </c>
      <c r="BV32" s="36">
        <v>0</v>
      </c>
      <c r="BW32" s="36">
        <v>0</v>
      </c>
      <c r="BX32" s="36">
        <v>0</v>
      </c>
      <c r="BY32" s="36">
        <v>0</v>
      </c>
      <c r="BZ32" s="36">
        <v>0</v>
      </c>
      <c r="CA32" s="36">
        <v>0</v>
      </c>
      <c r="CB32" s="36">
        <v>0</v>
      </c>
      <c r="CC32" s="36">
        <v>0</v>
      </c>
      <c r="CD32" s="36">
        <v>0</v>
      </c>
      <c r="CE32" s="36">
        <v>0</v>
      </c>
      <c r="CF32" s="36">
        <v>0</v>
      </c>
      <c r="CG32" s="36">
        <v>0</v>
      </c>
      <c r="CH32" s="36">
        <v>0</v>
      </c>
      <c r="CI32" s="36">
        <v>0</v>
      </c>
      <c r="CJ32" s="36">
        <v>0</v>
      </c>
      <c r="CK32" s="36">
        <v>0</v>
      </c>
      <c r="CL32" s="36">
        <v>0</v>
      </c>
      <c r="CM32" s="36">
        <v>0</v>
      </c>
      <c r="CN32" s="36">
        <v>0</v>
      </c>
      <c r="CO32" s="36">
        <v>0</v>
      </c>
      <c r="CP32" s="36">
        <v>0</v>
      </c>
      <c r="CQ32" s="36">
        <v>1</v>
      </c>
      <c r="CR32" s="36">
        <v>1</v>
      </c>
      <c r="CS32" s="36">
        <v>0</v>
      </c>
      <c r="CT32" s="36">
        <v>0</v>
      </c>
      <c r="CU32" s="36">
        <v>0</v>
      </c>
      <c r="CV32" s="36">
        <v>0</v>
      </c>
      <c r="CW32" s="36">
        <v>0</v>
      </c>
      <c r="CX32" s="36">
        <v>0</v>
      </c>
      <c r="CY32" s="36">
        <v>0</v>
      </c>
      <c r="CZ32" s="36">
        <v>0</v>
      </c>
      <c r="DA32" s="36">
        <v>0</v>
      </c>
      <c r="DB32" s="36">
        <v>0</v>
      </c>
      <c r="DC32" s="36">
        <v>0</v>
      </c>
      <c r="DD32" s="36">
        <v>0</v>
      </c>
      <c r="DE32" s="36">
        <v>0</v>
      </c>
      <c r="DF32" s="36">
        <v>0</v>
      </c>
      <c r="DG32" s="36">
        <v>0</v>
      </c>
      <c r="DH32" s="36">
        <v>0</v>
      </c>
      <c r="DI32" s="36">
        <v>0</v>
      </c>
      <c r="DJ32" s="36">
        <v>0</v>
      </c>
      <c r="DK32" s="36">
        <v>0</v>
      </c>
      <c r="DL32" s="36">
        <v>0</v>
      </c>
      <c r="DM32" s="36">
        <v>0</v>
      </c>
      <c r="DN32" s="36">
        <v>0</v>
      </c>
      <c r="DO32" s="36">
        <v>0</v>
      </c>
      <c r="DP32" s="36">
        <v>0</v>
      </c>
      <c r="DQ32" s="36">
        <v>0</v>
      </c>
      <c r="DR32" s="36">
        <v>0</v>
      </c>
      <c r="DS32" s="36">
        <v>0</v>
      </c>
      <c r="DT32" s="36">
        <v>0</v>
      </c>
      <c r="DU32" s="36">
        <v>0</v>
      </c>
      <c r="DV32" s="36">
        <v>0</v>
      </c>
      <c r="DW32" s="36">
        <v>0</v>
      </c>
      <c r="DX32" s="36">
        <v>0</v>
      </c>
      <c r="DY32" s="36">
        <v>0</v>
      </c>
      <c r="DZ32" s="36">
        <v>0</v>
      </c>
      <c r="EA32" s="36">
        <v>0</v>
      </c>
      <c r="EB32" s="36">
        <v>0</v>
      </c>
      <c r="EC32" s="36">
        <v>0</v>
      </c>
      <c r="ED32" s="36">
        <v>0</v>
      </c>
      <c r="EE32" s="36">
        <v>0</v>
      </c>
      <c r="EF32" s="37">
        <v>0</v>
      </c>
    </row>
    <row r="33" spans="2:136" s="3" customFormat="1" ht="18" customHeight="1" x14ac:dyDescent="0.2">
      <c r="B33" s="86">
        <v>30</v>
      </c>
      <c r="C33" s="86">
        <v>30</v>
      </c>
      <c r="D33" s="35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  <c r="AJ33" s="36">
        <v>0</v>
      </c>
      <c r="AK33" s="36">
        <v>0</v>
      </c>
      <c r="AL33" s="36">
        <v>0</v>
      </c>
      <c r="AM33" s="36">
        <v>0</v>
      </c>
      <c r="AN33" s="36">
        <v>0</v>
      </c>
      <c r="AO33" s="36">
        <v>0</v>
      </c>
      <c r="AP33" s="36">
        <v>0</v>
      </c>
      <c r="AQ33" s="36">
        <v>0</v>
      </c>
      <c r="AR33" s="36">
        <v>0</v>
      </c>
      <c r="AS33" s="36">
        <v>0</v>
      </c>
      <c r="AT33" s="36">
        <v>0</v>
      </c>
      <c r="AU33" s="36">
        <v>0</v>
      </c>
      <c r="AV33" s="36">
        <v>0</v>
      </c>
      <c r="AW33" s="36">
        <v>0</v>
      </c>
      <c r="AX33" s="36">
        <v>0</v>
      </c>
      <c r="AY33" s="36">
        <v>0</v>
      </c>
      <c r="AZ33" s="36">
        <v>0</v>
      </c>
      <c r="BA33" s="36">
        <v>0</v>
      </c>
      <c r="BB33" s="36">
        <v>0</v>
      </c>
      <c r="BC33" s="36">
        <v>0</v>
      </c>
      <c r="BD33" s="36">
        <v>0</v>
      </c>
      <c r="BE33" s="36">
        <v>0</v>
      </c>
      <c r="BF33" s="36">
        <v>0</v>
      </c>
      <c r="BG33" s="36">
        <v>0</v>
      </c>
      <c r="BH33" s="36">
        <v>0</v>
      </c>
      <c r="BI33" s="36">
        <v>0</v>
      </c>
      <c r="BJ33" s="36">
        <v>0</v>
      </c>
      <c r="BK33" s="36">
        <v>0</v>
      </c>
      <c r="BL33" s="36">
        <v>0</v>
      </c>
      <c r="BM33" s="36">
        <v>0</v>
      </c>
      <c r="BN33" s="36">
        <v>0</v>
      </c>
      <c r="BO33" s="36">
        <v>0</v>
      </c>
      <c r="BP33" s="36">
        <v>0</v>
      </c>
      <c r="BQ33" s="36">
        <v>0</v>
      </c>
      <c r="BR33" s="36">
        <v>0</v>
      </c>
      <c r="BS33" s="36">
        <v>0</v>
      </c>
      <c r="BT33" s="36">
        <v>0</v>
      </c>
      <c r="BU33" s="36">
        <v>0</v>
      </c>
      <c r="BV33" s="36">
        <v>0</v>
      </c>
      <c r="BW33" s="36">
        <v>0</v>
      </c>
      <c r="BX33" s="36">
        <v>0</v>
      </c>
      <c r="BY33" s="36">
        <v>0</v>
      </c>
      <c r="BZ33" s="36">
        <v>0</v>
      </c>
      <c r="CA33" s="36">
        <v>0</v>
      </c>
      <c r="CB33" s="36">
        <v>0</v>
      </c>
      <c r="CC33" s="36">
        <v>0</v>
      </c>
      <c r="CD33" s="36">
        <v>0</v>
      </c>
      <c r="CE33" s="36">
        <v>0</v>
      </c>
      <c r="CF33" s="36">
        <v>0</v>
      </c>
      <c r="CG33" s="36">
        <v>0</v>
      </c>
      <c r="CH33" s="36">
        <v>0</v>
      </c>
      <c r="CI33" s="36">
        <v>0</v>
      </c>
      <c r="CJ33" s="36">
        <v>0</v>
      </c>
      <c r="CK33" s="36">
        <v>0</v>
      </c>
      <c r="CL33" s="36">
        <v>0</v>
      </c>
      <c r="CM33" s="36">
        <v>0</v>
      </c>
      <c r="CN33" s="36">
        <v>0</v>
      </c>
      <c r="CO33" s="36">
        <v>0</v>
      </c>
      <c r="CP33" s="36">
        <v>0</v>
      </c>
      <c r="CQ33" s="36">
        <v>0</v>
      </c>
      <c r="CR33" s="36">
        <v>0</v>
      </c>
      <c r="CS33" s="36">
        <v>1</v>
      </c>
      <c r="CT33" s="36">
        <v>1</v>
      </c>
      <c r="CU33" s="36">
        <v>0</v>
      </c>
      <c r="CV33" s="36">
        <v>0</v>
      </c>
      <c r="CW33" s="36">
        <v>0</v>
      </c>
      <c r="CX33" s="36">
        <v>0</v>
      </c>
      <c r="CY33" s="36">
        <v>0</v>
      </c>
      <c r="CZ33" s="36">
        <v>0</v>
      </c>
      <c r="DA33" s="36">
        <v>0</v>
      </c>
      <c r="DB33" s="36">
        <v>0</v>
      </c>
      <c r="DC33" s="36">
        <v>0</v>
      </c>
      <c r="DD33" s="36">
        <v>0</v>
      </c>
      <c r="DE33" s="36">
        <v>0</v>
      </c>
      <c r="DF33" s="36">
        <v>0</v>
      </c>
      <c r="DG33" s="36">
        <v>0</v>
      </c>
      <c r="DH33" s="36">
        <v>0</v>
      </c>
      <c r="DI33" s="36">
        <v>0</v>
      </c>
      <c r="DJ33" s="36">
        <v>0</v>
      </c>
      <c r="DK33" s="36">
        <v>0</v>
      </c>
      <c r="DL33" s="36">
        <v>0</v>
      </c>
      <c r="DM33" s="36">
        <v>0</v>
      </c>
      <c r="DN33" s="36">
        <v>0</v>
      </c>
      <c r="DO33" s="36">
        <v>0</v>
      </c>
      <c r="DP33" s="36">
        <v>0</v>
      </c>
      <c r="DQ33" s="36">
        <v>0</v>
      </c>
      <c r="DR33" s="36">
        <v>0</v>
      </c>
      <c r="DS33" s="36">
        <v>0</v>
      </c>
      <c r="DT33" s="36">
        <v>0</v>
      </c>
      <c r="DU33" s="36">
        <v>0</v>
      </c>
      <c r="DV33" s="36">
        <v>0</v>
      </c>
      <c r="DW33" s="36">
        <v>0</v>
      </c>
      <c r="DX33" s="36">
        <v>0</v>
      </c>
      <c r="DY33" s="36">
        <v>0</v>
      </c>
      <c r="DZ33" s="36">
        <v>0</v>
      </c>
      <c r="EA33" s="36">
        <v>0</v>
      </c>
      <c r="EB33" s="36">
        <v>0</v>
      </c>
      <c r="EC33" s="36">
        <v>0</v>
      </c>
      <c r="ED33" s="36">
        <v>0</v>
      </c>
      <c r="EE33" s="36">
        <v>0</v>
      </c>
      <c r="EF33" s="37">
        <v>0</v>
      </c>
    </row>
    <row r="34" spans="2:136" s="3" customFormat="1" ht="18" customHeight="1" x14ac:dyDescent="0.2">
      <c r="B34" s="86">
        <v>31</v>
      </c>
      <c r="C34" s="86">
        <v>31</v>
      </c>
      <c r="D34" s="35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  <c r="AJ34" s="36">
        <v>0</v>
      </c>
      <c r="AK34" s="36">
        <v>0</v>
      </c>
      <c r="AL34" s="36">
        <v>0</v>
      </c>
      <c r="AM34" s="36">
        <v>0</v>
      </c>
      <c r="AN34" s="36">
        <v>0</v>
      </c>
      <c r="AO34" s="36">
        <v>0</v>
      </c>
      <c r="AP34" s="36">
        <v>0</v>
      </c>
      <c r="AQ34" s="36">
        <v>0</v>
      </c>
      <c r="AR34" s="36">
        <v>0</v>
      </c>
      <c r="AS34" s="36">
        <v>0</v>
      </c>
      <c r="AT34" s="36">
        <v>0</v>
      </c>
      <c r="AU34" s="36">
        <v>0</v>
      </c>
      <c r="AV34" s="36">
        <v>0</v>
      </c>
      <c r="AW34" s="36">
        <v>0</v>
      </c>
      <c r="AX34" s="36">
        <v>0</v>
      </c>
      <c r="AY34" s="36">
        <v>0</v>
      </c>
      <c r="AZ34" s="36">
        <v>0</v>
      </c>
      <c r="BA34" s="36">
        <v>0</v>
      </c>
      <c r="BB34" s="36">
        <v>0</v>
      </c>
      <c r="BC34" s="36">
        <v>0</v>
      </c>
      <c r="BD34" s="36">
        <v>0</v>
      </c>
      <c r="BE34" s="36">
        <v>0</v>
      </c>
      <c r="BF34" s="36">
        <v>0</v>
      </c>
      <c r="BG34" s="36">
        <v>0</v>
      </c>
      <c r="BH34" s="36">
        <v>0</v>
      </c>
      <c r="BI34" s="36">
        <v>0</v>
      </c>
      <c r="BJ34" s="36">
        <v>0</v>
      </c>
      <c r="BK34" s="36">
        <v>0</v>
      </c>
      <c r="BL34" s="36">
        <v>0</v>
      </c>
      <c r="BM34" s="36">
        <v>0</v>
      </c>
      <c r="BN34" s="36">
        <v>0</v>
      </c>
      <c r="BO34" s="36">
        <v>0</v>
      </c>
      <c r="BP34" s="36">
        <v>0</v>
      </c>
      <c r="BQ34" s="36">
        <v>0</v>
      </c>
      <c r="BR34" s="36">
        <v>0</v>
      </c>
      <c r="BS34" s="36">
        <v>0</v>
      </c>
      <c r="BT34" s="36">
        <v>0</v>
      </c>
      <c r="BU34" s="36">
        <v>0</v>
      </c>
      <c r="BV34" s="36">
        <v>0</v>
      </c>
      <c r="BW34" s="36">
        <v>0</v>
      </c>
      <c r="BX34" s="36">
        <v>0</v>
      </c>
      <c r="BY34" s="36">
        <v>0</v>
      </c>
      <c r="BZ34" s="36">
        <v>0</v>
      </c>
      <c r="CA34" s="36">
        <v>0</v>
      </c>
      <c r="CB34" s="36">
        <v>0</v>
      </c>
      <c r="CC34" s="36">
        <v>0</v>
      </c>
      <c r="CD34" s="36">
        <v>0</v>
      </c>
      <c r="CE34" s="36">
        <v>0</v>
      </c>
      <c r="CF34" s="36">
        <v>0</v>
      </c>
      <c r="CG34" s="36">
        <v>0</v>
      </c>
      <c r="CH34" s="36">
        <v>0</v>
      </c>
      <c r="CI34" s="36">
        <v>0</v>
      </c>
      <c r="CJ34" s="36">
        <v>0</v>
      </c>
      <c r="CK34" s="36">
        <v>0</v>
      </c>
      <c r="CL34" s="36">
        <v>0</v>
      </c>
      <c r="CM34" s="36">
        <v>0</v>
      </c>
      <c r="CN34" s="36">
        <v>0</v>
      </c>
      <c r="CO34" s="36">
        <v>0</v>
      </c>
      <c r="CP34" s="36">
        <v>0</v>
      </c>
      <c r="CQ34" s="36">
        <v>0</v>
      </c>
      <c r="CR34" s="36">
        <v>0</v>
      </c>
      <c r="CS34" s="36">
        <v>0</v>
      </c>
      <c r="CT34" s="36">
        <v>0</v>
      </c>
      <c r="CU34" s="36">
        <v>1</v>
      </c>
      <c r="CV34" s="36">
        <v>1</v>
      </c>
      <c r="CW34" s="36">
        <v>0</v>
      </c>
      <c r="CX34" s="36">
        <v>0</v>
      </c>
      <c r="CY34" s="36">
        <v>0</v>
      </c>
      <c r="CZ34" s="36">
        <v>0</v>
      </c>
      <c r="DA34" s="36">
        <v>0</v>
      </c>
      <c r="DB34" s="36">
        <v>0</v>
      </c>
      <c r="DC34" s="36">
        <v>0</v>
      </c>
      <c r="DD34" s="36">
        <v>0</v>
      </c>
      <c r="DE34" s="36">
        <v>0</v>
      </c>
      <c r="DF34" s="36">
        <v>0</v>
      </c>
      <c r="DG34" s="36">
        <v>0</v>
      </c>
      <c r="DH34" s="36">
        <v>0</v>
      </c>
      <c r="DI34" s="36">
        <v>0</v>
      </c>
      <c r="DJ34" s="36">
        <v>0</v>
      </c>
      <c r="DK34" s="36">
        <v>0</v>
      </c>
      <c r="DL34" s="36">
        <v>0</v>
      </c>
      <c r="DM34" s="36">
        <v>0</v>
      </c>
      <c r="DN34" s="36">
        <v>0</v>
      </c>
      <c r="DO34" s="36">
        <v>0</v>
      </c>
      <c r="DP34" s="36">
        <v>0</v>
      </c>
      <c r="DQ34" s="36">
        <v>0</v>
      </c>
      <c r="DR34" s="36">
        <v>0</v>
      </c>
      <c r="DS34" s="36">
        <v>0</v>
      </c>
      <c r="DT34" s="36">
        <v>0</v>
      </c>
      <c r="DU34" s="36">
        <v>0</v>
      </c>
      <c r="DV34" s="36">
        <v>0</v>
      </c>
      <c r="DW34" s="36">
        <v>0</v>
      </c>
      <c r="DX34" s="36">
        <v>0</v>
      </c>
      <c r="DY34" s="36">
        <v>0</v>
      </c>
      <c r="DZ34" s="36">
        <v>0</v>
      </c>
      <c r="EA34" s="36">
        <v>0</v>
      </c>
      <c r="EB34" s="36">
        <v>0</v>
      </c>
      <c r="EC34" s="36">
        <v>0</v>
      </c>
      <c r="ED34" s="36">
        <v>0</v>
      </c>
      <c r="EE34" s="36">
        <v>0</v>
      </c>
      <c r="EF34" s="37">
        <v>0</v>
      </c>
    </row>
    <row r="35" spans="2:136" s="3" customFormat="1" ht="18" customHeight="1" x14ac:dyDescent="0.2">
      <c r="B35" s="86">
        <v>32</v>
      </c>
      <c r="C35" s="86">
        <v>32</v>
      </c>
      <c r="D35" s="35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Z35" s="36">
        <v>0</v>
      </c>
      <c r="AA35" s="36">
        <v>0</v>
      </c>
      <c r="AB35" s="36">
        <v>0</v>
      </c>
      <c r="AC35" s="36">
        <v>0</v>
      </c>
      <c r="AD35" s="36">
        <v>0</v>
      </c>
      <c r="AE35" s="36">
        <v>0</v>
      </c>
      <c r="AF35" s="36">
        <v>0</v>
      </c>
      <c r="AG35" s="36">
        <v>0</v>
      </c>
      <c r="AH35" s="36">
        <v>0</v>
      </c>
      <c r="AI35" s="36">
        <v>0</v>
      </c>
      <c r="AJ35" s="36">
        <v>0</v>
      </c>
      <c r="AK35" s="36">
        <v>0</v>
      </c>
      <c r="AL35" s="36">
        <v>0</v>
      </c>
      <c r="AM35" s="36">
        <v>0</v>
      </c>
      <c r="AN35" s="36">
        <v>0</v>
      </c>
      <c r="AO35" s="36">
        <v>0</v>
      </c>
      <c r="AP35" s="36">
        <v>0</v>
      </c>
      <c r="AQ35" s="36">
        <v>0</v>
      </c>
      <c r="AR35" s="36">
        <v>0</v>
      </c>
      <c r="AS35" s="36">
        <v>0</v>
      </c>
      <c r="AT35" s="36">
        <v>0</v>
      </c>
      <c r="AU35" s="36">
        <v>0</v>
      </c>
      <c r="AV35" s="36">
        <v>0</v>
      </c>
      <c r="AW35" s="36">
        <v>0</v>
      </c>
      <c r="AX35" s="36">
        <v>0</v>
      </c>
      <c r="AY35" s="36">
        <v>0</v>
      </c>
      <c r="AZ35" s="36">
        <v>0</v>
      </c>
      <c r="BA35" s="36">
        <v>0</v>
      </c>
      <c r="BB35" s="36">
        <v>0</v>
      </c>
      <c r="BC35" s="36">
        <v>0</v>
      </c>
      <c r="BD35" s="36">
        <v>0</v>
      </c>
      <c r="BE35" s="36">
        <v>0</v>
      </c>
      <c r="BF35" s="36">
        <v>0</v>
      </c>
      <c r="BG35" s="36">
        <v>0</v>
      </c>
      <c r="BH35" s="36">
        <v>0</v>
      </c>
      <c r="BI35" s="36">
        <v>0</v>
      </c>
      <c r="BJ35" s="36">
        <v>0</v>
      </c>
      <c r="BK35" s="36">
        <v>0</v>
      </c>
      <c r="BL35" s="36">
        <v>0</v>
      </c>
      <c r="BM35" s="36">
        <v>0</v>
      </c>
      <c r="BN35" s="36">
        <v>0</v>
      </c>
      <c r="BO35" s="36">
        <v>0</v>
      </c>
      <c r="BP35" s="36">
        <v>0</v>
      </c>
      <c r="BQ35" s="36">
        <v>0</v>
      </c>
      <c r="BR35" s="36">
        <v>0</v>
      </c>
      <c r="BS35" s="36">
        <v>0</v>
      </c>
      <c r="BT35" s="36">
        <v>0</v>
      </c>
      <c r="BU35" s="36">
        <v>0</v>
      </c>
      <c r="BV35" s="36">
        <v>0</v>
      </c>
      <c r="BW35" s="36">
        <v>0</v>
      </c>
      <c r="BX35" s="36">
        <v>0</v>
      </c>
      <c r="BY35" s="36">
        <v>0</v>
      </c>
      <c r="BZ35" s="36">
        <v>0</v>
      </c>
      <c r="CA35" s="36">
        <v>0</v>
      </c>
      <c r="CB35" s="36">
        <v>0</v>
      </c>
      <c r="CC35" s="36">
        <v>0</v>
      </c>
      <c r="CD35" s="36">
        <v>0</v>
      </c>
      <c r="CE35" s="36">
        <v>0</v>
      </c>
      <c r="CF35" s="36">
        <v>0</v>
      </c>
      <c r="CG35" s="36">
        <v>0</v>
      </c>
      <c r="CH35" s="36">
        <v>0</v>
      </c>
      <c r="CI35" s="36">
        <v>0</v>
      </c>
      <c r="CJ35" s="36">
        <v>0</v>
      </c>
      <c r="CK35" s="36">
        <v>0</v>
      </c>
      <c r="CL35" s="36">
        <v>0</v>
      </c>
      <c r="CM35" s="36">
        <v>0</v>
      </c>
      <c r="CN35" s="36">
        <v>0</v>
      </c>
      <c r="CO35" s="36">
        <v>0</v>
      </c>
      <c r="CP35" s="36">
        <v>0</v>
      </c>
      <c r="CQ35" s="36">
        <v>0</v>
      </c>
      <c r="CR35" s="36">
        <v>0</v>
      </c>
      <c r="CS35" s="36">
        <v>0</v>
      </c>
      <c r="CT35" s="36">
        <v>0</v>
      </c>
      <c r="CU35" s="36">
        <v>0</v>
      </c>
      <c r="CV35" s="36">
        <v>0</v>
      </c>
      <c r="CW35" s="36">
        <v>1</v>
      </c>
      <c r="CX35" s="36">
        <v>1</v>
      </c>
      <c r="CY35" s="36">
        <v>0</v>
      </c>
      <c r="CZ35" s="36">
        <v>0</v>
      </c>
      <c r="DA35" s="36">
        <v>0</v>
      </c>
      <c r="DB35" s="36">
        <v>0</v>
      </c>
      <c r="DC35" s="36">
        <v>0</v>
      </c>
      <c r="DD35" s="36">
        <v>0</v>
      </c>
      <c r="DE35" s="36">
        <v>0</v>
      </c>
      <c r="DF35" s="36">
        <v>0</v>
      </c>
      <c r="DG35" s="36">
        <v>0</v>
      </c>
      <c r="DH35" s="36">
        <v>0</v>
      </c>
      <c r="DI35" s="36">
        <v>0</v>
      </c>
      <c r="DJ35" s="36">
        <v>0</v>
      </c>
      <c r="DK35" s="36">
        <v>0</v>
      </c>
      <c r="DL35" s="36">
        <v>0</v>
      </c>
      <c r="DM35" s="36">
        <v>0</v>
      </c>
      <c r="DN35" s="36">
        <v>0</v>
      </c>
      <c r="DO35" s="36">
        <v>0</v>
      </c>
      <c r="DP35" s="36">
        <v>0</v>
      </c>
      <c r="DQ35" s="36">
        <v>0</v>
      </c>
      <c r="DR35" s="36">
        <v>0</v>
      </c>
      <c r="DS35" s="36">
        <v>0</v>
      </c>
      <c r="DT35" s="36">
        <v>0</v>
      </c>
      <c r="DU35" s="36">
        <v>0</v>
      </c>
      <c r="DV35" s="36">
        <v>0</v>
      </c>
      <c r="DW35" s="36">
        <v>0</v>
      </c>
      <c r="DX35" s="36">
        <v>0</v>
      </c>
      <c r="DY35" s="36">
        <v>0</v>
      </c>
      <c r="DZ35" s="36">
        <v>0</v>
      </c>
      <c r="EA35" s="36">
        <v>0</v>
      </c>
      <c r="EB35" s="36">
        <v>0</v>
      </c>
      <c r="EC35" s="36">
        <v>0</v>
      </c>
      <c r="ED35" s="36">
        <v>0</v>
      </c>
      <c r="EE35" s="36">
        <v>0</v>
      </c>
      <c r="EF35" s="37">
        <v>0</v>
      </c>
    </row>
    <row r="36" spans="2:136" s="3" customFormat="1" ht="18" customHeight="1" x14ac:dyDescent="0.2">
      <c r="B36" s="86">
        <v>33</v>
      </c>
      <c r="C36" s="86">
        <v>33</v>
      </c>
      <c r="D36" s="35">
        <v>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0</v>
      </c>
      <c r="N36" s="36">
        <v>0</v>
      </c>
      <c r="O36" s="36">
        <v>0</v>
      </c>
      <c r="P36" s="36">
        <v>0</v>
      </c>
      <c r="Q36" s="36">
        <v>0</v>
      </c>
      <c r="R36" s="36">
        <v>0</v>
      </c>
      <c r="S36" s="36">
        <v>0</v>
      </c>
      <c r="T36" s="36">
        <v>0</v>
      </c>
      <c r="U36" s="36">
        <v>0</v>
      </c>
      <c r="V36" s="36">
        <v>0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  <c r="AB36" s="36">
        <v>0</v>
      </c>
      <c r="AC36" s="36">
        <v>0</v>
      </c>
      <c r="AD36" s="36">
        <v>0</v>
      </c>
      <c r="AE36" s="36">
        <v>0</v>
      </c>
      <c r="AF36" s="36">
        <v>0</v>
      </c>
      <c r="AG36" s="36">
        <v>0</v>
      </c>
      <c r="AH36" s="36">
        <v>0</v>
      </c>
      <c r="AI36" s="36">
        <v>0</v>
      </c>
      <c r="AJ36" s="36">
        <v>0</v>
      </c>
      <c r="AK36" s="36">
        <v>0</v>
      </c>
      <c r="AL36" s="36">
        <v>0</v>
      </c>
      <c r="AM36" s="36">
        <v>0</v>
      </c>
      <c r="AN36" s="36">
        <v>0</v>
      </c>
      <c r="AO36" s="36">
        <v>0</v>
      </c>
      <c r="AP36" s="36">
        <v>0</v>
      </c>
      <c r="AQ36" s="36">
        <v>0</v>
      </c>
      <c r="AR36" s="36">
        <v>0</v>
      </c>
      <c r="AS36" s="36">
        <v>0</v>
      </c>
      <c r="AT36" s="36">
        <v>0</v>
      </c>
      <c r="AU36" s="36">
        <v>0</v>
      </c>
      <c r="AV36" s="36">
        <v>0</v>
      </c>
      <c r="AW36" s="36">
        <v>0</v>
      </c>
      <c r="AX36" s="36">
        <v>0</v>
      </c>
      <c r="AY36" s="36">
        <v>0</v>
      </c>
      <c r="AZ36" s="36">
        <v>0</v>
      </c>
      <c r="BA36" s="36">
        <v>0</v>
      </c>
      <c r="BB36" s="36">
        <v>0</v>
      </c>
      <c r="BC36" s="36">
        <v>0</v>
      </c>
      <c r="BD36" s="36">
        <v>0</v>
      </c>
      <c r="BE36" s="36">
        <v>0</v>
      </c>
      <c r="BF36" s="36">
        <v>0</v>
      </c>
      <c r="BG36" s="36">
        <v>0</v>
      </c>
      <c r="BH36" s="36">
        <v>0</v>
      </c>
      <c r="BI36" s="36">
        <v>0</v>
      </c>
      <c r="BJ36" s="36">
        <v>0</v>
      </c>
      <c r="BK36" s="36">
        <v>0</v>
      </c>
      <c r="BL36" s="36">
        <v>0</v>
      </c>
      <c r="BM36" s="36">
        <v>0</v>
      </c>
      <c r="BN36" s="36">
        <v>0</v>
      </c>
      <c r="BO36" s="36">
        <v>0</v>
      </c>
      <c r="BP36" s="36">
        <v>0</v>
      </c>
      <c r="BQ36" s="36">
        <v>0</v>
      </c>
      <c r="BR36" s="36">
        <v>0</v>
      </c>
      <c r="BS36" s="36">
        <v>0</v>
      </c>
      <c r="BT36" s="36">
        <v>0</v>
      </c>
      <c r="BU36" s="36">
        <v>0</v>
      </c>
      <c r="BV36" s="36">
        <v>0</v>
      </c>
      <c r="BW36" s="36">
        <v>0</v>
      </c>
      <c r="BX36" s="36">
        <v>0</v>
      </c>
      <c r="BY36" s="36">
        <v>0</v>
      </c>
      <c r="BZ36" s="36">
        <v>0</v>
      </c>
      <c r="CA36" s="36">
        <v>0</v>
      </c>
      <c r="CB36" s="36">
        <v>0</v>
      </c>
      <c r="CC36" s="36">
        <v>0</v>
      </c>
      <c r="CD36" s="36">
        <v>0</v>
      </c>
      <c r="CE36" s="36">
        <v>0</v>
      </c>
      <c r="CF36" s="36">
        <v>0</v>
      </c>
      <c r="CG36" s="36">
        <v>0</v>
      </c>
      <c r="CH36" s="36">
        <v>0</v>
      </c>
      <c r="CI36" s="36">
        <v>0</v>
      </c>
      <c r="CJ36" s="36">
        <v>0</v>
      </c>
      <c r="CK36" s="36">
        <v>0</v>
      </c>
      <c r="CL36" s="36">
        <v>0</v>
      </c>
      <c r="CM36" s="36">
        <v>0</v>
      </c>
      <c r="CN36" s="36">
        <v>0</v>
      </c>
      <c r="CO36" s="36">
        <v>0</v>
      </c>
      <c r="CP36" s="36">
        <v>0</v>
      </c>
      <c r="CQ36" s="36">
        <v>0</v>
      </c>
      <c r="CR36" s="36">
        <v>0</v>
      </c>
      <c r="CS36" s="36">
        <v>0</v>
      </c>
      <c r="CT36" s="36">
        <v>0</v>
      </c>
      <c r="CU36" s="36">
        <v>0</v>
      </c>
      <c r="CV36" s="36">
        <v>0</v>
      </c>
      <c r="CW36" s="36">
        <v>0</v>
      </c>
      <c r="CX36" s="36">
        <v>0</v>
      </c>
      <c r="CY36" s="36">
        <v>1</v>
      </c>
      <c r="CZ36" s="36">
        <v>1</v>
      </c>
      <c r="DA36" s="36">
        <v>0</v>
      </c>
      <c r="DB36" s="36">
        <v>0</v>
      </c>
      <c r="DC36" s="36">
        <v>0</v>
      </c>
      <c r="DD36" s="36">
        <v>0</v>
      </c>
      <c r="DE36" s="36">
        <v>0</v>
      </c>
      <c r="DF36" s="36">
        <v>0</v>
      </c>
      <c r="DG36" s="36">
        <v>0</v>
      </c>
      <c r="DH36" s="36">
        <v>0</v>
      </c>
      <c r="DI36" s="36">
        <v>0</v>
      </c>
      <c r="DJ36" s="36">
        <v>0</v>
      </c>
      <c r="DK36" s="36">
        <v>0</v>
      </c>
      <c r="DL36" s="36">
        <v>0</v>
      </c>
      <c r="DM36" s="36">
        <v>0</v>
      </c>
      <c r="DN36" s="36">
        <v>0</v>
      </c>
      <c r="DO36" s="36">
        <v>0</v>
      </c>
      <c r="DP36" s="36">
        <v>0</v>
      </c>
      <c r="DQ36" s="36">
        <v>0</v>
      </c>
      <c r="DR36" s="36">
        <v>0</v>
      </c>
      <c r="DS36" s="36">
        <v>0</v>
      </c>
      <c r="DT36" s="36">
        <v>0</v>
      </c>
      <c r="DU36" s="36">
        <v>0</v>
      </c>
      <c r="DV36" s="36">
        <v>0</v>
      </c>
      <c r="DW36" s="36">
        <v>0</v>
      </c>
      <c r="DX36" s="36">
        <v>0</v>
      </c>
      <c r="DY36" s="36">
        <v>0</v>
      </c>
      <c r="DZ36" s="36">
        <v>0</v>
      </c>
      <c r="EA36" s="36">
        <v>0</v>
      </c>
      <c r="EB36" s="36">
        <v>0</v>
      </c>
      <c r="EC36" s="36">
        <v>0</v>
      </c>
      <c r="ED36" s="36">
        <v>0</v>
      </c>
      <c r="EE36" s="36">
        <v>0</v>
      </c>
      <c r="EF36" s="37">
        <v>0</v>
      </c>
    </row>
    <row r="37" spans="2:136" s="3" customFormat="1" ht="18" customHeight="1" x14ac:dyDescent="0.2">
      <c r="B37" s="86">
        <v>34</v>
      </c>
      <c r="C37" s="86">
        <v>34</v>
      </c>
      <c r="D37" s="35">
        <v>0</v>
      </c>
      <c r="E37" s="36">
        <v>0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0</v>
      </c>
      <c r="N37" s="36">
        <v>0</v>
      </c>
      <c r="O37" s="36">
        <v>0</v>
      </c>
      <c r="P37" s="36">
        <v>0</v>
      </c>
      <c r="Q37" s="36">
        <v>0</v>
      </c>
      <c r="R37" s="36">
        <v>0</v>
      </c>
      <c r="S37" s="36">
        <v>0</v>
      </c>
      <c r="T37" s="36">
        <v>0</v>
      </c>
      <c r="U37" s="36">
        <v>0</v>
      </c>
      <c r="V37" s="36">
        <v>0</v>
      </c>
      <c r="W37" s="36">
        <v>0</v>
      </c>
      <c r="X37" s="36">
        <v>0</v>
      </c>
      <c r="Y37" s="36">
        <v>0</v>
      </c>
      <c r="Z37" s="36">
        <v>0</v>
      </c>
      <c r="AA37" s="36">
        <v>0</v>
      </c>
      <c r="AB37" s="36">
        <v>0</v>
      </c>
      <c r="AC37" s="36">
        <v>0</v>
      </c>
      <c r="AD37" s="36">
        <v>0</v>
      </c>
      <c r="AE37" s="36">
        <v>0</v>
      </c>
      <c r="AF37" s="36">
        <v>0</v>
      </c>
      <c r="AG37" s="36">
        <v>0</v>
      </c>
      <c r="AH37" s="36">
        <v>0</v>
      </c>
      <c r="AI37" s="36">
        <v>0</v>
      </c>
      <c r="AJ37" s="36">
        <v>0</v>
      </c>
      <c r="AK37" s="36">
        <v>0</v>
      </c>
      <c r="AL37" s="36">
        <v>0</v>
      </c>
      <c r="AM37" s="36">
        <v>0</v>
      </c>
      <c r="AN37" s="36">
        <v>0</v>
      </c>
      <c r="AO37" s="36">
        <v>0</v>
      </c>
      <c r="AP37" s="36">
        <v>0</v>
      </c>
      <c r="AQ37" s="36">
        <v>0</v>
      </c>
      <c r="AR37" s="36">
        <v>0</v>
      </c>
      <c r="AS37" s="36">
        <v>0</v>
      </c>
      <c r="AT37" s="36">
        <v>0</v>
      </c>
      <c r="AU37" s="36">
        <v>0</v>
      </c>
      <c r="AV37" s="36">
        <v>0</v>
      </c>
      <c r="AW37" s="36">
        <v>0</v>
      </c>
      <c r="AX37" s="36">
        <v>0</v>
      </c>
      <c r="AY37" s="36">
        <v>0</v>
      </c>
      <c r="AZ37" s="36">
        <v>0</v>
      </c>
      <c r="BA37" s="36">
        <v>0</v>
      </c>
      <c r="BB37" s="36">
        <v>0</v>
      </c>
      <c r="BC37" s="36">
        <v>0</v>
      </c>
      <c r="BD37" s="36">
        <v>0</v>
      </c>
      <c r="BE37" s="36">
        <v>0</v>
      </c>
      <c r="BF37" s="36">
        <v>0</v>
      </c>
      <c r="BG37" s="36">
        <v>0</v>
      </c>
      <c r="BH37" s="36">
        <v>0</v>
      </c>
      <c r="BI37" s="36">
        <v>0</v>
      </c>
      <c r="BJ37" s="36">
        <v>0</v>
      </c>
      <c r="BK37" s="36">
        <v>0</v>
      </c>
      <c r="BL37" s="36">
        <v>0</v>
      </c>
      <c r="BM37" s="36">
        <v>0</v>
      </c>
      <c r="BN37" s="36">
        <v>0</v>
      </c>
      <c r="BO37" s="36">
        <v>0</v>
      </c>
      <c r="BP37" s="36">
        <v>0</v>
      </c>
      <c r="BQ37" s="36">
        <v>0</v>
      </c>
      <c r="BR37" s="36">
        <v>0</v>
      </c>
      <c r="BS37" s="36">
        <v>0</v>
      </c>
      <c r="BT37" s="36">
        <v>0</v>
      </c>
      <c r="BU37" s="36">
        <v>0</v>
      </c>
      <c r="BV37" s="36">
        <v>0</v>
      </c>
      <c r="BW37" s="36">
        <v>0</v>
      </c>
      <c r="BX37" s="36">
        <v>0</v>
      </c>
      <c r="BY37" s="36">
        <v>0</v>
      </c>
      <c r="BZ37" s="36">
        <v>0</v>
      </c>
      <c r="CA37" s="36">
        <v>0</v>
      </c>
      <c r="CB37" s="36">
        <v>0</v>
      </c>
      <c r="CC37" s="36">
        <v>0</v>
      </c>
      <c r="CD37" s="36">
        <v>0</v>
      </c>
      <c r="CE37" s="36">
        <v>0</v>
      </c>
      <c r="CF37" s="36">
        <v>0</v>
      </c>
      <c r="CG37" s="36">
        <v>0</v>
      </c>
      <c r="CH37" s="36">
        <v>0</v>
      </c>
      <c r="CI37" s="36">
        <v>0</v>
      </c>
      <c r="CJ37" s="36">
        <v>0</v>
      </c>
      <c r="CK37" s="36">
        <v>0</v>
      </c>
      <c r="CL37" s="36">
        <v>0</v>
      </c>
      <c r="CM37" s="36">
        <v>0</v>
      </c>
      <c r="CN37" s="36">
        <v>0</v>
      </c>
      <c r="CO37" s="36">
        <v>0</v>
      </c>
      <c r="CP37" s="36">
        <v>0</v>
      </c>
      <c r="CQ37" s="36">
        <v>0</v>
      </c>
      <c r="CR37" s="36">
        <v>0</v>
      </c>
      <c r="CS37" s="36">
        <v>0</v>
      </c>
      <c r="CT37" s="36">
        <v>0</v>
      </c>
      <c r="CU37" s="36">
        <v>0</v>
      </c>
      <c r="CV37" s="36">
        <v>0</v>
      </c>
      <c r="CW37" s="36">
        <v>0</v>
      </c>
      <c r="CX37" s="36">
        <v>0</v>
      </c>
      <c r="CY37" s="36">
        <v>0</v>
      </c>
      <c r="CZ37" s="36">
        <v>0</v>
      </c>
      <c r="DA37" s="36">
        <v>1</v>
      </c>
      <c r="DB37" s="36">
        <v>1</v>
      </c>
      <c r="DC37" s="36">
        <v>0</v>
      </c>
      <c r="DD37" s="36">
        <v>0</v>
      </c>
      <c r="DE37" s="36">
        <v>0</v>
      </c>
      <c r="DF37" s="36">
        <v>0</v>
      </c>
      <c r="DG37" s="36">
        <v>0</v>
      </c>
      <c r="DH37" s="36">
        <v>0</v>
      </c>
      <c r="DI37" s="36">
        <v>0</v>
      </c>
      <c r="DJ37" s="36">
        <v>0</v>
      </c>
      <c r="DK37" s="36">
        <v>0</v>
      </c>
      <c r="DL37" s="36">
        <v>0</v>
      </c>
      <c r="DM37" s="36">
        <v>0</v>
      </c>
      <c r="DN37" s="36">
        <v>0</v>
      </c>
      <c r="DO37" s="36">
        <v>0</v>
      </c>
      <c r="DP37" s="36">
        <v>0</v>
      </c>
      <c r="DQ37" s="36">
        <v>0</v>
      </c>
      <c r="DR37" s="36">
        <v>0</v>
      </c>
      <c r="DS37" s="36">
        <v>0</v>
      </c>
      <c r="DT37" s="36">
        <v>0</v>
      </c>
      <c r="DU37" s="36">
        <v>0</v>
      </c>
      <c r="DV37" s="36">
        <v>0</v>
      </c>
      <c r="DW37" s="36">
        <v>0</v>
      </c>
      <c r="DX37" s="36">
        <v>0</v>
      </c>
      <c r="DY37" s="36">
        <v>0</v>
      </c>
      <c r="DZ37" s="36">
        <v>0</v>
      </c>
      <c r="EA37" s="36">
        <v>0</v>
      </c>
      <c r="EB37" s="36">
        <v>0</v>
      </c>
      <c r="EC37" s="36">
        <v>0</v>
      </c>
      <c r="ED37" s="36">
        <v>0</v>
      </c>
      <c r="EE37" s="36">
        <v>0</v>
      </c>
      <c r="EF37" s="37">
        <v>0</v>
      </c>
    </row>
    <row r="38" spans="2:136" s="3" customFormat="1" ht="18" customHeight="1" x14ac:dyDescent="0.2">
      <c r="B38" s="86">
        <v>35</v>
      </c>
      <c r="C38" s="86">
        <v>35</v>
      </c>
      <c r="D38" s="35">
        <v>0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0</v>
      </c>
      <c r="N38" s="36">
        <v>0</v>
      </c>
      <c r="O38" s="36">
        <v>0</v>
      </c>
      <c r="P38" s="36">
        <v>0</v>
      </c>
      <c r="Q38" s="36">
        <v>0</v>
      </c>
      <c r="R38" s="36">
        <v>0</v>
      </c>
      <c r="S38" s="36">
        <v>0</v>
      </c>
      <c r="T38" s="36">
        <v>0</v>
      </c>
      <c r="U38" s="36">
        <v>0</v>
      </c>
      <c r="V38" s="36">
        <v>0</v>
      </c>
      <c r="W38" s="36">
        <v>0</v>
      </c>
      <c r="X38" s="36">
        <v>0</v>
      </c>
      <c r="Y38" s="36">
        <v>0</v>
      </c>
      <c r="Z38" s="36">
        <v>0</v>
      </c>
      <c r="AA38" s="36">
        <v>0</v>
      </c>
      <c r="AB38" s="36">
        <v>0</v>
      </c>
      <c r="AC38" s="36">
        <v>0</v>
      </c>
      <c r="AD38" s="36">
        <v>0</v>
      </c>
      <c r="AE38" s="36">
        <v>0</v>
      </c>
      <c r="AF38" s="36">
        <v>0</v>
      </c>
      <c r="AG38" s="36">
        <v>0</v>
      </c>
      <c r="AH38" s="36">
        <v>0</v>
      </c>
      <c r="AI38" s="36">
        <v>0</v>
      </c>
      <c r="AJ38" s="36">
        <v>0</v>
      </c>
      <c r="AK38" s="36">
        <v>0</v>
      </c>
      <c r="AL38" s="36">
        <v>0</v>
      </c>
      <c r="AM38" s="36">
        <v>0</v>
      </c>
      <c r="AN38" s="36">
        <v>0</v>
      </c>
      <c r="AO38" s="36">
        <v>0</v>
      </c>
      <c r="AP38" s="36">
        <v>0</v>
      </c>
      <c r="AQ38" s="36">
        <v>0</v>
      </c>
      <c r="AR38" s="36">
        <v>0</v>
      </c>
      <c r="AS38" s="36">
        <v>0</v>
      </c>
      <c r="AT38" s="36">
        <v>0</v>
      </c>
      <c r="AU38" s="36">
        <v>0</v>
      </c>
      <c r="AV38" s="36">
        <v>0</v>
      </c>
      <c r="AW38" s="36">
        <v>0</v>
      </c>
      <c r="AX38" s="36">
        <v>0</v>
      </c>
      <c r="AY38" s="36">
        <v>0</v>
      </c>
      <c r="AZ38" s="36">
        <v>0</v>
      </c>
      <c r="BA38" s="36">
        <v>0</v>
      </c>
      <c r="BB38" s="36">
        <v>0</v>
      </c>
      <c r="BC38" s="36">
        <v>0</v>
      </c>
      <c r="BD38" s="36">
        <v>0</v>
      </c>
      <c r="BE38" s="36">
        <v>0</v>
      </c>
      <c r="BF38" s="36">
        <v>0</v>
      </c>
      <c r="BG38" s="36">
        <v>0</v>
      </c>
      <c r="BH38" s="36">
        <v>0</v>
      </c>
      <c r="BI38" s="36">
        <v>0</v>
      </c>
      <c r="BJ38" s="36">
        <v>0</v>
      </c>
      <c r="BK38" s="36">
        <v>0</v>
      </c>
      <c r="BL38" s="36">
        <v>0</v>
      </c>
      <c r="BM38" s="36">
        <v>0</v>
      </c>
      <c r="BN38" s="36">
        <v>0</v>
      </c>
      <c r="BO38" s="36">
        <v>0</v>
      </c>
      <c r="BP38" s="36">
        <v>0</v>
      </c>
      <c r="BQ38" s="36">
        <v>0</v>
      </c>
      <c r="BR38" s="36">
        <v>0</v>
      </c>
      <c r="BS38" s="36">
        <v>0</v>
      </c>
      <c r="BT38" s="36">
        <v>0</v>
      </c>
      <c r="BU38" s="36">
        <v>0</v>
      </c>
      <c r="BV38" s="36">
        <v>0</v>
      </c>
      <c r="BW38" s="36">
        <v>0</v>
      </c>
      <c r="BX38" s="36">
        <v>0</v>
      </c>
      <c r="BY38" s="36">
        <v>0</v>
      </c>
      <c r="BZ38" s="36">
        <v>0</v>
      </c>
      <c r="CA38" s="36">
        <v>0</v>
      </c>
      <c r="CB38" s="36">
        <v>0</v>
      </c>
      <c r="CC38" s="36">
        <v>0</v>
      </c>
      <c r="CD38" s="36">
        <v>0</v>
      </c>
      <c r="CE38" s="36">
        <v>0</v>
      </c>
      <c r="CF38" s="36">
        <v>0</v>
      </c>
      <c r="CG38" s="36">
        <v>0</v>
      </c>
      <c r="CH38" s="36">
        <v>0</v>
      </c>
      <c r="CI38" s="36">
        <v>0</v>
      </c>
      <c r="CJ38" s="36">
        <v>0</v>
      </c>
      <c r="CK38" s="36">
        <v>0</v>
      </c>
      <c r="CL38" s="36">
        <v>0</v>
      </c>
      <c r="CM38" s="36">
        <v>0</v>
      </c>
      <c r="CN38" s="36">
        <v>0</v>
      </c>
      <c r="CO38" s="36">
        <v>0</v>
      </c>
      <c r="CP38" s="36">
        <v>0</v>
      </c>
      <c r="CQ38" s="36">
        <v>0</v>
      </c>
      <c r="CR38" s="36">
        <v>0</v>
      </c>
      <c r="CS38" s="36">
        <v>0</v>
      </c>
      <c r="CT38" s="36">
        <v>0</v>
      </c>
      <c r="CU38" s="36">
        <v>0</v>
      </c>
      <c r="CV38" s="36">
        <v>0</v>
      </c>
      <c r="CW38" s="36">
        <v>0</v>
      </c>
      <c r="CX38" s="36">
        <v>0</v>
      </c>
      <c r="CY38" s="36">
        <v>0</v>
      </c>
      <c r="CZ38" s="36">
        <v>0</v>
      </c>
      <c r="DA38" s="36">
        <v>0</v>
      </c>
      <c r="DB38" s="36">
        <v>0</v>
      </c>
      <c r="DC38" s="36">
        <v>1</v>
      </c>
      <c r="DD38" s="36">
        <v>1</v>
      </c>
      <c r="DE38" s="36">
        <v>0</v>
      </c>
      <c r="DF38" s="36">
        <v>0</v>
      </c>
      <c r="DG38" s="36">
        <v>0</v>
      </c>
      <c r="DH38" s="36">
        <v>0</v>
      </c>
      <c r="DI38" s="36">
        <v>0</v>
      </c>
      <c r="DJ38" s="36">
        <v>0</v>
      </c>
      <c r="DK38" s="36">
        <v>0</v>
      </c>
      <c r="DL38" s="36">
        <v>0</v>
      </c>
      <c r="DM38" s="36">
        <v>0</v>
      </c>
      <c r="DN38" s="36">
        <v>0</v>
      </c>
      <c r="DO38" s="36">
        <v>0</v>
      </c>
      <c r="DP38" s="36">
        <v>0</v>
      </c>
      <c r="DQ38" s="36">
        <v>0</v>
      </c>
      <c r="DR38" s="36">
        <v>0</v>
      </c>
      <c r="DS38" s="36">
        <v>0</v>
      </c>
      <c r="DT38" s="36">
        <v>0</v>
      </c>
      <c r="DU38" s="36">
        <v>0</v>
      </c>
      <c r="DV38" s="36">
        <v>0</v>
      </c>
      <c r="DW38" s="36">
        <v>0</v>
      </c>
      <c r="DX38" s="36">
        <v>0</v>
      </c>
      <c r="DY38" s="36">
        <v>0</v>
      </c>
      <c r="DZ38" s="36">
        <v>0</v>
      </c>
      <c r="EA38" s="36">
        <v>0</v>
      </c>
      <c r="EB38" s="36">
        <v>0</v>
      </c>
      <c r="EC38" s="36">
        <v>0</v>
      </c>
      <c r="ED38" s="36">
        <v>0</v>
      </c>
      <c r="EE38" s="36">
        <v>0</v>
      </c>
      <c r="EF38" s="37">
        <v>0</v>
      </c>
    </row>
    <row r="39" spans="2:136" s="3" customFormat="1" ht="18" customHeight="1" x14ac:dyDescent="0.2">
      <c r="B39" s="86">
        <v>36</v>
      </c>
      <c r="C39" s="86">
        <v>36</v>
      </c>
      <c r="D39" s="35">
        <v>0</v>
      </c>
      <c r="E39" s="36">
        <v>0</v>
      </c>
      <c r="F39" s="36">
        <v>0</v>
      </c>
      <c r="G39" s="36">
        <v>0</v>
      </c>
      <c r="H39" s="36">
        <v>0</v>
      </c>
      <c r="I39" s="36">
        <v>0</v>
      </c>
      <c r="J39" s="36">
        <v>0</v>
      </c>
      <c r="K39" s="36">
        <v>0</v>
      </c>
      <c r="L39" s="36">
        <v>0</v>
      </c>
      <c r="M39" s="36">
        <v>0</v>
      </c>
      <c r="N39" s="36">
        <v>0</v>
      </c>
      <c r="O39" s="36">
        <v>0</v>
      </c>
      <c r="P39" s="36">
        <v>0</v>
      </c>
      <c r="Q39" s="36">
        <v>0</v>
      </c>
      <c r="R39" s="36">
        <v>0</v>
      </c>
      <c r="S39" s="36">
        <v>0</v>
      </c>
      <c r="T39" s="36">
        <v>0</v>
      </c>
      <c r="U39" s="36">
        <v>0</v>
      </c>
      <c r="V39" s="36">
        <v>0</v>
      </c>
      <c r="W39" s="36">
        <v>0</v>
      </c>
      <c r="X39" s="36">
        <v>0</v>
      </c>
      <c r="Y39" s="36">
        <v>0</v>
      </c>
      <c r="Z39" s="36">
        <v>0</v>
      </c>
      <c r="AA39" s="36">
        <v>0</v>
      </c>
      <c r="AB39" s="36">
        <v>0</v>
      </c>
      <c r="AC39" s="36">
        <v>0</v>
      </c>
      <c r="AD39" s="36">
        <v>0</v>
      </c>
      <c r="AE39" s="36">
        <v>0</v>
      </c>
      <c r="AF39" s="36">
        <v>0</v>
      </c>
      <c r="AG39" s="36">
        <v>0</v>
      </c>
      <c r="AH39" s="36">
        <v>0</v>
      </c>
      <c r="AI39" s="36">
        <v>0</v>
      </c>
      <c r="AJ39" s="36">
        <v>0</v>
      </c>
      <c r="AK39" s="36">
        <v>0</v>
      </c>
      <c r="AL39" s="36">
        <v>0</v>
      </c>
      <c r="AM39" s="36">
        <v>0</v>
      </c>
      <c r="AN39" s="36">
        <v>0</v>
      </c>
      <c r="AO39" s="36">
        <v>0</v>
      </c>
      <c r="AP39" s="36">
        <v>0</v>
      </c>
      <c r="AQ39" s="36">
        <v>0</v>
      </c>
      <c r="AR39" s="36">
        <v>0</v>
      </c>
      <c r="AS39" s="36">
        <v>0</v>
      </c>
      <c r="AT39" s="36">
        <v>0</v>
      </c>
      <c r="AU39" s="36">
        <v>0</v>
      </c>
      <c r="AV39" s="36">
        <v>0</v>
      </c>
      <c r="AW39" s="36">
        <v>0</v>
      </c>
      <c r="AX39" s="36">
        <v>0</v>
      </c>
      <c r="AY39" s="36">
        <v>0</v>
      </c>
      <c r="AZ39" s="36">
        <v>0</v>
      </c>
      <c r="BA39" s="36">
        <v>0</v>
      </c>
      <c r="BB39" s="36">
        <v>0</v>
      </c>
      <c r="BC39" s="36">
        <v>0</v>
      </c>
      <c r="BD39" s="36">
        <v>0</v>
      </c>
      <c r="BE39" s="36">
        <v>0</v>
      </c>
      <c r="BF39" s="36">
        <v>0</v>
      </c>
      <c r="BG39" s="36">
        <v>0</v>
      </c>
      <c r="BH39" s="36">
        <v>0</v>
      </c>
      <c r="BI39" s="36">
        <v>0</v>
      </c>
      <c r="BJ39" s="36">
        <v>0</v>
      </c>
      <c r="BK39" s="36">
        <v>0</v>
      </c>
      <c r="BL39" s="36">
        <v>0</v>
      </c>
      <c r="BM39" s="36">
        <v>0</v>
      </c>
      <c r="BN39" s="36">
        <v>0</v>
      </c>
      <c r="BO39" s="36">
        <v>0</v>
      </c>
      <c r="BP39" s="36">
        <v>0</v>
      </c>
      <c r="BQ39" s="36">
        <v>0</v>
      </c>
      <c r="BR39" s="36">
        <v>0</v>
      </c>
      <c r="BS39" s="36">
        <v>0</v>
      </c>
      <c r="BT39" s="36">
        <v>0</v>
      </c>
      <c r="BU39" s="36">
        <v>0</v>
      </c>
      <c r="BV39" s="36">
        <v>0</v>
      </c>
      <c r="BW39" s="36">
        <v>0</v>
      </c>
      <c r="BX39" s="36">
        <v>0</v>
      </c>
      <c r="BY39" s="36">
        <v>0</v>
      </c>
      <c r="BZ39" s="36">
        <v>0</v>
      </c>
      <c r="CA39" s="36">
        <v>0</v>
      </c>
      <c r="CB39" s="36">
        <v>0</v>
      </c>
      <c r="CC39" s="36">
        <v>0</v>
      </c>
      <c r="CD39" s="36">
        <v>0</v>
      </c>
      <c r="CE39" s="36">
        <v>0</v>
      </c>
      <c r="CF39" s="36">
        <v>0</v>
      </c>
      <c r="CG39" s="36">
        <v>0</v>
      </c>
      <c r="CH39" s="36">
        <v>0</v>
      </c>
      <c r="CI39" s="36">
        <v>0</v>
      </c>
      <c r="CJ39" s="36">
        <v>0</v>
      </c>
      <c r="CK39" s="36">
        <v>0</v>
      </c>
      <c r="CL39" s="36">
        <v>0</v>
      </c>
      <c r="CM39" s="36">
        <v>0</v>
      </c>
      <c r="CN39" s="36">
        <v>0</v>
      </c>
      <c r="CO39" s="36">
        <v>0</v>
      </c>
      <c r="CP39" s="36">
        <v>0</v>
      </c>
      <c r="CQ39" s="36">
        <v>0</v>
      </c>
      <c r="CR39" s="36">
        <v>0</v>
      </c>
      <c r="CS39" s="36">
        <v>0</v>
      </c>
      <c r="CT39" s="36">
        <v>0</v>
      </c>
      <c r="CU39" s="36">
        <v>0</v>
      </c>
      <c r="CV39" s="36">
        <v>0</v>
      </c>
      <c r="CW39" s="36">
        <v>0</v>
      </c>
      <c r="CX39" s="36">
        <v>0</v>
      </c>
      <c r="CY39" s="36">
        <v>0</v>
      </c>
      <c r="CZ39" s="36">
        <v>0</v>
      </c>
      <c r="DA39" s="36">
        <v>0</v>
      </c>
      <c r="DB39" s="36">
        <v>0</v>
      </c>
      <c r="DC39" s="36">
        <v>0</v>
      </c>
      <c r="DD39" s="36">
        <v>0</v>
      </c>
      <c r="DE39" s="36">
        <v>1</v>
      </c>
      <c r="DF39" s="36">
        <v>1</v>
      </c>
      <c r="DG39" s="36">
        <v>0</v>
      </c>
      <c r="DH39" s="36">
        <v>0</v>
      </c>
      <c r="DI39" s="36">
        <v>0</v>
      </c>
      <c r="DJ39" s="36">
        <v>0</v>
      </c>
      <c r="DK39" s="36">
        <v>0</v>
      </c>
      <c r="DL39" s="36">
        <v>0</v>
      </c>
      <c r="DM39" s="36">
        <v>0</v>
      </c>
      <c r="DN39" s="36">
        <v>0</v>
      </c>
      <c r="DO39" s="36">
        <v>0</v>
      </c>
      <c r="DP39" s="36">
        <v>0</v>
      </c>
      <c r="DQ39" s="36">
        <v>0</v>
      </c>
      <c r="DR39" s="36">
        <v>0</v>
      </c>
      <c r="DS39" s="36">
        <v>0</v>
      </c>
      <c r="DT39" s="36">
        <v>0</v>
      </c>
      <c r="DU39" s="36">
        <v>0</v>
      </c>
      <c r="DV39" s="36">
        <v>0</v>
      </c>
      <c r="DW39" s="36">
        <v>0</v>
      </c>
      <c r="DX39" s="36">
        <v>0</v>
      </c>
      <c r="DY39" s="36">
        <v>0</v>
      </c>
      <c r="DZ39" s="36">
        <v>0</v>
      </c>
      <c r="EA39" s="36">
        <v>0</v>
      </c>
      <c r="EB39" s="36">
        <v>0</v>
      </c>
      <c r="EC39" s="36">
        <v>0</v>
      </c>
      <c r="ED39" s="36">
        <v>0</v>
      </c>
      <c r="EE39" s="36">
        <v>0</v>
      </c>
      <c r="EF39" s="37">
        <v>0</v>
      </c>
    </row>
    <row r="40" spans="2:136" s="3" customFormat="1" ht="18" customHeight="1" x14ac:dyDescent="0.2">
      <c r="B40" s="86">
        <v>37</v>
      </c>
      <c r="C40" s="86">
        <v>37</v>
      </c>
      <c r="D40" s="35">
        <v>0</v>
      </c>
      <c r="E40" s="36">
        <v>0</v>
      </c>
      <c r="F40" s="36">
        <v>0</v>
      </c>
      <c r="G40" s="36">
        <v>0</v>
      </c>
      <c r="H40" s="36">
        <v>0</v>
      </c>
      <c r="I40" s="36">
        <v>0</v>
      </c>
      <c r="J40" s="36">
        <v>0</v>
      </c>
      <c r="K40" s="36">
        <v>0</v>
      </c>
      <c r="L40" s="36">
        <v>0</v>
      </c>
      <c r="M40" s="36">
        <v>0</v>
      </c>
      <c r="N40" s="36">
        <v>0</v>
      </c>
      <c r="O40" s="36">
        <v>0</v>
      </c>
      <c r="P40" s="36">
        <v>0</v>
      </c>
      <c r="Q40" s="36">
        <v>0</v>
      </c>
      <c r="R40" s="36">
        <v>0</v>
      </c>
      <c r="S40" s="36">
        <v>0</v>
      </c>
      <c r="T40" s="36">
        <v>0</v>
      </c>
      <c r="U40" s="36">
        <v>0</v>
      </c>
      <c r="V40" s="36">
        <v>0</v>
      </c>
      <c r="W40" s="36">
        <v>0</v>
      </c>
      <c r="X40" s="36">
        <v>0</v>
      </c>
      <c r="Y40" s="36">
        <v>0</v>
      </c>
      <c r="Z40" s="36">
        <v>0</v>
      </c>
      <c r="AA40" s="36">
        <v>0</v>
      </c>
      <c r="AB40" s="36">
        <v>0</v>
      </c>
      <c r="AC40" s="36">
        <v>0</v>
      </c>
      <c r="AD40" s="36">
        <v>0</v>
      </c>
      <c r="AE40" s="36">
        <v>0</v>
      </c>
      <c r="AF40" s="36">
        <v>0</v>
      </c>
      <c r="AG40" s="36">
        <v>0</v>
      </c>
      <c r="AH40" s="36">
        <v>0</v>
      </c>
      <c r="AI40" s="36">
        <v>0</v>
      </c>
      <c r="AJ40" s="36">
        <v>0</v>
      </c>
      <c r="AK40" s="36">
        <v>0</v>
      </c>
      <c r="AL40" s="36">
        <v>0</v>
      </c>
      <c r="AM40" s="36">
        <v>0</v>
      </c>
      <c r="AN40" s="36">
        <v>0</v>
      </c>
      <c r="AO40" s="36">
        <v>0</v>
      </c>
      <c r="AP40" s="36">
        <v>0</v>
      </c>
      <c r="AQ40" s="36">
        <v>0</v>
      </c>
      <c r="AR40" s="36">
        <v>0</v>
      </c>
      <c r="AS40" s="36">
        <v>0</v>
      </c>
      <c r="AT40" s="36">
        <v>0</v>
      </c>
      <c r="AU40" s="36">
        <v>0</v>
      </c>
      <c r="AV40" s="36">
        <v>0</v>
      </c>
      <c r="AW40" s="36">
        <v>0</v>
      </c>
      <c r="AX40" s="36">
        <v>0</v>
      </c>
      <c r="AY40" s="36">
        <v>0</v>
      </c>
      <c r="AZ40" s="36">
        <v>0</v>
      </c>
      <c r="BA40" s="36">
        <v>0</v>
      </c>
      <c r="BB40" s="36">
        <v>0</v>
      </c>
      <c r="BC40" s="36">
        <v>0</v>
      </c>
      <c r="BD40" s="36">
        <v>0</v>
      </c>
      <c r="BE40" s="36">
        <v>0</v>
      </c>
      <c r="BF40" s="36">
        <v>0</v>
      </c>
      <c r="BG40" s="36">
        <v>0</v>
      </c>
      <c r="BH40" s="36">
        <v>0</v>
      </c>
      <c r="BI40" s="36">
        <v>0</v>
      </c>
      <c r="BJ40" s="36">
        <v>0</v>
      </c>
      <c r="BK40" s="36">
        <v>0</v>
      </c>
      <c r="BL40" s="36">
        <v>0</v>
      </c>
      <c r="BM40" s="36">
        <v>0</v>
      </c>
      <c r="BN40" s="36">
        <v>0</v>
      </c>
      <c r="BO40" s="36">
        <v>0</v>
      </c>
      <c r="BP40" s="36">
        <v>0</v>
      </c>
      <c r="BQ40" s="36">
        <v>0</v>
      </c>
      <c r="BR40" s="36">
        <v>0</v>
      </c>
      <c r="BS40" s="36">
        <v>0</v>
      </c>
      <c r="BT40" s="36">
        <v>0</v>
      </c>
      <c r="BU40" s="36">
        <v>0</v>
      </c>
      <c r="BV40" s="36">
        <v>0</v>
      </c>
      <c r="BW40" s="36">
        <v>0</v>
      </c>
      <c r="BX40" s="36">
        <v>0</v>
      </c>
      <c r="BY40" s="36">
        <v>0</v>
      </c>
      <c r="BZ40" s="36">
        <v>0</v>
      </c>
      <c r="CA40" s="36">
        <v>0</v>
      </c>
      <c r="CB40" s="36">
        <v>0</v>
      </c>
      <c r="CC40" s="36">
        <v>0</v>
      </c>
      <c r="CD40" s="36">
        <v>0</v>
      </c>
      <c r="CE40" s="36">
        <v>0</v>
      </c>
      <c r="CF40" s="36">
        <v>0</v>
      </c>
      <c r="CG40" s="36">
        <v>0</v>
      </c>
      <c r="CH40" s="36">
        <v>0</v>
      </c>
      <c r="CI40" s="36">
        <v>0</v>
      </c>
      <c r="CJ40" s="36">
        <v>0</v>
      </c>
      <c r="CK40" s="36">
        <v>0</v>
      </c>
      <c r="CL40" s="36">
        <v>0</v>
      </c>
      <c r="CM40" s="36">
        <v>0</v>
      </c>
      <c r="CN40" s="36">
        <v>0</v>
      </c>
      <c r="CO40" s="36">
        <v>0</v>
      </c>
      <c r="CP40" s="36">
        <v>0</v>
      </c>
      <c r="CQ40" s="36">
        <v>0</v>
      </c>
      <c r="CR40" s="36">
        <v>0</v>
      </c>
      <c r="CS40" s="36">
        <v>0</v>
      </c>
      <c r="CT40" s="36">
        <v>0</v>
      </c>
      <c r="CU40" s="36">
        <v>0</v>
      </c>
      <c r="CV40" s="36">
        <v>0</v>
      </c>
      <c r="CW40" s="36">
        <v>0</v>
      </c>
      <c r="CX40" s="36">
        <v>0</v>
      </c>
      <c r="CY40" s="36">
        <v>0</v>
      </c>
      <c r="CZ40" s="36">
        <v>0</v>
      </c>
      <c r="DA40" s="36">
        <v>0</v>
      </c>
      <c r="DB40" s="36">
        <v>0</v>
      </c>
      <c r="DC40" s="36">
        <v>0</v>
      </c>
      <c r="DD40" s="36">
        <v>0</v>
      </c>
      <c r="DE40" s="36">
        <v>0</v>
      </c>
      <c r="DF40" s="36">
        <v>0</v>
      </c>
      <c r="DG40" s="36">
        <v>1</v>
      </c>
      <c r="DH40" s="36">
        <v>1</v>
      </c>
      <c r="DI40" s="36">
        <v>0</v>
      </c>
      <c r="DJ40" s="36">
        <v>0</v>
      </c>
      <c r="DK40" s="36">
        <v>0</v>
      </c>
      <c r="DL40" s="36">
        <v>0</v>
      </c>
      <c r="DM40" s="36">
        <v>0</v>
      </c>
      <c r="DN40" s="36">
        <v>0</v>
      </c>
      <c r="DO40" s="36">
        <v>0</v>
      </c>
      <c r="DP40" s="36">
        <v>0</v>
      </c>
      <c r="DQ40" s="36">
        <v>0</v>
      </c>
      <c r="DR40" s="36">
        <v>0</v>
      </c>
      <c r="DS40" s="36">
        <v>0</v>
      </c>
      <c r="DT40" s="36">
        <v>0</v>
      </c>
      <c r="DU40" s="36">
        <v>0</v>
      </c>
      <c r="DV40" s="36">
        <v>0</v>
      </c>
      <c r="DW40" s="36">
        <v>0</v>
      </c>
      <c r="DX40" s="36">
        <v>0</v>
      </c>
      <c r="DY40" s="36">
        <v>0</v>
      </c>
      <c r="DZ40" s="36">
        <v>0</v>
      </c>
      <c r="EA40" s="36">
        <v>0</v>
      </c>
      <c r="EB40" s="36">
        <v>0</v>
      </c>
      <c r="EC40" s="36">
        <v>0</v>
      </c>
      <c r="ED40" s="36">
        <v>0</v>
      </c>
      <c r="EE40" s="36">
        <v>0</v>
      </c>
      <c r="EF40" s="37">
        <v>0</v>
      </c>
    </row>
    <row r="41" spans="2:136" s="3" customFormat="1" ht="18" customHeight="1" x14ac:dyDescent="0.2">
      <c r="B41" s="86">
        <v>38</v>
      </c>
      <c r="C41" s="86">
        <v>38</v>
      </c>
      <c r="D41" s="35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Z41" s="36">
        <v>0</v>
      </c>
      <c r="AA41" s="36">
        <v>0</v>
      </c>
      <c r="AB41" s="36">
        <v>0</v>
      </c>
      <c r="AC41" s="36">
        <v>0</v>
      </c>
      <c r="AD41" s="36">
        <v>0</v>
      </c>
      <c r="AE41" s="36">
        <v>0</v>
      </c>
      <c r="AF41" s="36">
        <v>0</v>
      </c>
      <c r="AG41" s="36">
        <v>0</v>
      </c>
      <c r="AH41" s="36">
        <v>0</v>
      </c>
      <c r="AI41" s="36">
        <v>0</v>
      </c>
      <c r="AJ41" s="36">
        <v>0</v>
      </c>
      <c r="AK41" s="36">
        <v>0</v>
      </c>
      <c r="AL41" s="36">
        <v>0</v>
      </c>
      <c r="AM41" s="36">
        <v>0</v>
      </c>
      <c r="AN41" s="36">
        <v>0</v>
      </c>
      <c r="AO41" s="36">
        <v>0</v>
      </c>
      <c r="AP41" s="36">
        <v>0</v>
      </c>
      <c r="AQ41" s="36">
        <v>0</v>
      </c>
      <c r="AR41" s="36">
        <v>0</v>
      </c>
      <c r="AS41" s="36">
        <v>0</v>
      </c>
      <c r="AT41" s="36">
        <v>0</v>
      </c>
      <c r="AU41" s="36">
        <v>0</v>
      </c>
      <c r="AV41" s="36">
        <v>0</v>
      </c>
      <c r="AW41" s="36">
        <v>0</v>
      </c>
      <c r="AX41" s="36">
        <v>0</v>
      </c>
      <c r="AY41" s="36">
        <v>0</v>
      </c>
      <c r="AZ41" s="36">
        <v>0</v>
      </c>
      <c r="BA41" s="36">
        <v>0</v>
      </c>
      <c r="BB41" s="36">
        <v>0</v>
      </c>
      <c r="BC41" s="36">
        <v>0</v>
      </c>
      <c r="BD41" s="36">
        <v>0</v>
      </c>
      <c r="BE41" s="36">
        <v>0</v>
      </c>
      <c r="BF41" s="36">
        <v>0</v>
      </c>
      <c r="BG41" s="36">
        <v>0</v>
      </c>
      <c r="BH41" s="36">
        <v>0</v>
      </c>
      <c r="BI41" s="36">
        <v>0</v>
      </c>
      <c r="BJ41" s="36">
        <v>0</v>
      </c>
      <c r="BK41" s="36">
        <v>0</v>
      </c>
      <c r="BL41" s="36">
        <v>0</v>
      </c>
      <c r="BM41" s="36">
        <v>0</v>
      </c>
      <c r="BN41" s="36">
        <v>0</v>
      </c>
      <c r="BO41" s="36">
        <v>0</v>
      </c>
      <c r="BP41" s="36">
        <v>0</v>
      </c>
      <c r="BQ41" s="36">
        <v>0</v>
      </c>
      <c r="BR41" s="36">
        <v>0</v>
      </c>
      <c r="BS41" s="36">
        <v>0</v>
      </c>
      <c r="BT41" s="36">
        <v>0</v>
      </c>
      <c r="BU41" s="36">
        <v>0</v>
      </c>
      <c r="BV41" s="36">
        <v>0</v>
      </c>
      <c r="BW41" s="36">
        <v>0</v>
      </c>
      <c r="BX41" s="36">
        <v>0</v>
      </c>
      <c r="BY41" s="36">
        <v>0</v>
      </c>
      <c r="BZ41" s="36">
        <v>0</v>
      </c>
      <c r="CA41" s="36">
        <v>0</v>
      </c>
      <c r="CB41" s="36">
        <v>0</v>
      </c>
      <c r="CC41" s="36">
        <v>0</v>
      </c>
      <c r="CD41" s="36">
        <v>0</v>
      </c>
      <c r="CE41" s="36">
        <v>0</v>
      </c>
      <c r="CF41" s="36">
        <v>0</v>
      </c>
      <c r="CG41" s="36">
        <v>0</v>
      </c>
      <c r="CH41" s="36">
        <v>0</v>
      </c>
      <c r="CI41" s="36">
        <v>0</v>
      </c>
      <c r="CJ41" s="36">
        <v>0</v>
      </c>
      <c r="CK41" s="36">
        <v>0</v>
      </c>
      <c r="CL41" s="36">
        <v>0</v>
      </c>
      <c r="CM41" s="36">
        <v>0</v>
      </c>
      <c r="CN41" s="36">
        <v>0</v>
      </c>
      <c r="CO41" s="36">
        <v>0</v>
      </c>
      <c r="CP41" s="36">
        <v>0</v>
      </c>
      <c r="CQ41" s="36">
        <v>0</v>
      </c>
      <c r="CR41" s="36">
        <v>0</v>
      </c>
      <c r="CS41" s="36">
        <v>0</v>
      </c>
      <c r="CT41" s="36">
        <v>0</v>
      </c>
      <c r="CU41" s="36">
        <v>0</v>
      </c>
      <c r="CV41" s="36">
        <v>0</v>
      </c>
      <c r="CW41" s="36">
        <v>0</v>
      </c>
      <c r="CX41" s="36">
        <v>0</v>
      </c>
      <c r="CY41" s="36">
        <v>0</v>
      </c>
      <c r="CZ41" s="36">
        <v>0</v>
      </c>
      <c r="DA41" s="36">
        <v>0</v>
      </c>
      <c r="DB41" s="36">
        <v>0</v>
      </c>
      <c r="DC41" s="36">
        <v>0</v>
      </c>
      <c r="DD41" s="36">
        <v>0</v>
      </c>
      <c r="DE41" s="36">
        <v>0</v>
      </c>
      <c r="DF41" s="36">
        <v>0</v>
      </c>
      <c r="DG41" s="36">
        <v>0</v>
      </c>
      <c r="DH41" s="36">
        <v>0</v>
      </c>
      <c r="DI41" s="36">
        <v>1</v>
      </c>
      <c r="DJ41" s="36">
        <v>1</v>
      </c>
      <c r="DK41" s="36">
        <v>0</v>
      </c>
      <c r="DL41" s="36">
        <v>0</v>
      </c>
      <c r="DM41" s="36">
        <v>0</v>
      </c>
      <c r="DN41" s="36">
        <v>0</v>
      </c>
      <c r="DO41" s="36">
        <v>0</v>
      </c>
      <c r="DP41" s="36">
        <v>0</v>
      </c>
      <c r="DQ41" s="36">
        <v>0</v>
      </c>
      <c r="DR41" s="36">
        <v>0</v>
      </c>
      <c r="DS41" s="36">
        <v>0</v>
      </c>
      <c r="DT41" s="36">
        <v>0</v>
      </c>
      <c r="DU41" s="36">
        <v>0</v>
      </c>
      <c r="DV41" s="36">
        <v>0</v>
      </c>
      <c r="DW41" s="36">
        <v>0</v>
      </c>
      <c r="DX41" s="36">
        <v>0</v>
      </c>
      <c r="DY41" s="36">
        <v>0</v>
      </c>
      <c r="DZ41" s="36">
        <v>0</v>
      </c>
      <c r="EA41" s="36">
        <v>0</v>
      </c>
      <c r="EB41" s="36">
        <v>0</v>
      </c>
      <c r="EC41" s="36">
        <v>0</v>
      </c>
      <c r="ED41" s="36">
        <v>0</v>
      </c>
      <c r="EE41" s="36">
        <v>0</v>
      </c>
      <c r="EF41" s="37">
        <v>0</v>
      </c>
    </row>
    <row r="42" spans="2:136" s="3" customFormat="1" ht="18" customHeight="1" x14ac:dyDescent="0.2">
      <c r="B42" s="86">
        <v>39</v>
      </c>
      <c r="C42" s="86">
        <v>39</v>
      </c>
      <c r="D42" s="35">
        <v>0</v>
      </c>
      <c r="E42" s="36">
        <v>0</v>
      </c>
      <c r="F42" s="36">
        <v>0</v>
      </c>
      <c r="G42" s="36">
        <v>0</v>
      </c>
      <c r="H42" s="36">
        <v>0</v>
      </c>
      <c r="I42" s="36">
        <v>0</v>
      </c>
      <c r="J42" s="36">
        <v>0</v>
      </c>
      <c r="K42" s="36">
        <v>0</v>
      </c>
      <c r="L42" s="36">
        <v>0</v>
      </c>
      <c r="M42" s="36">
        <v>0</v>
      </c>
      <c r="N42" s="36">
        <v>0</v>
      </c>
      <c r="O42" s="36">
        <v>0</v>
      </c>
      <c r="P42" s="36">
        <v>0</v>
      </c>
      <c r="Q42" s="36">
        <v>0</v>
      </c>
      <c r="R42" s="36">
        <v>0</v>
      </c>
      <c r="S42" s="36">
        <v>0</v>
      </c>
      <c r="T42" s="36">
        <v>0</v>
      </c>
      <c r="U42" s="36">
        <v>0</v>
      </c>
      <c r="V42" s="36">
        <v>0</v>
      </c>
      <c r="W42" s="36">
        <v>0</v>
      </c>
      <c r="X42" s="36">
        <v>0</v>
      </c>
      <c r="Y42" s="36">
        <v>0</v>
      </c>
      <c r="Z42" s="36">
        <v>0</v>
      </c>
      <c r="AA42" s="36">
        <v>0</v>
      </c>
      <c r="AB42" s="36">
        <v>0</v>
      </c>
      <c r="AC42" s="36">
        <v>0</v>
      </c>
      <c r="AD42" s="36">
        <v>0</v>
      </c>
      <c r="AE42" s="36">
        <v>0</v>
      </c>
      <c r="AF42" s="36">
        <v>0</v>
      </c>
      <c r="AG42" s="36">
        <v>0</v>
      </c>
      <c r="AH42" s="36">
        <v>0</v>
      </c>
      <c r="AI42" s="36">
        <v>0</v>
      </c>
      <c r="AJ42" s="36">
        <v>0</v>
      </c>
      <c r="AK42" s="36">
        <v>0</v>
      </c>
      <c r="AL42" s="36">
        <v>0</v>
      </c>
      <c r="AM42" s="36">
        <v>0</v>
      </c>
      <c r="AN42" s="36">
        <v>0</v>
      </c>
      <c r="AO42" s="36">
        <v>0</v>
      </c>
      <c r="AP42" s="36">
        <v>0</v>
      </c>
      <c r="AQ42" s="36">
        <v>0</v>
      </c>
      <c r="AR42" s="36">
        <v>0</v>
      </c>
      <c r="AS42" s="36">
        <v>0</v>
      </c>
      <c r="AT42" s="36">
        <v>0</v>
      </c>
      <c r="AU42" s="36">
        <v>0</v>
      </c>
      <c r="AV42" s="36">
        <v>0</v>
      </c>
      <c r="AW42" s="36">
        <v>0</v>
      </c>
      <c r="AX42" s="36">
        <v>0</v>
      </c>
      <c r="AY42" s="36">
        <v>0</v>
      </c>
      <c r="AZ42" s="36">
        <v>0</v>
      </c>
      <c r="BA42" s="36">
        <v>0</v>
      </c>
      <c r="BB42" s="36">
        <v>0</v>
      </c>
      <c r="BC42" s="36">
        <v>0</v>
      </c>
      <c r="BD42" s="36">
        <v>0</v>
      </c>
      <c r="BE42" s="36">
        <v>0</v>
      </c>
      <c r="BF42" s="36">
        <v>0</v>
      </c>
      <c r="BG42" s="36">
        <v>0</v>
      </c>
      <c r="BH42" s="36">
        <v>0</v>
      </c>
      <c r="BI42" s="36">
        <v>0</v>
      </c>
      <c r="BJ42" s="36">
        <v>0</v>
      </c>
      <c r="BK42" s="36">
        <v>0</v>
      </c>
      <c r="BL42" s="36">
        <v>0</v>
      </c>
      <c r="BM42" s="36">
        <v>0</v>
      </c>
      <c r="BN42" s="36">
        <v>0</v>
      </c>
      <c r="BO42" s="36">
        <v>0</v>
      </c>
      <c r="BP42" s="36">
        <v>0</v>
      </c>
      <c r="BQ42" s="36">
        <v>0</v>
      </c>
      <c r="BR42" s="36">
        <v>0</v>
      </c>
      <c r="BS42" s="36">
        <v>0</v>
      </c>
      <c r="BT42" s="36">
        <v>0</v>
      </c>
      <c r="BU42" s="36">
        <v>0</v>
      </c>
      <c r="BV42" s="36">
        <v>0</v>
      </c>
      <c r="BW42" s="36">
        <v>0</v>
      </c>
      <c r="BX42" s="36">
        <v>0</v>
      </c>
      <c r="BY42" s="36">
        <v>0</v>
      </c>
      <c r="BZ42" s="36">
        <v>0</v>
      </c>
      <c r="CA42" s="36">
        <v>0</v>
      </c>
      <c r="CB42" s="36">
        <v>0</v>
      </c>
      <c r="CC42" s="36">
        <v>0</v>
      </c>
      <c r="CD42" s="36">
        <v>0</v>
      </c>
      <c r="CE42" s="36">
        <v>0</v>
      </c>
      <c r="CF42" s="36">
        <v>0</v>
      </c>
      <c r="CG42" s="36">
        <v>0</v>
      </c>
      <c r="CH42" s="36">
        <v>0</v>
      </c>
      <c r="CI42" s="36">
        <v>0</v>
      </c>
      <c r="CJ42" s="36">
        <v>0</v>
      </c>
      <c r="CK42" s="36">
        <v>0</v>
      </c>
      <c r="CL42" s="36">
        <v>0</v>
      </c>
      <c r="CM42" s="36">
        <v>0</v>
      </c>
      <c r="CN42" s="36">
        <v>0</v>
      </c>
      <c r="CO42" s="36">
        <v>0</v>
      </c>
      <c r="CP42" s="36">
        <v>0</v>
      </c>
      <c r="CQ42" s="36">
        <v>0</v>
      </c>
      <c r="CR42" s="36">
        <v>0</v>
      </c>
      <c r="CS42" s="36">
        <v>0</v>
      </c>
      <c r="CT42" s="36">
        <v>0</v>
      </c>
      <c r="CU42" s="36">
        <v>0</v>
      </c>
      <c r="CV42" s="36">
        <v>0</v>
      </c>
      <c r="CW42" s="36">
        <v>0</v>
      </c>
      <c r="CX42" s="36">
        <v>0</v>
      </c>
      <c r="CY42" s="36">
        <v>0</v>
      </c>
      <c r="CZ42" s="36">
        <v>0</v>
      </c>
      <c r="DA42" s="36">
        <v>0</v>
      </c>
      <c r="DB42" s="36">
        <v>0</v>
      </c>
      <c r="DC42" s="36">
        <v>0</v>
      </c>
      <c r="DD42" s="36">
        <v>0</v>
      </c>
      <c r="DE42" s="36">
        <v>0</v>
      </c>
      <c r="DF42" s="36">
        <v>0</v>
      </c>
      <c r="DG42" s="36">
        <v>0</v>
      </c>
      <c r="DH42" s="36">
        <v>0</v>
      </c>
      <c r="DI42" s="36">
        <v>0</v>
      </c>
      <c r="DJ42" s="36">
        <v>0</v>
      </c>
      <c r="DK42" s="36">
        <v>1</v>
      </c>
      <c r="DL42" s="36">
        <v>1</v>
      </c>
      <c r="DM42" s="36">
        <v>0</v>
      </c>
      <c r="DN42" s="36">
        <v>0</v>
      </c>
      <c r="DO42" s="36">
        <v>0</v>
      </c>
      <c r="DP42" s="36">
        <v>0</v>
      </c>
      <c r="DQ42" s="36">
        <v>0</v>
      </c>
      <c r="DR42" s="36">
        <v>0</v>
      </c>
      <c r="DS42" s="36">
        <v>0</v>
      </c>
      <c r="DT42" s="36">
        <v>0</v>
      </c>
      <c r="DU42" s="36">
        <v>0</v>
      </c>
      <c r="DV42" s="36">
        <v>0</v>
      </c>
      <c r="DW42" s="36">
        <v>0</v>
      </c>
      <c r="DX42" s="36">
        <v>0</v>
      </c>
      <c r="DY42" s="36">
        <v>0</v>
      </c>
      <c r="DZ42" s="36">
        <v>0</v>
      </c>
      <c r="EA42" s="36">
        <v>0</v>
      </c>
      <c r="EB42" s="36">
        <v>0</v>
      </c>
      <c r="EC42" s="36">
        <v>0</v>
      </c>
      <c r="ED42" s="36">
        <v>0</v>
      </c>
      <c r="EE42" s="36">
        <v>0</v>
      </c>
      <c r="EF42" s="37">
        <v>0</v>
      </c>
    </row>
    <row r="43" spans="2:136" s="3" customFormat="1" ht="18" customHeight="1" x14ac:dyDescent="0.2">
      <c r="B43" s="86">
        <v>40</v>
      </c>
      <c r="C43" s="86">
        <v>40</v>
      </c>
      <c r="D43" s="35">
        <v>0</v>
      </c>
      <c r="E43" s="36">
        <v>0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0</v>
      </c>
      <c r="N43" s="36">
        <v>0</v>
      </c>
      <c r="O43" s="36">
        <v>0</v>
      </c>
      <c r="P43" s="36">
        <v>0</v>
      </c>
      <c r="Q43" s="36">
        <v>0</v>
      </c>
      <c r="R43" s="36">
        <v>0</v>
      </c>
      <c r="S43" s="36">
        <v>0</v>
      </c>
      <c r="T43" s="36">
        <v>0</v>
      </c>
      <c r="U43" s="36">
        <v>0</v>
      </c>
      <c r="V43" s="36">
        <v>0</v>
      </c>
      <c r="W43" s="36">
        <v>0</v>
      </c>
      <c r="X43" s="36">
        <v>0</v>
      </c>
      <c r="Y43" s="36">
        <v>0</v>
      </c>
      <c r="Z43" s="36">
        <v>0</v>
      </c>
      <c r="AA43" s="36">
        <v>0</v>
      </c>
      <c r="AB43" s="36">
        <v>0</v>
      </c>
      <c r="AC43" s="36">
        <v>0</v>
      </c>
      <c r="AD43" s="36">
        <v>0</v>
      </c>
      <c r="AE43" s="36">
        <v>0</v>
      </c>
      <c r="AF43" s="36">
        <v>0</v>
      </c>
      <c r="AG43" s="36">
        <v>0</v>
      </c>
      <c r="AH43" s="36">
        <v>0</v>
      </c>
      <c r="AI43" s="36">
        <v>0</v>
      </c>
      <c r="AJ43" s="36">
        <v>0</v>
      </c>
      <c r="AK43" s="36">
        <v>0</v>
      </c>
      <c r="AL43" s="36">
        <v>0</v>
      </c>
      <c r="AM43" s="36">
        <v>0</v>
      </c>
      <c r="AN43" s="36">
        <v>0</v>
      </c>
      <c r="AO43" s="36">
        <v>0</v>
      </c>
      <c r="AP43" s="36">
        <v>0</v>
      </c>
      <c r="AQ43" s="36">
        <v>0</v>
      </c>
      <c r="AR43" s="36">
        <v>0</v>
      </c>
      <c r="AS43" s="36">
        <v>0</v>
      </c>
      <c r="AT43" s="36">
        <v>0</v>
      </c>
      <c r="AU43" s="36">
        <v>0</v>
      </c>
      <c r="AV43" s="36">
        <v>0</v>
      </c>
      <c r="AW43" s="36">
        <v>0</v>
      </c>
      <c r="AX43" s="36">
        <v>0</v>
      </c>
      <c r="AY43" s="36">
        <v>0</v>
      </c>
      <c r="AZ43" s="36">
        <v>0</v>
      </c>
      <c r="BA43" s="36">
        <v>0</v>
      </c>
      <c r="BB43" s="36">
        <v>0</v>
      </c>
      <c r="BC43" s="36">
        <v>0</v>
      </c>
      <c r="BD43" s="36">
        <v>0</v>
      </c>
      <c r="BE43" s="36">
        <v>0</v>
      </c>
      <c r="BF43" s="36">
        <v>0</v>
      </c>
      <c r="BG43" s="36">
        <v>0</v>
      </c>
      <c r="BH43" s="36">
        <v>0</v>
      </c>
      <c r="BI43" s="36">
        <v>0</v>
      </c>
      <c r="BJ43" s="36">
        <v>0</v>
      </c>
      <c r="BK43" s="36">
        <v>0</v>
      </c>
      <c r="BL43" s="36">
        <v>0</v>
      </c>
      <c r="BM43" s="36">
        <v>0</v>
      </c>
      <c r="BN43" s="36">
        <v>0</v>
      </c>
      <c r="BO43" s="36">
        <v>0</v>
      </c>
      <c r="BP43" s="36">
        <v>0</v>
      </c>
      <c r="BQ43" s="36">
        <v>0</v>
      </c>
      <c r="BR43" s="36">
        <v>0</v>
      </c>
      <c r="BS43" s="36">
        <v>0</v>
      </c>
      <c r="BT43" s="36">
        <v>0</v>
      </c>
      <c r="BU43" s="36">
        <v>0</v>
      </c>
      <c r="BV43" s="36">
        <v>0</v>
      </c>
      <c r="BW43" s="36">
        <v>0</v>
      </c>
      <c r="BX43" s="36">
        <v>0</v>
      </c>
      <c r="BY43" s="36">
        <v>0</v>
      </c>
      <c r="BZ43" s="36">
        <v>0</v>
      </c>
      <c r="CA43" s="36">
        <v>0</v>
      </c>
      <c r="CB43" s="36">
        <v>0</v>
      </c>
      <c r="CC43" s="36">
        <v>0</v>
      </c>
      <c r="CD43" s="36">
        <v>0</v>
      </c>
      <c r="CE43" s="36">
        <v>0</v>
      </c>
      <c r="CF43" s="36">
        <v>0</v>
      </c>
      <c r="CG43" s="36">
        <v>0</v>
      </c>
      <c r="CH43" s="36">
        <v>0</v>
      </c>
      <c r="CI43" s="36">
        <v>0</v>
      </c>
      <c r="CJ43" s="36">
        <v>0</v>
      </c>
      <c r="CK43" s="36">
        <v>0</v>
      </c>
      <c r="CL43" s="36">
        <v>0</v>
      </c>
      <c r="CM43" s="36">
        <v>0</v>
      </c>
      <c r="CN43" s="36">
        <v>0</v>
      </c>
      <c r="CO43" s="36">
        <v>0</v>
      </c>
      <c r="CP43" s="36">
        <v>0</v>
      </c>
      <c r="CQ43" s="36">
        <v>0</v>
      </c>
      <c r="CR43" s="36">
        <v>0</v>
      </c>
      <c r="CS43" s="36">
        <v>0</v>
      </c>
      <c r="CT43" s="36">
        <v>0</v>
      </c>
      <c r="CU43" s="36">
        <v>0</v>
      </c>
      <c r="CV43" s="36">
        <v>0</v>
      </c>
      <c r="CW43" s="36">
        <v>0</v>
      </c>
      <c r="CX43" s="36">
        <v>0</v>
      </c>
      <c r="CY43" s="36">
        <v>0</v>
      </c>
      <c r="CZ43" s="36">
        <v>0</v>
      </c>
      <c r="DA43" s="36">
        <v>0</v>
      </c>
      <c r="DB43" s="36">
        <v>0</v>
      </c>
      <c r="DC43" s="36">
        <v>0</v>
      </c>
      <c r="DD43" s="36">
        <v>0</v>
      </c>
      <c r="DE43" s="36">
        <v>0</v>
      </c>
      <c r="DF43" s="36">
        <v>0</v>
      </c>
      <c r="DG43" s="36">
        <v>0</v>
      </c>
      <c r="DH43" s="36">
        <v>0</v>
      </c>
      <c r="DI43" s="36">
        <v>0</v>
      </c>
      <c r="DJ43" s="36">
        <v>0</v>
      </c>
      <c r="DK43" s="36">
        <v>0</v>
      </c>
      <c r="DL43" s="36">
        <v>0</v>
      </c>
      <c r="DM43" s="36">
        <v>1</v>
      </c>
      <c r="DN43" s="36">
        <v>1</v>
      </c>
      <c r="DO43" s="36">
        <v>0</v>
      </c>
      <c r="DP43" s="36">
        <v>0</v>
      </c>
      <c r="DQ43" s="36">
        <v>0</v>
      </c>
      <c r="DR43" s="36">
        <v>0</v>
      </c>
      <c r="DS43" s="36">
        <v>0</v>
      </c>
      <c r="DT43" s="36">
        <v>0</v>
      </c>
      <c r="DU43" s="36">
        <v>0</v>
      </c>
      <c r="DV43" s="36">
        <v>0</v>
      </c>
      <c r="DW43" s="36">
        <v>0</v>
      </c>
      <c r="DX43" s="36">
        <v>0</v>
      </c>
      <c r="DY43" s="36">
        <v>0</v>
      </c>
      <c r="DZ43" s="36">
        <v>0</v>
      </c>
      <c r="EA43" s="36">
        <v>0</v>
      </c>
      <c r="EB43" s="36">
        <v>0</v>
      </c>
      <c r="EC43" s="36">
        <v>0</v>
      </c>
      <c r="ED43" s="36">
        <v>0</v>
      </c>
      <c r="EE43" s="36">
        <v>0</v>
      </c>
      <c r="EF43" s="37">
        <v>0</v>
      </c>
    </row>
    <row r="44" spans="2:136" s="3" customFormat="1" ht="18" customHeight="1" x14ac:dyDescent="0.2">
      <c r="B44" s="86">
        <v>41</v>
      </c>
      <c r="C44" s="86">
        <v>41</v>
      </c>
      <c r="D44" s="35">
        <v>0</v>
      </c>
      <c r="E44" s="36">
        <v>0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36">
        <v>0</v>
      </c>
      <c r="L44" s="36">
        <v>0</v>
      </c>
      <c r="M44" s="36">
        <v>0</v>
      </c>
      <c r="N44" s="36">
        <v>0</v>
      </c>
      <c r="O44" s="36">
        <v>0</v>
      </c>
      <c r="P44" s="36">
        <v>0</v>
      </c>
      <c r="Q44" s="36">
        <v>0</v>
      </c>
      <c r="R44" s="36">
        <v>0</v>
      </c>
      <c r="S44" s="36">
        <v>0</v>
      </c>
      <c r="T44" s="36">
        <v>0</v>
      </c>
      <c r="U44" s="36">
        <v>0</v>
      </c>
      <c r="V44" s="36">
        <v>0</v>
      </c>
      <c r="W44" s="36">
        <v>0</v>
      </c>
      <c r="X44" s="36">
        <v>0</v>
      </c>
      <c r="Y44" s="36">
        <v>0</v>
      </c>
      <c r="Z44" s="36">
        <v>0</v>
      </c>
      <c r="AA44" s="36">
        <v>0</v>
      </c>
      <c r="AB44" s="36">
        <v>0</v>
      </c>
      <c r="AC44" s="36">
        <v>0</v>
      </c>
      <c r="AD44" s="36">
        <v>0</v>
      </c>
      <c r="AE44" s="36">
        <v>0</v>
      </c>
      <c r="AF44" s="36">
        <v>0</v>
      </c>
      <c r="AG44" s="36">
        <v>0</v>
      </c>
      <c r="AH44" s="36">
        <v>0</v>
      </c>
      <c r="AI44" s="36">
        <v>0</v>
      </c>
      <c r="AJ44" s="36">
        <v>0</v>
      </c>
      <c r="AK44" s="36">
        <v>0</v>
      </c>
      <c r="AL44" s="36">
        <v>0</v>
      </c>
      <c r="AM44" s="36">
        <v>0</v>
      </c>
      <c r="AN44" s="36">
        <v>0</v>
      </c>
      <c r="AO44" s="36">
        <v>0</v>
      </c>
      <c r="AP44" s="36">
        <v>0</v>
      </c>
      <c r="AQ44" s="36">
        <v>0</v>
      </c>
      <c r="AR44" s="36">
        <v>0</v>
      </c>
      <c r="AS44" s="36">
        <v>0</v>
      </c>
      <c r="AT44" s="36">
        <v>0</v>
      </c>
      <c r="AU44" s="36">
        <v>0</v>
      </c>
      <c r="AV44" s="36">
        <v>0</v>
      </c>
      <c r="AW44" s="36">
        <v>0</v>
      </c>
      <c r="AX44" s="36">
        <v>0</v>
      </c>
      <c r="AY44" s="36">
        <v>0</v>
      </c>
      <c r="AZ44" s="36">
        <v>0</v>
      </c>
      <c r="BA44" s="36">
        <v>0</v>
      </c>
      <c r="BB44" s="36">
        <v>0</v>
      </c>
      <c r="BC44" s="36">
        <v>0</v>
      </c>
      <c r="BD44" s="36">
        <v>0</v>
      </c>
      <c r="BE44" s="36">
        <v>0</v>
      </c>
      <c r="BF44" s="36">
        <v>0</v>
      </c>
      <c r="BG44" s="36">
        <v>0</v>
      </c>
      <c r="BH44" s="36">
        <v>0</v>
      </c>
      <c r="BI44" s="36">
        <v>0</v>
      </c>
      <c r="BJ44" s="36">
        <v>0</v>
      </c>
      <c r="BK44" s="36">
        <v>0</v>
      </c>
      <c r="BL44" s="36">
        <v>0</v>
      </c>
      <c r="BM44" s="36">
        <v>0</v>
      </c>
      <c r="BN44" s="36">
        <v>0</v>
      </c>
      <c r="BO44" s="36">
        <v>0</v>
      </c>
      <c r="BP44" s="36">
        <v>0</v>
      </c>
      <c r="BQ44" s="36">
        <v>0</v>
      </c>
      <c r="BR44" s="36">
        <v>0</v>
      </c>
      <c r="BS44" s="36">
        <v>0</v>
      </c>
      <c r="BT44" s="36">
        <v>0</v>
      </c>
      <c r="BU44" s="36">
        <v>0</v>
      </c>
      <c r="BV44" s="36">
        <v>0</v>
      </c>
      <c r="BW44" s="36">
        <v>0</v>
      </c>
      <c r="BX44" s="36">
        <v>0</v>
      </c>
      <c r="BY44" s="36">
        <v>0</v>
      </c>
      <c r="BZ44" s="36">
        <v>0</v>
      </c>
      <c r="CA44" s="36">
        <v>0</v>
      </c>
      <c r="CB44" s="36">
        <v>0</v>
      </c>
      <c r="CC44" s="36">
        <v>0</v>
      </c>
      <c r="CD44" s="36">
        <v>0</v>
      </c>
      <c r="CE44" s="36">
        <v>0</v>
      </c>
      <c r="CF44" s="36">
        <v>0</v>
      </c>
      <c r="CG44" s="36">
        <v>0</v>
      </c>
      <c r="CH44" s="36">
        <v>0</v>
      </c>
      <c r="CI44" s="36">
        <v>0</v>
      </c>
      <c r="CJ44" s="36">
        <v>0</v>
      </c>
      <c r="CK44" s="36">
        <v>0</v>
      </c>
      <c r="CL44" s="36">
        <v>0</v>
      </c>
      <c r="CM44" s="36">
        <v>0</v>
      </c>
      <c r="CN44" s="36">
        <v>0</v>
      </c>
      <c r="CO44" s="36">
        <v>0</v>
      </c>
      <c r="CP44" s="36">
        <v>0</v>
      </c>
      <c r="CQ44" s="36">
        <v>0</v>
      </c>
      <c r="CR44" s="36">
        <v>0</v>
      </c>
      <c r="CS44" s="36">
        <v>0</v>
      </c>
      <c r="CT44" s="36">
        <v>0</v>
      </c>
      <c r="CU44" s="36">
        <v>0</v>
      </c>
      <c r="CV44" s="36">
        <v>0</v>
      </c>
      <c r="CW44" s="36">
        <v>0</v>
      </c>
      <c r="CX44" s="36">
        <v>0</v>
      </c>
      <c r="CY44" s="36">
        <v>0</v>
      </c>
      <c r="CZ44" s="36">
        <v>0</v>
      </c>
      <c r="DA44" s="36">
        <v>0</v>
      </c>
      <c r="DB44" s="36">
        <v>0</v>
      </c>
      <c r="DC44" s="36">
        <v>0</v>
      </c>
      <c r="DD44" s="36">
        <v>0</v>
      </c>
      <c r="DE44" s="36">
        <v>0</v>
      </c>
      <c r="DF44" s="36">
        <v>0</v>
      </c>
      <c r="DG44" s="36">
        <v>0</v>
      </c>
      <c r="DH44" s="36">
        <v>0</v>
      </c>
      <c r="DI44" s="36">
        <v>0</v>
      </c>
      <c r="DJ44" s="36">
        <v>0</v>
      </c>
      <c r="DK44" s="36">
        <v>0</v>
      </c>
      <c r="DL44" s="36">
        <v>0</v>
      </c>
      <c r="DM44" s="36">
        <v>0</v>
      </c>
      <c r="DN44" s="36">
        <v>0</v>
      </c>
      <c r="DO44" s="36">
        <v>1</v>
      </c>
      <c r="DP44" s="36">
        <v>1</v>
      </c>
      <c r="DQ44" s="36">
        <v>0</v>
      </c>
      <c r="DR44" s="36">
        <v>0</v>
      </c>
      <c r="DS44" s="36">
        <v>0</v>
      </c>
      <c r="DT44" s="36">
        <v>0</v>
      </c>
      <c r="DU44" s="36">
        <v>0</v>
      </c>
      <c r="DV44" s="36">
        <v>0</v>
      </c>
      <c r="DW44" s="36">
        <v>0</v>
      </c>
      <c r="DX44" s="36">
        <v>0</v>
      </c>
      <c r="DY44" s="36">
        <v>0</v>
      </c>
      <c r="DZ44" s="36">
        <v>0</v>
      </c>
      <c r="EA44" s="36">
        <v>0</v>
      </c>
      <c r="EB44" s="36">
        <v>0</v>
      </c>
      <c r="EC44" s="36">
        <v>0</v>
      </c>
      <c r="ED44" s="36">
        <v>0</v>
      </c>
      <c r="EE44" s="36">
        <v>0</v>
      </c>
      <c r="EF44" s="37">
        <v>0</v>
      </c>
    </row>
    <row r="45" spans="2:136" s="3" customFormat="1" ht="18" customHeight="1" x14ac:dyDescent="0.2">
      <c r="B45" s="86">
        <v>42</v>
      </c>
      <c r="C45" s="86">
        <v>42</v>
      </c>
      <c r="D45" s="35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  <c r="AB45" s="36">
        <v>0</v>
      </c>
      <c r="AC45" s="36">
        <v>0</v>
      </c>
      <c r="AD45" s="36">
        <v>0</v>
      </c>
      <c r="AE45" s="36">
        <v>0</v>
      </c>
      <c r="AF45" s="36">
        <v>0</v>
      </c>
      <c r="AG45" s="36">
        <v>0</v>
      </c>
      <c r="AH45" s="36">
        <v>0</v>
      </c>
      <c r="AI45" s="36">
        <v>0</v>
      </c>
      <c r="AJ45" s="36">
        <v>0</v>
      </c>
      <c r="AK45" s="36">
        <v>0</v>
      </c>
      <c r="AL45" s="36">
        <v>0</v>
      </c>
      <c r="AM45" s="36">
        <v>0</v>
      </c>
      <c r="AN45" s="36">
        <v>0</v>
      </c>
      <c r="AO45" s="36">
        <v>0</v>
      </c>
      <c r="AP45" s="36">
        <v>0</v>
      </c>
      <c r="AQ45" s="36">
        <v>0</v>
      </c>
      <c r="AR45" s="36">
        <v>0</v>
      </c>
      <c r="AS45" s="36">
        <v>0</v>
      </c>
      <c r="AT45" s="36">
        <v>0</v>
      </c>
      <c r="AU45" s="36">
        <v>0</v>
      </c>
      <c r="AV45" s="36">
        <v>0</v>
      </c>
      <c r="AW45" s="36">
        <v>0</v>
      </c>
      <c r="AX45" s="36">
        <v>0</v>
      </c>
      <c r="AY45" s="36">
        <v>0</v>
      </c>
      <c r="AZ45" s="36">
        <v>0</v>
      </c>
      <c r="BA45" s="36">
        <v>0</v>
      </c>
      <c r="BB45" s="36">
        <v>0</v>
      </c>
      <c r="BC45" s="36">
        <v>0</v>
      </c>
      <c r="BD45" s="36">
        <v>0</v>
      </c>
      <c r="BE45" s="36">
        <v>0</v>
      </c>
      <c r="BF45" s="36">
        <v>0</v>
      </c>
      <c r="BG45" s="36">
        <v>0</v>
      </c>
      <c r="BH45" s="36">
        <v>0</v>
      </c>
      <c r="BI45" s="36">
        <v>0</v>
      </c>
      <c r="BJ45" s="36">
        <v>0</v>
      </c>
      <c r="BK45" s="36">
        <v>0</v>
      </c>
      <c r="BL45" s="36">
        <v>0</v>
      </c>
      <c r="BM45" s="36">
        <v>0</v>
      </c>
      <c r="BN45" s="36">
        <v>0</v>
      </c>
      <c r="BO45" s="36">
        <v>0</v>
      </c>
      <c r="BP45" s="36">
        <v>0</v>
      </c>
      <c r="BQ45" s="36">
        <v>0</v>
      </c>
      <c r="BR45" s="36">
        <v>0</v>
      </c>
      <c r="BS45" s="36">
        <v>0</v>
      </c>
      <c r="BT45" s="36">
        <v>0</v>
      </c>
      <c r="BU45" s="36">
        <v>0</v>
      </c>
      <c r="BV45" s="36">
        <v>0</v>
      </c>
      <c r="BW45" s="36">
        <v>0</v>
      </c>
      <c r="BX45" s="36">
        <v>0</v>
      </c>
      <c r="BY45" s="36">
        <v>0</v>
      </c>
      <c r="BZ45" s="36">
        <v>0</v>
      </c>
      <c r="CA45" s="36">
        <v>0</v>
      </c>
      <c r="CB45" s="36">
        <v>0</v>
      </c>
      <c r="CC45" s="36">
        <v>0</v>
      </c>
      <c r="CD45" s="36">
        <v>0</v>
      </c>
      <c r="CE45" s="36">
        <v>0</v>
      </c>
      <c r="CF45" s="36">
        <v>0</v>
      </c>
      <c r="CG45" s="36">
        <v>0</v>
      </c>
      <c r="CH45" s="36">
        <v>0</v>
      </c>
      <c r="CI45" s="36">
        <v>0</v>
      </c>
      <c r="CJ45" s="36">
        <v>0</v>
      </c>
      <c r="CK45" s="36">
        <v>0</v>
      </c>
      <c r="CL45" s="36">
        <v>0</v>
      </c>
      <c r="CM45" s="36">
        <v>0</v>
      </c>
      <c r="CN45" s="36">
        <v>0</v>
      </c>
      <c r="CO45" s="36">
        <v>0</v>
      </c>
      <c r="CP45" s="36">
        <v>0</v>
      </c>
      <c r="CQ45" s="36">
        <v>0</v>
      </c>
      <c r="CR45" s="36">
        <v>0</v>
      </c>
      <c r="CS45" s="36">
        <v>0</v>
      </c>
      <c r="CT45" s="36">
        <v>0</v>
      </c>
      <c r="CU45" s="36">
        <v>0</v>
      </c>
      <c r="CV45" s="36">
        <v>0</v>
      </c>
      <c r="CW45" s="36">
        <v>0</v>
      </c>
      <c r="CX45" s="36">
        <v>0</v>
      </c>
      <c r="CY45" s="36">
        <v>0</v>
      </c>
      <c r="CZ45" s="36">
        <v>0</v>
      </c>
      <c r="DA45" s="36">
        <v>0</v>
      </c>
      <c r="DB45" s="36">
        <v>0</v>
      </c>
      <c r="DC45" s="36">
        <v>0</v>
      </c>
      <c r="DD45" s="36">
        <v>0</v>
      </c>
      <c r="DE45" s="36">
        <v>0</v>
      </c>
      <c r="DF45" s="36">
        <v>0</v>
      </c>
      <c r="DG45" s="36">
        <v>0</v>
      </c>
      <c r="DH45" s="36">
        <v>0</v>
      </c>
      <c r="DI45" s="36">
        <v>0</v>
      </c>
      <c r="DJ45" s="36">
        <v>0</v>
      </c>
      <c r="DK45" s="36">
        <v>0</v>
      </c>
      <c r="DL45" s="36">
        <v>0</v>
      </c>
      <c r="DM45" s="36">
        <v>0</v>
      </c>
      <c r="DN45" s="36">
        <v>0</v>
      </c>
      <c r="DO45" s="36">
        <v>0</v>
      </c>
      <c r="DP45" s="36">
        <v>0</v>
      </c>
      <c r="DQ45" s="36">
        <v>1</v>
      </c>
      <c r="DR45" s="36">
        <v>1</v>
      </c>
      <c r="DS45" s="36">
        <v>0</v>
      </c>
      <c r="DT45" s="36">
        <v>0</v>
      </c>
      <c r="DU45" s="36">
        <v>0</v>
      </c>
      <c r="DV45" s="36">
        <v>0</v>
      </c>
      <c r="DW45" s="36">
        <v>0</v>
      </c>
      <c r="DX45" s="36">
        <v>0</v>
      </c>
      <c r="DY45" s="36">
        <v>0</v>
      </c>
      <c r="DZ45" s="36">
        <v>0</v>
      </c>
      <c r="EA45" s="36">
        <v>0</v>
      </c>
      <c r="EB45" s="36">
        <v>0</v>
      </c>
      <c r="EC45" s="36">
        <v>0</v>
      </c>
      <c r="ED45" s="36">
        <v>0</v>
      </c>
      <c r="EE45" s="36">
        <v>0</v>
      </c>
      <c r="EF45" s="37">
        <v>0</v>
      </c>
    </row>
    <row r="46" spans="2:136" s="3" customFormat="1" ht="18" customHeight="1" x14ac:dyDescent="0.2">
      <c r="B46" s="86">
        <v>43</v>
      </c>
      <c r="C46" s="86">
        <v>43</v>
      </c>
      <c r="D46" s="35">
        <v>0</v>
      </c>
      <c r="E46" s="36">
        <v>0</v>
      </c>
      <c r="F46" s="36">
        <v>0</v>
      </c>
      <c r="G46" s="36">
        <v>0</v>
      </c>
      <c r="H46" s="36">
        <v>0</v>
      </c>
      <c r="I46" s="36">
        <v>0</v>
      </c>
      <c r="J46" s="36">
        <v>0</v>
      </c>
      <c r="K46" s="36">
        <v>0</v>
      </c>
      <c r="L46" s="36">
        <v>0</v>
      </c>
      <c r="M46" s="36">
        <v>0</v>
      </c>
      <c r="N46" s="36">
        <v>0</v>
      </c>
      <c r="O46" s="36">
        <v>0</v>
      </c>
      <c r="P46" s="36">
        <v>0</v>
      </c>
      <c r="Q46" s="36">
        <v>0</v>
      </c>
      <c r="R46" s="36">
        <v>0</v>
      </c>
      <c r="S46" s="36">
        <v>0</v>
      </c>
      <c r="T46" s="36">
        <v>0</v>
      </c>
      <c r="U46" s="36">
        <v>0</v>
      </c>
      <c r="V46" s="36">
        <v>0</v>
      </c>
      <c r="W46" s="36">
        <v>0</v>
      </c>
      <c r="X46" s="36">
        <v>0</v>
      </c>
      <c r="Y46" s="36">
        <v>0</v>
      </c>
      <c r="Z46" s="36">
        <v>0</v>
      </c>
      <c r="AA46" s="36">
        <v>0</v>
      </c>
      <c r="AB46" s="36">
        <v>0</v>
      </c>
      <c r="AC46" s="36">
        <v>0</v>
      </c>
      <c r="AD46" s="36">
        <v>0</v>
      </c>
      <c r="AE46" s="36">
        <v>0</v>
      </c>
      <c r="AF46" s="36">
        <v>0</v>
      </c>
      <c r="AG46" s="36">
        <v>0</v>
      </c>
      <c r="AH46" s="36">
        <v>0</v>
      </c>
      <c r="AI46" s="36">
        <v>0</v>
      </c>
      <c r="AJ46" s="36">
        <v>0</v>
      </c>
      <c r="AK46" s="36">
        <v>0</v>
      </c>
      <c r="AL46" s="36">
        <v>0</v>
      </c>
      <c r="AM46" s="36">
        <v>0</v>
      </c>
      <c r="AN46" s="36">
        <v>0</v>
      </c>
      <c r="AO46" s="36">
        <v>0</v>
      </c>
      <c r="AP46" s="36">
        <v>0</v>
      </c>
      <c r="AQ46" s="36">
        <v>0</v>
      </c>
      <c r="AR46" s="36">
        <v>0</v>
      </c>
      <c r="AS46" s="36">
        <v>0</v>
      </c>
      <c r="AT46" s="36">
        <v>0</v>
      </c>
      <c r="AU46" s="36">
        <v>0</v>
      </c>
      <c r="AV46" s="36">
        <v>0</v>
      </c>
      <c r="AW46" s="36">
        <v>0</v>
      </c>
      <c r="AX46" s="36">
        <v>0</v>
      </c>
      <c r="AY46" s="36">
        <v>0</v>
      </c>
      <c r="AZ46" s="36">
        <v>0</v>
      </c>
      <c r="BA46" s="36">
        <v>0</v>
      </c>
      <c r="BB46" s="36">
        <v>0</v>
      </c>
      <c r="BC46" s="36">
        <v>0</v>
      </c>
      <c r="BD46" s="36">
        <v>0</v>
      </c>
      <c r="BE46" s="36">
        <v>0</v>
      </c>
      <c r="BF46" s="36">
        <v>0</v>
      </c>
      <c r="BG46" s="36">
        <v>0</v>
      </c>
      <c r="BH46" s="36">
        <v>0</v>
      </c>
      <c r="BI46" s="36">
        <v>0</v>
      </c>
      <c r="BJ46" s="36">
        <v>0</v>
      </c>
      <c r="BK46" s="36">
        <v>0</v>
      </c>
      <c r="BL46" s="36">
        <v>0</v>
      </c>
      <c r="BM46" s="36">
        <v>0</v>
      </c>
      <c r="BN46" s="36">
        <v>0</v>
      </c>
      <c r="BO46" s="36">
        <v>0</v>
      </c>
      <c r="BP46" s="36">
        <v>0</v>
      </c>
      <c r="BQ46" s="36">
        <v>0</v>
      </c>
      <c r="BR46" s="36">
        <v>0</v>
      </c>
      <c r="BS46" s="36">
        <v>0</v>
      </c>
      <c r="BT46" s="36">
        <v>0</v>
      </c>
      <c r="BU46" s="36">
        <v>0</v>
      </c>
      <c r="BV46" s="36">
        <v>0</v>
      </c>
      <c r="BW46" s="36">
        <v>0</v>
      </c>
      <c r="BX46" s="36">
        <v>0</v>
      </c>
      <c r="BY46" s="36">
        <v>0</v>
      </c>
      <c r="BZ46" s="36">
        <v>0</v>
      </c>
      <c r="CA46" s="36">
        <v>0</v>
      </c>
      <c r="CB46" s="36">
        <v>0</v>
      </c>
      <c r="CC46" s="36">
        <v>0</v>
      </c>
      <c r="CD46" s="36">
        <v>0</v>
      </c>
      <c r="CE46" s="36">
        <v>0</v>
      </c>
      <c r="CF46" s="36">
        <v>0</v>
      </c>
      <c r="CG46" s="36">
        <v>0</v>
      </c>
      <c r="CH46" s="36">
        <v>0</v>
      </c>
      <c r="CI46" s="36">
        <v>0</v>
      </c>
      <c r="CJ46" s="36">
        <v>0</v>
      </c>
      <c r="CK46" s="36">
        <v>0</v>
      </c>
      <c r="CL46" s="36">
        <v>0</v>
      </c>
      <c r="CM46" s="36">
        <v>0</v>
      </c>
      <c r="CN46" s="36">
        <v>0</v>
      </c>
      <c r="CO46" s="36">
        <v>0</v>
      </c>
      <c r="CP46" s="36">
        <v>0</v>
      </c>
      <c r="CQ46" s="36">
        <v>0</v>
      </c>
      <c r="CR46" s="36">
        <v>0</v>
      </c>
      <c r="CS46" s="36">
        <v>0</v>
      </c>
      <c r="CT46" s="36">
        <v>0</v>
      </c>
      <c r="CU46" s="36">
        <v>0</v>
      </c>
      <c r="CV46" s="36">
        <v>0</v>
      </c>
      <c r="CW46" s="36">
        <v>0</v>
      </c>
      <c r="CX46" s="36">
        <v>0</v>
      </c>
      <c r="CY46" s="36">
        <v>0</v>
      </c>
      <c r="CZ46" s="36">
        <v>0</v>
      </c>
      <c r="DA46" s="36">
        <v>0</v>
      </c>
      <c r="DB46" s="36">
        <v>0</v>
      </c>
      <c r="DC46" s="36">
        <v>0</v>
      </c>
      <c r="DD46" s="36">
        <v>0</v>
      </c>
      <c r="DE46" s="36">
        <v>0</v>
      </c>
      <c r="DF46" s="36">
        <v>0</v>
      </c>
      <c r="DG46" s="36">
        <v>0</v>
      </c>
      <c r="DH46" s="36">
        <v>0</v>
      </c>
      <c r="DI46" s="36">
        <v>0</v>
      </c>
      <c r="DJ46" s="36">
        <v>0</v>
      </c>
      <c r="DK46" s="36">
        <v>0</v>
      </c>
      <c r="DL46" s="36">
        <v>0</v>
      </c>
      <c r="DM46" s="36">
        <v>0</v>
      </c>
      <c r="DN46" s="36">
        <v>0</v>
      </c>
      <c r="DO46" s="36">
        <v>0</v>
      </c>
      <c r="DP46" s="36">
        <v>0</v>
      </c>
      <c r="DQ46" s="36">
        <v>0</v>
      </c>
      <c r="DR46" s="36">
        <v>0</v>
      </c>
      <c r="DS46" s="36">
        <v>1</v>
      </c>
      <c r="DT46" s="36">
        <v>1</v>
      </c>
      <c r="DU46" s="36">
        <v>0</v>
      </c>
      <c r="DV46" s="36">
        <v>0</v>
      </c>
      <c r="DW46" s="36">
        <v>0</v>
      </c>
      <c r="DX46" s="36">
        <v>0</v>
      </c>
      <c r="DY46" s="36">
        <v>0</v>
      </c>
      <c r="DZ46" s="36">
        <v>0</v>
      </c>
      <c r="EA46" s="36">
        <v>0</v>
      </c>
      <c r="EB46" s="36">
        <v>0</v>
      </c>
      <c r="EC46" s="36">
        <v>0</v>
      </c>
      <c r="ED46" s="36">
        <v>0</v>
      </c>
      <c r="EE46" s="36">
        <v>0</v>
      </c>
      <c r="EF46" s="37">
        <v>0</v>
      </c>
    </row>
    <row r="47" spans="2:136" s="3" customFormat="1" ht="18" customHeight="1" x14ac:dyDescent="0.2">
      <c r="B47" s="86">
        <v>44</v>
      </c>
      <c r="C47" s="86">
        <v>44</v>
      </c>
      <c r="D47" s="35">
        <v>0</v>
      </c>
      <c r="E47" s="36">
        <v>0</v>
      </c>
      <c r="F47" s="36">
        <v>0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36">
        <v>0</v>
      </c>
      <c r="M47" s="36">
        <v>0</v>
      </c>
      <c r="N47" s="36">
        <v>0</v>
      </c>
      <c r="O47" s="36">
        <v>0</v>
      </c>
      <c r="P47" s="36">
        <v>0</v>
      </c>
      <c r="Q47" s="36">
        <v>0</v>
      </c>
      <c r="R47" s="36">
        <v>0</v>
      </c>
      <c r="S47" s="36">
        <v>0</v>
      </c>
      <c r="T47" s="36">
        <v>0</v>
      </c>
      <c r="U47" s="36">
        <v>0</v>
      </c>
      <c r="V47" s="36">
        <v>0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  <c r="AB47" s="36">
        <v>0</v>
      </c>
      <c r="AC47" s="36">
        <v>0</v>
      </c>
      <c r="AD47" s="36">
        <v>0</v>
      </c>
      <c r="AE47" s="36">
        <v>0</v>
      </c>
      <c r="AF47" s="36">
        <v>0</v>
      </c>
      <c r="AG47" s="36">
        <v>0</v>
      </c>
      <c r="AH47" s="36">
        <v>0</v>
      </c>
      <c r="AI47" s="36">
        <v>0</v>
      </c>
      <c r="AJ47" s="36">
        <v>0</v>
      </c>
      <c r="AK47" s="36">
        <v>0</v>
      </c>
      <c r="AL47" s="36">
        <v>0</v>
      </c>
      <c r="AM47" s="36">
        <v>0</v>
      </c>
      <c r="AN47" s="36">
        <v>0</v>
      </c>
      <c r="AO47" s="36">
        <v>0</v>
      </c>
      <c r="AP47" s="36">
        <v>0</v>
      </c>
      <c r="AQ47" s="36">
        <v>0</v>
      </c>
      <c r="AR47" s="36">
        <v>0</v>
      </c>
      <c r="AS47" s="36">
        <v>0</v>
      </c>
      <c r="AT47" s="36">
        <v>0</v>
      </c>
      <c r="AU47" s="36">
        <v>0</v>
      </c>
      <c r="AV47" s="36">
        <v>0</v>
      </c>
      <c r="AW47" s="36">
        <v>0</v>
      </c>
      <c r="AX47" s="36">
        <v>0</v>
      </c>
      <c r="AY47" s="36">
        <v>0</v>
      </c>
      <c r="AZ47" s="36">
        <v>0</v>
      </c>
      <c r="BA47" s="36">
        <v>0</v>
      </c>
      <c r="BB47" s="36">
        <v>0</v>
      </c>
      <c r="BC47" s="36">
        <v>0</v>
      </c>
      <c r="BD47" s="36">
        <v>0</v>
      </c>
      <c r="BE47" s="36">
        <v>0</v>
      </c>
      <c r="BF47" s="36">
        <v>0</v>
      </c>
      <c r="BG47" s="36">
        <v>0</v>
      </c>
      <c r="BH47" s="36">
        <v>0</v>
      </c>
      <c r="BI47" s="36">
        <v>0</v>
      </c>
      <c r="BJ47" s="36">
        <v>0</v>
      </c>
      <c r="BK47" s="36">
        <v>0</v>
      </c>
      <c r="BL47" s="36">
        <v>0</v>
      </c>
      <c r="BM47" s="36">
        <v>0</v>
      </c>
      <c r="BN47" s="36">
        <v>0</v>
      </c>
      <c r="BO47" s="36">
        <v>0</v>
      </c>
      <c r="BP47" s="36">
        <v>0</v>
      </c>
      <c r="BQ47" s="36">
        <v>0</v>
      </c>
      <c r="BR47" s="36">
        <v>0</v>
      </c>
      <c r="BS47" s="36">
        <v>0</v>
      </c>
      <c r="BT47" s="36">
        <v>0</v>
      </c>
      <c r="BU47" s="36">
        <v>0</v>
      </c>
      <c r="BV47" s="36">
        <v>0</v>
      </c>
      <c r="BW47" s="36">
        <v>0</v>
      </c>
      <c r="BX47" s="36">
        <v>0</v>
      </c>
      <c r="BY47" s="36">
        <v>0</v>
      </c>
      <c r="BZ47" s="36">
        <v>0</v>
      </c>
      <c r="CA47" s="36">
        <v>0</v>
      </c>
      <c r="CB47" s="36">
        <v>0</v>
      </c>
      <c r="CC47" s="36">
        <v>0</v>
      </c>
      <c r="CD47" s="36">
        <v>0</v>
      </c>
      <c r="CE47" s="36">
        <v>0</v>
      </c>
      <c r="CF47" s="36">
        <v>0</v>
      </c>
      <c r="CG47" s="36">
        <v>0</v>
      </c>
      <c r="CH47" s="36">
        <v>0</v>
      </c>
      <c r="CI47" s="36">
        <v>0</v>
      </c>
      <c r="CJ47" s="36">
        <v>0</v>
      </c>
      <c r="CK47" s="36">
        <v>0</v>
      </c>
      <c r="CL47" s="36">
        <v>0</v>
      </c>
      <c r="CM47" s="36">
        <v>0</v>
      </c>
      <c r="CN47" s="36">
        <v>0</v>
      </c>
      <c r="CO47" s="36">
        <v>0</v>
      </c>
      <c r="CP47" s="36">
        <v>0</v>
      </c>
      <c r="CQ47" s="36">
        <v>0</v>
      </c>
      <c r="CR47" s="36">
        <v>0</v>
      </c>
      <c r="CS47" s="36">
        <v>0</v>
      </c>
      <c r="CT47" s="36">
        <v>0</v>
      </c>
      <c r="CU47" s="36">
        <v>0</v>
      </c>
      <c r="CV47" s="36">
        <v>0</v>
      </c>
      <c r="CW47" s="36">
        <v>0</v>
      </c>
      <c r="CX47" s="36">
        <v>0</v>
      </c>
      <c r="CY47" s="36">
        <v>0</v>
      </c>
      <c r="CZ47" s="36">
        <v>0</v>
      </c>
      <c r="DA47" s="36">
        <v>0</v>
      </c>
      <c r="DB47" s="36">
        <v>0</v>
      </c>
      <c r="DC47" s="36">
        <v>0</v>
      </c>
      <c r="DD47" s="36">
        <v>0</v>
      </c>
      <c r="DE47" s="36">
        <v>0</v>
      </c>
      <c r="DF47" s="36">
        <v>0</v>
      </c>
      <c r="DG47" s="36">
        <v>0</v>
      </c>
      <c r="DH47" s="36">
        <v>0</v>
      </c>
      <c r="DI47" s="36">
        <v>0</v>
      </c>
      <c r="DJ47" s="36">
        <v>0</v>
      </c>
      <c r="DK47" s="36">
        <v>0</v>
      </c>
      <c r="DL47" s="36">
        <v>0</v>
      </c>
      <c r="DM47" s="36">
        <v>0</v>
      </c>
      <c r="DN47" s="36">
        <v>0</v>
      </c>
      <c r="DO47" s="36">
        <v>0</v>
      </c>
      <c r="DP47" s="36">
        <v>0</v>
      </c>
      <c r="DQ47" s="36">
        <v>0</v>
      </c>
      <c r="DR47" s="36">
        <v>0</v>
      </c>
      <c r="DS47" s="36">
        <v>0</v>
      </c>
      <c r="DT47" s="36">
        <v>0</v>
      </c>
      <c r="DU47" s="36">
        <v>1</v>
      </c>
      <c r="DV47" s="36">
        <v>1</v>
      </c>
      <c r="DW47" s="36">
        <v>1</v>
      </c>
      <c r="DX47" s="36">
        <v>1</v>
      </c>
      <c r="DY47" s="36">
        <v>0</v>
      </c>
      <c r="DZ47" s="36">
        <v>0</v>
      </c>
      <c r="EA47" s="36">
        <v>0</v>
      </c>
      <c r="EB47" s="36">
        <v>0</v>
      </c>
      <c r="EC47" s="36">
        <v>0</v>
      </c>
      <c r="ED47" s="36">
        <v>0</v>
      </c>
      <c r="EE47" s="36">
        <v>0</v>
      </c>
      <c r="EF47" s="37">
        <v>0</v>
      </c>
    </row>
    <row r="48" spans="2:136" s="3" customFormat="1" ht="18" customHeight="1" x14ac:dyDescent="0.2">
      <c r="B48" s="86">
        <v>45</v>
      </c>
      <c r="C48" s="86">
        <v>45</v>
      </c>
      <c r="D48" s="35">
        <v>0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0</v>
      </c>
      <c r="N48" s="36">
        <v>0</v>
      </c>
      <c r="O48" s="36">
        <v>0</v>
      </c>
      <c r="P48" s="36">
        <v>0</v>
      </c>
      <c r="Q48" s="36">
        <v>0</v>
      </c>
      <c r="R48" s="36">
        <v>0</v>
      </c>
      <c r="S48" s="36">
        <v>0</v>
      </c>
      <c r="T48" s="36">
        <v>0</v>
      </c>
      <c r="U48" s="36">
        <v>0</v>
      </c>
      <c r="V48" s="36">
        <v>0</v>
      </c>
      <c r="W48" s="36">
        <v>0</v>
      </c>
      <c r="X48" s="36">
        <v>0</v>
      </c>
      <c r="Y48" s="36">
        <v>0</v>
      </c>
      <c r="Z48" s="36">
        <v>0</v>
      </c>
      <c r="AA48" s="36">
        <v>0</v>
      </c>
      <c r="AB48" s="36">
        <v>0</v>
      </c>
      <c r="AC48" s="36">
        <v>0</v>
      </c>
      <c r="AD48" s="36">
        <v>0</v>
      </c>
      <c r="AE48" s="36">
        <v>0</v>
      </c>
      <c r="AF48" s="36">
        <v>0</v>
      </c>
      <c r="AG48" s="36">
        <v>0</v>
      </c>
      <c r="AH48" s="36">
        <v>0</v>
      </c>
      <c r="AI48" s="36">
        <v>0</v>
      </c>
      <c r="AJ48" s="36">
        <v>0</v>
      </c>
      <c r="AK48" s="36">
        <v>0</v>
      </c>
      <c r="AL48" s="36">
        <v>0</v>
      </c>
      <c r="AM48" s="36">
        <v>0</v>
      </c>
      <c r="AN48" s="36">
        <v>0</v>
      </c>
      <c r="AO48" s="36">
        <v>0</v>
      </c>
      <c r="AP48" s="36">
        <v>0</v>
      </c>
      <c r="AQ48" s="36">
        <v>0</v>
      </c>
      <c r="AR48" s="36">
        <v>0</v>
      </c>
      <c r="AS48" s="36">
        <v>0</v>
      </c>
      <c r="AT48" s="36">
        <v>0</v>
      </c>
      <c r="AU48" s="36">
        <v>0</v>
      </c>
      <c r="AV48" s="36">
        <v>0</v>
      </c>
      <c r="AW48" s="36">
        <v>0</v>
      </c>
      <c r="AX48" s="36">
        <v>0</v>
      </c>
      <c r="AY48" s="36">
        <v>0</v>
      </c>
      <c r="AZ48" s="36">
        <v>0</v>
      </c>
      <c r="BA48" s="36">
        <v>0</v>
      </c>
      <c r="BB48" s="36">
        <v>0</v>
      </c>
      <c r="BC48" s="36">
        <v>0</v>
      </c>
      <c r="BD48" s="36">
        <v>0</v>
      </c>
      <c r="BE48" s="36">
        <v>0</v>
      </c>
      <c r="BF48" s="36">
        <v>0</v>
      </c>
      <c r="BG48" s="36">
        <v>0</v>
      </c>
      <c r="BH48" s="36">
        <v>0</v>
      </c>
      <c r="BI48" s="36">
        <v>0</v>
      </c>
      <c r="BJ48" s="36">
        <v>0</v>
      </c>
      <c r="BK48" s="36">
        <v>0</v>
      </c>
      <c r="BL48" s="36">
        <v>0</v>
      </c>
      <c r="BM48" s="36">
        <v>0</v>
      </c>
      <c r="BN48" s="36">
        <v>0</v>
      </c>
      <c r="BO48" s="36">
        <v>0</v>
      </c>
      <c r="BP48" s="36">
        <v>0</v>
      </c>
      <c r="BQ48" s="36">
        <v>0</v>
      </c>
      <c r="BR48" s="36">
        <v>0</v>
      </c>
      <c r="BS48" s="36">
        <v>0</v>
      </c>
      <c r="BT48" s="36">
        <v>0</v>
      </c>
      <c r="BU48" s="36">
        <v>0</v>
      </c>
      <c r="BV48" s="36">
        <v>0</v>
      </c>
      <c r="BW48" s="36">
        <v>0</v>
      </c>
      <c r="BX48" s="36">
        <v>0</v>
      </c>
      <c r="BY48" s="36">
        <v>0</v>
      </c>
      <c r="BZ48" s="36">
        <v>0</v>
      </c>
      <c r="CA48" s="36">
        <v>0</v>
      </c>
      <c r="CB48" s="36">
        <v>0</v>
      </c>
      <c r="CC48" s="36">
        <v>0</v>
      </c>
      <c r="CD48" s="36">
        <v>0</v>
      </c>
      <c r="CE48" s="36">
        <v>0</v>
      </c>
      <c r="CF48" s="36">
        <v>0</v>
      </c>
      <c r="CG48" s="36">
        <v>0</v>
      </c>
      <c r="CH48" s="36">
        <v>0</v>
      </c>
      <c r="CI48" s="36">
        <v>0</v>
      </c>
      <c r="CJ48" s="36">
        <v>0</v>
      </c>
      <c r="CK48" s="36">
        <v>0</v>
      </c>
      <c r="CL48" s="36">
        <v>0</v>
      </c>
      <c r="CM48" s="36">
        <v>0</v>
      </c>
      <c r="CN48" s="36">
        <v>0</v>
      </c>
      <c r="CO48" s="36">
        <v>0</v>
      </c>
      <c r="CP48" s="36">
        <v>0</v>
      </c>
      <c r="CQ48" s="36">
        <v>0</v>
      </c>
      <c r="CR48" s="36">
        <v>0</v>
      </c>
      <c r="CS48" s="36">
        <v>0</v>
      </c>
      <c r="CT48" s="36">
        <v>0</v>
      </c>
      <c r="CU48" s="36">
        <v>0</v>
      </c>
      <c r="CV48" s="36">
        <v>0</v>
      </c>
      <c r="CW48" s="36">
        <v>0</v>
      </c>
      <c r="CX48" s="36">
        <v>0</v>
      </c>
      <c r="CY48" s="36">
        <v>0</v>
      </c>
      <c r="CZ48" s="36">
        <v>0</v>
      </c>
      <c r="DA48" s="36">
        <v>0</v>
      </c>
      <c r="DB48" s="36">
        <v>0</v>
      </c>
      <c r="DC48" s="36">
        <v>0</v>
      </c>
      <c r="DD48" s="36">
        <v>0</v>
      </c>
      <c r="DE48" s="36">
        <v>0</v>
      </c>
      <c r="DF48" s="36">
        <v>0</v>
      </c>
      <c r="DG48" s="36">
        <v>0</v>
      </c>
      <c r="DH48" s="36">
        <v>0</v>
      </c>
      <c r="DI48" s="36">
        <v>0</v>
      </c>
      <c r="DJ48" s="36">
        <v>0</v>
      </c>
      <c r="DK48" s="36">
        <v>0</v>
      </c>
      <c r="DL48" s="36">
        <v>0</v>
      </c>
      <c r="DM48" s="36">
        <v>0</v>
      </c>
      <c r="DN48" s="36">
        <v>0</v>
      </c>
      <c r="DO48" s="36">
        <v>0</v>
      </c>
      <c r="DP48" s="36">
        <v>0</v>
      </c>
      <c r="DQ48" s="36">
        <v>0</v>
      </c>
      <c r="DR48" s="36">
        <v>0</v>
      </c>
      <c r="DS48" s="36">
        <v>0</v>
      </c>
      <c r="DT48" s="36">
        <v>0</v>
      </c>
      <c r="DU48" s="36">
        <v>0</v>
      </c>
      <c r="DV48" s="36">
        <v>0</v>
      </c>
      <c r="DW48" s="36">
        <v>0</v>
      </c>
      <c r="DX48" s="36">
        <v>0</v>
      </c>
      <c r="DY48" s="36">
        <v>1</v>
      </c>
      <c r="DZ48" s="36">
        <v>1</v>
      </c>
      <c r="EA48" s="36">
        <v>0</v>
      </c>
      <c r="EB48" s="36">
        <v>0</v>
      </c>
      <c r="EC48" s="36">
        <v>0</v>
      </c>
      <c r="ED48" s="36">
        <v>0</v>
      </c>
      <c r="EE48" s="36">
        <v>0</v>
      </c>
      <c r="EF48" s="37">
        <v>0</v>
      </c>
    </row>
    <row r="49" spans="1:136" s="3" customFormat="1" ht="18" customHeight="1" x14ac:dyDescent="0.2">
      <c r="B49" s="86">
        <v>46</v>
      </c>
      <c r="C49" s="86">
        <v>46</v>
      </c>
      <c r="D49" s="35">
        <v>0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  <c r="M49" s="36">
        <v>0</v>
      </c>
      <c r="N49" s="36">
        <v>0</v>
      </c>
      <c r="O49" s="36">
        <v>0</v>
      </c>
      <c r="P49" s="36">
        <v>0</v>
      </c>
      <c r="Q49" s="36">
        <v>0</v>
      </c>
      <c r="R49" s="36">
        <v>0</v>
      </c>
      <c r="S49" s="36">
        <v>0</v>
      </c>
      <c r="T49" s="36">
        <v>0</v>
      </c>
      <c r="U49" s="36">
        <v>0</v>
      </c>
      <c r="V49" s="36">
        <v>0</v>
      </c>
      <c r="W49" s="36">
        <v>0</v>
      </c>
      <c r="X49" s="36">
        <v>0</v>
      </c>
      <c r="Y49" s="36">
        <v>0</v>
      </c>
      <c r="Z49" s="36">
        <v>0</v>
      </c>
      <c r="AA49" s="36">
        <v>0</v>
      </c>
      <c r="AB49" s="36">
        <v>0</v>
      </c>
      <c r="AC49" s="36">
        <v>0</v>
      </c>
      <c r="AD49" s="36">
        <v>0</v>
      </c>
      <c r="AE49" s="36">
        <v>0</v>
      </c>
      <c r="AF49" s="36">
        <v>0</v>
      </c>
      <c r="AG49" s="36">
        <v>0</v>
      </c>
      <c r="AH49" s="36">
        <v>0</v>
      </c>
      <c r="AI49" s="36">
        <v>0</v>
      </c>
      <c r="AJ49" s="36">
        <v>0</v>
      </c>
      <c r="AK49" s="36">
        <v>0</v>
      </c>
      <c r="AL49" s="36">
        <v>0</v>
      </c>
      <c r="AM49" s="36">
        <v>0</v>
      </c>
      <c r="AN49" s="36">
        <v>0</v>
      </c>
      <c r="AO49" s="36">
        <v>0</v>
      </c>
      <c r="AP49" s="36">
        <v>0</v>
      </c>
      <c r="AQ49" s="36">
        <v>0</v>
      </c>
      <c r="AR49" s="36">
        <v>0</v>
      </c>
      <c r="AS49" s="36">
        <v>0</v>
      </c>
      <c r="AT49" s="36">
        <v>0</v>
      </c>
      <c r="AU49" s="36">
        <v>0</v>
      </c>
      <c r="AV49" s="36">
        <v>0</v>
      </c>
      <c r="AW49" s="36">
        <v>0</v>
      </c>
      <c r="AX49" s="36">
        <v>0</v>
      </c>
      <c r="AY49" s="36">
        <v>0</v>
      </c>
      <c r="AZ49" s="36">
        <v>0</v>
      </c>
      <c r="BA49" s="36">
        <v>0</v>
      </c>
      <c r="BB49" s="36">
        <v>0</v>
      </c>
      <c r="BC49" s="36">
        <v>0</v>
      </c>
      <c r="BD49" s="36">
        <v>0</v>
      </c>
      <c r="BE49" s="36">
        <v>0</v>
      </c>
      <c r="BF49" s="36">
        <v>0</v>
      </c>
      <c r="BG49" s="36">
        <v>0</v>
      </c>
      <c r="BH49" s="36">
        <v>0</v>
      </c>
      <c r="BI49" s="36">
        <v>0</v>
      </c>
      <c r="BJ49" s="36">
        <v>0</v>
      </c>
      <c r="BK49" s="36">
        <v>0</v>
      </c>
      <c r="BL49" s="36">
        <v>0</v>
      </c>
      <c r="BM49" s="36">
        <v>0</v>
      </c>
      <c r="BN49" s="36">
        <v>0</v>
      </c>
      <c r="BO49" s="36">
        <v>0</v>
      </c>
      <c r="BP49" s="36">
        <v>0</v>
      </c>
      <c r="BQ49" s="36">
        <v>0</v>
      </c>
      <c r="BR49" s="36">
        <v>0</v>
      </c>
      <c r="BS49" s="36">
        <v>0</v>
      </c>
      <c r="BT49" s="36">
        <v>0</v>
      </c>
      <c r="BU49" s="36">
        <v>0</v>
      </c>
      <c r="BV49" s="36">
        <v>0</v>
      </c>
      <c r="BW49" s="36">
        <v>0</v>
      </c>
      <c r="BX49" s="36">
        <v>0</v>
      </c>
      <c r="BY49" s="36">
        <v>0</v>
      </c>
      <c r="BZ49" s="36">
        <v>0</v>
      </c>
      <c r="CA49" s="36">
        <v>0</v>
      </c>
      <c r="CB49" s="36">
        <v>0</v>
      </c>
      <c r="CC49" s="36">
        <v>0</v>
      </c>
      <c r="CD49" s="36">
        <v>0</v>
      </c>
      <c r="CE49" s="36">
        <v>0</v>
      </c>
      <c r="CF49" s="36">
        <v>0</v>
      </c>
      <c r="CG49" s="36">
        <v>0</v>
      </c>
      <c r="CH49" s="36">
        <v>0</v>
      </c>
      <c r="CI49" s="36">
        <v>0</v>
      </c>
      <c r="CJ49" s="36">
        <v>0</v>
      </c>
      <c r="CK49" s="36">
        <v>0</v>
      </c>
      <c r="CL49" s="36">
        <v>0</v>
      </c>
      <c r="CM49" s="36">
        <v>0</v>
      </c>
      <c r="CN49" s="36">
        <v>0</v>
      </c>
      <c r="CO49" s="36">
        <v>0</v>
      </c>
      <c r="CP49" s="36">
        <v>0</v>
      </c>
      <c r="CQ49" s="36">
        <v>0</v>
      </c>
      <c r="CR49" s="36">
        <v>0</v>
      </c>
      <c r="CS49" s="36">
        <v>0</v>
      </c>
      <c r="CT49" s="36">
        <v>0</v>
      </c>
      <c r="CU49" s="36">
        <v>0</v>
      </c>
      <c r="CV49" s="36">
        <v>0</v>
      </c>
      <c r="CW49" s="36">
        <v>0</v>
      </c>
      <c r="CX49" s="36">
        <v>0</v>
      </c>
      <c r="CY49" s="36">
        <v>0</v>
      </c>
      <c r="CZ49" s="36">
        <v>0</v>
      </c>
      <c r="DA49" s="36">
        <v>0</v>
      </c>
      <c r="DB49" s="36">
        <v>0</v>
      </c>
      <c r="DC49" s="36">
        <v>0</v>
      </c>
      <c r="DD49" s="36">
        <v>0</v>
      </c>
      <c r="DE49" s="36">
        <v>0</v>
      </c>
      <c r="DF49" s="36">
        <v>0</v>
      </c>
      <c r="DG49" s="36">
        <v>0</v>
      </c>
      <c r="DH49" s="36">
        <v>0</v>
      </c>
      <c r="DI49" s="36">
        <v>0</v>
      </c>
      <c r="DJ49" s="36">
        <v>0</v>
      </c>
      <c r="DK49" s="36">
        <v>0</v>
      </c>
      <c r="DL49" s="36">
        <v>0</v>
      </c>
      <c r="DM49" s="36">
        <v>0</v>
      </c>
      <c r="DN49" s="36">
        <v>0</v>
      </c>
      <c r="DO49" s="36">
        <v>0</v>
      </c>
      <c r="DP49" s="36">
        <v>0</v>
      </c>
      <c r="DQ49" s="36">
        <v>0</v>
      </c>
      <c r="DR49" s="36">
        <v>0</v>
      </c>
      <c r="DS49" s="36">
        <v>0</v>
      </c>
      <c r="DT49" s="36">
        <v>0</v>
      </c>
      <c r="DU49" s="36">
        <v>0</v>
      </c>
      <c r="DV49" s="36">
        <v>0</v>
      </c>
      <c r="DW49" s="36">
        <v>0</v>
      </c>
      <c r="DX49" s="36">
        <v>0</v>
      </c>
      <c r="DY49" s="36">
        <v>0</v>
      </c>
      <c r="DZ49" s="36">
        <v>0</v>
      </c>
      <c r="EA49" s="36">
        <v>1</v>
      </c>
      <c r="EB49" s="36">
        <v>1</v>
      </c>
      <c r="EC49" s="36">
        <v>0</v>
      </c>
      <c r="ED49" s="36">
        <v>0</v>
      </c>
      <c r="EE49" s="36">
        <v>0</v>
      </c>
      <c r="EF49" s="37">
        <v>0</v>
      </c>
    </row>
    <row r="50" spans="1:136" s="3" customFormat="1" ht="18" customHeight="1" x14ac:dyDescent="0.2">
      <c r="B50" s="86">
        <v>47</v>
      </c>
      <c r="C50" s="86">
        <v>47</v>
      </c>
      <c r="D50" s="35">
        <v>0</v>
      </c>
      <c r="E50" s="36">
        <v>0</v>
      </c>
      <c r="F50" s="36">
        <v>0</v>
      </c>
      <c r="G50" s="36">
        <v>0</v>
      </c>
      <c r="H50" s="36">
        <v>0</v>
      </c>
      <c r="I50" s="36">
        <v>0</v>
      </c>
      <c r="J50" s="36">
        <v>0</v>
      </c>
      <c r="K50" s="36">
        <v>0</v>
      </c>
      <c r="L50" s="36">
        <v>0</v>
      </c>
      <c r="M50" s="36">
        <v>0</v>
      </c>
      <c r="N50" s="36">
        <v>0</v>
      </c>
      <c r="O50" s="36">
        <v>0</v>
      </c>
      <c r="P50" s="36">
        <v>0</v>
      </c>
      <c r="Q50" s="36">
        <v>0</v>
      </c>
      <c r="R50" s="36">
        <v>0</v>
      </c>
      <c r="S50" s="36">
        <v>0</v>
      </c>
      <c r="T50" s="36">
        <v>0</v>
      </c>
      <c r="U50" s="36">
        <v>0</v>
      </c>
      <c r="V50" s="36">
        <v>0</v>
      </c>
      <c r="W50" s="36">
        <v>0</v>
      </c>
      <c r="X50" s="36">
        <v>0</v>
      </c>
      <c r="Y50" s="36">
        <v>0</v>
      </c>
      <c r="Z50" s="36">
        <v>0</v>
      </c>
      <c r="AA50" s="36">
        <v>0</v>
      </c>
      <c r="AB50" s="36">
        <v>0</v>
      </c>
      <c r="AC50" s="36">
        <v>0</v>
      </c>
      <c r="AD50" s="36">
        <v>0</v>
      </c>
      <c r="AE50" s="36">
        <v>0</v>
      </c>
      <c r="AF50" s="36">
        <v>0</v>
      </c>
      <c r="AG50" s="36">
        <v>0</v>
      </c>
      <c r="AH50" s="36">
        <v>0</v>
      </c>
      <c r="AI50" s="36">
        <v>0</v>
      </c>
      <c r="AJ50" s="36">
        <v>0</v>
      </c>
      <c r="AK50" s="36">
        <v>0</v>
      </c>
      <c r="AL50" s="36">
        <v>0</v>
      </c>
      <c r="AM50" s="36">
        <v>0</v>
      </c>
      <c r="AN50" s="36">
        <v>0</v>
      </c>
      <c r="AO50" s="36">
        <v>0</v>
      </c>
      <c r="AP50" s="36">
        <v>0</v>
      </c>
      <c r="AQ50" s="36">
        <v>0</v>
      </c>
      <c r="AR50" s="36">
        <v>0</v>
      </c>
      <c r="AS50" s="36">
        <v>0</v>
      </c>
      <c r="AT50" s="36">
        <v>0</v>
      </c>
      <c r="AU50" s="36">
        <v>0</v>
      </c>
      <c r="AV50" s="36">
        <v>0</v>
      </c>
      <c r="AW50" s="36">
        <v>0</v>
      </c>
      <c r="AX50" s="36">
        <v>0</v>
      </c>
      <c r="AY50" s="36">
        <v>0</v>
      </c>
      <c r="AZ50" s="36">
        <v>0</v>
      </c>
      <c r="BA50" s="36">
        <v>0</v>
      </c>
      <c r="BB50" s="36">
        <v>0</v>
      </c>
      <c r="BC50" s="36">
        <v>0</v>
      </c>
      <c r="BD50" s="36">
        <v>0</v>
      </c>
      <c r="BE50" s="36">
        <v>0</v>
      </c>
      <c r="BF50" s="36">
        <v>0</v>
      </c>
      <c r="BG50" s="36">
        <v>0</v>
      </c>
      <c r="BH50" s="36">
        <v>0</v>
      </c>
      <c r="BI50" s="36">
        <v>0</v>
      </c>
      <c r="BJ50" s="36">
        <v>0</v>
      </c>
      <c r="BK50" s="36">
        <v>0</v>
      </c>
      <c r="BL50" s="36">
        <v>0</v>
      </c>
      <c r="BM50" s="36">
        <v>0</v>
      </c>
      <c r="BN50" s="36">
        <v>0</v>
      </c>
      <c r="BO50" s="36">
        <v>0</v>
      </c>
      <c r="BP50" s="36">
        <v>0</v>
      </c>
      <c r="BQ50" s="36">
        <v>0</v>
      </c>
      <c r="BR50" s="36">
        <v>0</v>
      </c>
      <c r="BS50" s="36">
        <v>0</v>
      </c>
      <c r="BT50" s="36">
        <v>0</v>
      </c>
      <c r="BU50" s="36">
        <v>0</v>
      </c>
      <c r="BV50" s="36">
        <v>0</v>
      </c>
      <c r="BW50" s="36">
        <v>0</v>
      </c>
      <c r="BX50" s="36">
        <v>0</v>
      </c>
      <c r="BY50" s="36">
        <v>0</v>
      </c>
      <c r="BZ50" s="36">
        <v>0</v>
      </c>
      <c r="CA50" s="36">
        <v>0</v>
      </c>
      <c r="CB50" s="36">
        <v>0</v>
      </c>
      <c r="CC50" s="36">
        <v>0</v>
      </c>
      <c r="CD50" s="36">
        <v>0</v>
      </c>
      <c r="CE50" s="36">
        <v>0</v>
      </c>
      <c r="CF50" s="36">
        <v>0</v>
      </c>
      <c r="CG50" s="36">
        <v>0</v>
      </c>
      <c r="CH50" s="36">
        <v>0</v>
      </c>
      <c r="CI50" s="36">
        <v>0</v>
      </c>
      <c r="CJ50" s="36">
        <v>0</v>
      </c>
      <c r="CK50" s="36">
        <v>0</v>
      </c>
      <c r="CL50" s="36">
        <v>0</v>
      </c>
      <c r="CM50" s="36">
        <v>0</v>
      </c>
      <c r="CN50" s="36">
        <v>0</v>
      </c>
      <c r="CO50" s="36">
        <v>0</v>
      </c>
      <c r="CP50" s="36">
        <v>0</v>
      </c>
      <c r="CQ50" s="36">
        <v>0</v>
      </c>
      <c r="CR50" s="36">
        <v>0</v>
      </c>
      <c r="CS50" s="36">
        <v>0</v>
      </c>
      <c r="CT50" s="36">
        <v>0</v>
      </c>
      <c r="CU50" s="36">
        <v>0</v>
      </c>
      <c r="CV50" s="36">
        <v>0</v>
      </c>
      <c r="CW50" s="36">
        <v>0</v>
      </c>
      <c r="CX50" s="36">
        <v>0</v>
      </c>
      <c r="CY50" s="36">
        <v>0</v>
      </c>
      <c r="CZ50" s="36">
        <v>0</v>
      </c>
      <c r="DA50" s="36">
        <v>0</v>
      </c>
      <c r="DB50" s="36">
        <v>0</v>
      </c>
      <c r="DC50" s="36">
        <v>0</v>
      </c>
      <c r="DD50" s="36">
        <v>0</v>
      </c>
      <c r="DE50" s="36">
        <v>0</v>
      </c>
      <c r="DF50" s="36">
        <v>0</v>
      </c>
      <c r="DG50" s="36">
        <v>0</v>
      </c>
      <c r="DH50" s="36">
        <v>0</v>
      </c>
      <c r="DI50" s="36">
        <v>0</v>
      </c>
      <c r="DJ50" s="36">
        <v>0</v>
      </c>
      <c r="DK50" s="36">
        <v>0</v>
      </c>
      <c r="DL50" s="36">
        <v>0</v>
      </c>
      <c r="DM50" s="36">
        <v>0</v>
      </c>
      <c r="DN50" s="36">
        <v>0</v>
      </c>
      <c r="DO50" s="36">
        <v>0</v>
      </c>
      <c r="DP50" s="36">
        <v>0</v>
      </c>
      <c r="DQ50" s="36">
        <v>0</v>
      </c>
      <c r="DR50" s="36">
        <v>0</v>
      </c>
      <c r="DS50" s="36">
        <v>0</v>
      </c>
      <c r="DT50" s="36">
        <v>0</v>
      </c>
      <c r="DU50" s="36">
        <v>0</v>
      </c>
      <c r="DV50" s="36">
        <v>0</v>
      </c>
      <c r="DW50" s="36">
        <v>0</v>
      </c>
      <c r="DX50" s="36">
        <v>0</v>
      </c>
      <c r="DY50" s="36">
        <v>0</v>
      </c>
      <c r="DZ50" s="36">
        <v>0</v>
      </c>
      <c r="EA50" s="36">
        <v>0</v>
      </c>
      <c r="EB50" s="36">
        <v>0</v>
      </c>
      <c r="EC50" s="36">
        <v>1</v>
      </c>
      <c r="ED50" s="36">
        <v>1</v>
      </c>
      <c r="EE50" s="36">
        <v>0</v>
      </c>
      <c r="EF50" s="37">
        <v>0</v>
      </c>
    </row>
    <row r="51" spans="1:136" s="3" customFormat="1" ht="18.5" customHeight="1" x14ac:dyDescent="0.2">
      <c r="B51" s="90">
        <v>48</v>
      </c>
      <c r="C51" s="90">
        <v>48</v>
      </c>
      <c r="D51" s="35">
        <v>0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X51" s="36">
        <v>0</v>
      </c>
      <c r="Y51" s="36">
        <v>0</v>
      </c>
      <c r="Z51" s="36">
        <v>0</v>
      </c>
      <c r="AA51" s="36">
        <v>0</v>
      </c>
      <c r="AB51" s="36">
        <v>0</v>
      </c>
      <c r="AC51" s="36">
        <v>0</v>
      </c>
      <c r="AD51" s="36">
        <v>0</v>
      </c>
      <c r="AE51" s="36">
        <v>0</v>
      </c>
      <c r="AF51" s="36">
        <v>0</v>
      </c>
      <c r="AG51" s="36">
        <v>0</v>
      </c>
      <c r="AH51" s="36">
        <v>0</v>
      </c>
      <c r="AI51" s="36">
        <v>0</v>
      </c>
      <c r="AJ51" s="36">
        <v>0</v>
      </c>
      <c r="AK51" s="36">
        <v>0</v>
      </c>
      <c r="AL51" s="36">
        <v>0</v>
      </c>
      <c r="AM51" s="36">
        <v>0</v>
      </c>
      <c r="AN51" s="36">
        <v>0</v>
      </c>
      <c r="AO51" s="36">
        <v>0</v>
      </c>
      <c r="AP51" s="36">
        <v>0</v>
      </c>
      <c r="AQ51" s="36">
        <v>0</v>
      </c>
      <c r="AR51" s="36">
        <v>0</v>
      </c>
      <c r="AS51" s="36">
        <v>0</v>
      </c>
      <c r="AT51" s="36">
        <v>0</v>
      </c>
      <c r="AU51" s="36">
        <v>0</v>
      </c>
      <c r="AV51" s="36">
        <v>0</v>
      </c>
      <c r="AW51" s="36">
        <v>0</v>
      </c>
      <c r="AX51" s="36">
        <v>0</v>
      </c>
      <c r="AY51" s="36">
        <v>0</v>
      </c>
      <c r="AZ51" s="36">
        <v>0</v>
      </c>
      <c r="BA51" s="36">
        <v>0</v>
      </c>
      <c r="BB51" s="36">
        <v>0</v>
      </c>
      <c r="BC51" s="36">
        <v>0</v>
      </c>
      <c r="BD51" s="36">
        <v>0</v>
      </c>
      <c r="BE51" s="36">
        <v>0</v>
      </c>
      <c r="BF51" s="36">
        <v>0</v>
      </c>
      <c r="BG51" s="36">
        <v>0</v>
      </c>
      <c r="BH51" s="36">
        <v>0</v>
      </c>
      <c r="BI51" s="36">
        <v>0</v>
      </c>
      <c r="BJ51" s="36">
        <v>0</v>
      </c>
      <c r="BK51" s="36">
        <v>0</v>
      </c>
      <c r="BL51" s="36">
        <v>0</v>
      </c>
      <c r="BM51" s="36">
        <v>0</v>
      </c>
      <c r="BN51" s="36">
        <v>0</v>
      </c>
      <c r="BO51" s="36">
        <v>0</v>
      </c>
      <c r="BP51" s="36">
        <v>0</v>
      </c>
      <c r="BQ51" s="36">
        <v>0</v>
      </c>
      <c r="BR51" s="36">
        <v>0</v>
      </c>
      <c r="BS51" s="36">
        <v>0</v>
      </c>
      <c r="BT51" s="36">
        <v>0</v>
      </c>
      <c r="BU51" s="36">
        <v>0</v>
      </c>
      <c r="BV51" s="36">
        <v>0</v>
      </c>
      <c r="BW51" s="36">
        <v>0</v>
      </c>
      <c r="BX51" s="36">
        <v>0</v>
      </c>
      <c r="BY51" s="36">
        <v>0</v>
      </c>
      <c r="BZ51" s="36">
        <v>0</v>
      </c>
      <c r="CA51" s="36">
        <v>0</v>
      </c>
      <c r="CB51" s="36">
        <v>0</v>
      </c>
      <c r="CC51" s="36">
        <v>0</v>
      </c>
      <c r="CD51" s="36">
        <v>0</v>
      </c>
      <c r="CE51" s="36">
        <v>0</v>
      </c>
      <c r="CF51" s="36">
        <v>0</v>
      </c>
      <c r="CG51" s="36">
        <v>0</v>
      </c>
      <c r="CH51" s="36">
        <v>0</v>
      </c>
      <c r="CI51" s="36">
        <v>0</v>
      </c>
      <c r="CJ51" s="36">
        <v>0</v>
      </c>
      <c r="CK51" s="36">
        <v>0</v>
      </c>
      <c r="CL51" s="36">
        <v>0</v>
      </c>
      <c r="CM51" s="36">
        <v>0</v>
      </c>
      <c r="CN51" s="36">
        <v>0</v>
      </c>
      <c r="CO51" s="36">
        <v>0</v>
      </c>
      <c r="CP51" s="36">
        <v>0</v>
      </c>
      <c r="CQ51" s="36">
        <v>0</v>
      </c>
      <c r="CR51" s="36">
        <v>0</v>
      </c>
      <c r="CS51" s="36">
        <v>0</v>
      </c>
      <c r="CT51" s="36">
        <v>0</v>
      </c>
      <c r="CU51" s="36">
        <v>0</v>
      </c>
      <c r="CV51" s="36">
        <v>0</v>
      </c>
      <c r="CW51" s="36">
        <v>0</v>
      </c>
      <c r="CX51" s="36">
        <v>0</v>
      </c>
      <c r="CY51" s="36">
        <v>0</v>
      </c>
      <c r="CZ51" s="36">
        <v>0</v>
      </c>
      <c r="DA51" s="36">
        <v>0</v>
      </c>
      <c r="DB51" s="36">
        <v>0</v>
      </c>
      <c r="DC51" s="36">
        <v>0</v>
      </c>
      <c r="DD51" s="36">
        <v>0</v>
      </c>
      <c r="DE51" s="36">
        <v>0</v>
      </c>
      <c r="DF51" s="36">
        <v>0</v>
      </c>
      <c r="DG51" s="36">
        <v>0</v>
      </c>
      <c r="DH51" s="36">
        <v>0</v>
      </c>
      <c r="DI51" s="36">
        <v>0</v>
      </c>
      <c r="DJ51" s="36">
        <v>0</v>
      </c>
      <c r="DK51" s="36">
        <v>0</v>
      </c>
      <c r="DL51" s="36">
        <v>0</v>
      </c>
      <c r="DM51" s="36">
        <v>0</v>
      </c>
      <c r="DN51" s="36">
        <v>0</v>
      </c>
      <c r="DO51" s="36">
        <v>0</v>
      </c>
      <c r="DP51" s="36">
        <v>0</v>
      </c>
      <c r="DQ51" s="36">
        <v>0</v>
      </c>
      <c r="DR51" s="36">
        <v>0</v>
      </c>
      <c r="DS51" s="36">
        <v>0</v>
      </c>
      <c r="DT51" s="36">
        <v>0</v>
      </c>
      <c r="DU51" s="36">
        <v>0</v>
      </c>
      <c r="DV51" s="36">
        <v>0</v>
      </c>
      <c r="DW51" s="36">
        <v>0</v>
      </c>
      <c r="DX51" s="36">
        <v>0</v>
      </c>
      <c r="DY51" s="36">
        <v>0</v>
      </c>
      <c r="DZ51" s="36">
        <v>0</v>
      </c>
      <c r="EA51" s="36">
        <v>0</v>
      </c>
      <c r="EB51" s="36">
        <v>0</v>
      </c>
      <c r="EC51" s="36">
        <v>0</v>
      </c>
      <c r="ED51" s="36">
        <v>0</v>
      </c>
      <c r="EE51" s="36">
        <v>1</v>
      </c>
      <c r="EF51" s="37">
        <v>1</v>
      </c>
    </row>
    <row r="52" spans="1:136" s="3" customFormat="1" ht="19" customHeight="1" x14ac:dyDescent="0.2">
      <c r="B52" s="328">
        <v>1</v>
      </c>
      <c r="C52" s="328">
        <v>49</v>
      </c>
      <c r="D52" s="35">
        <v>0</v>
      </c>
      <c r="E52" s="36">
        <v>0</v>
      </c>
      <c r="F52" s="36">
        <v>0</v>
      </c>
      <c r="G52" s="36">
        <v>0</v>
      </c>
      <c r="H52" s="36">
        <v>0</v>
      </c>
      <c r="I52" s="36">
        <v>0</v>
      </c>
      <c r="J52" s="36">
        <v>0</v>
      </c>
      <c r="K52" s="36">
        <v>0</v>
      </c>
      <c r="L52" s="36">
        <v>0</v>
      </c>
      <c r="M52" s="36">
        <v>0</v>
      </c>
      <c r="N52" s="36">
        <v>0</v>
      </c>
      <c r="O52" s="36">
        <v>0</v>
      </c>
      <c r="P52" s="36">
        <v>0</v>
      </c>
      <c r="Q52" s="36">
        <v>0</v>
      </c>
      <c r="R52" s="36">
        <v>0</v>
      </c>
      <c r="S52" s="36">
        <v>0</v>
      </c>
      <c r="T52" s="36">
        <v>0</v>
      </c>
      <c r="U52" s="36">
        <v>0</v>
      </c>
      <c r="V52" s="36">
        <v>0</v>
      </c>
      <c r="W52" s="36">
        <v>0</v>
      </c>
      <c r="X52" s="36">
        <v>0</v>
      </c>
      <c r="Y52" s="36">
        <v>0</v>
      </c>
      <c r="Z52" s="36">
        <v>0</v>
      </c>
      <c r="AA52" s="36">
        <v>0</v>
      </c>
      <c r="AB52" s="36">
        <v>0</v>
      </c>
      <c r="AC52" s="36">
        <v>0</v>
      </c>
      <c r="AD52" s="36">
        <v>0</v>
      </c>
      <c r="AE52" s="36">
        <v>0</v>
      </c>
      <c r="AF52" s="36">
        <v>0</v>
      </c>
      <c r="AG52" s="36">
        <v>0</v>
      </c>
      <c r="AH52" s="36">
        <v>0</v>
      </c>
      <c r="AI52" s="36">
        <v>0</v>
      </c>
      <c r="AJ52" s="36">
        <v>0</v>
      </c>
      <c r="AK52" s="36">
        <v>0</v>
      </c>
      <c r="AL52" s="36">
        <v>0</v>
      </c>
      <c r="AM52" s="36">
        <v>0</v>
      </c>
      <c r="AN52" s="36">
        <v>0</v>
      </c>
      <c r="AO52" s="36">
        <v>0</v>
      </c>
      <c r="AP52" s="36">
        <v>0</v>
      </c>
      <c r="AQ52" s="36">
        <v>1</v>
      </c>
      <c r="AR52" s="36">
        <v>0</v>
      </c>
      <c r="AS52" s="36">
        <v>0</v>
      </c>
      <c r="AT52" s="36">
        <v>0</v>
      </c>
      <c r="AU52" s="36">
        <v>1</v>
      </c>
      <c r="AV52" s="36">
        <v>0</v>
      </c>
      <c r="AW52" s="36">
        <v>0</v>
      </c>
      <c r="AX52" s="36">
        <v>0</v>
      </c>
      <c r="AY52" s="36">
        <v>1</v>
      </c>
      <c r="AZ52" s="36">
        <v>0</v>
      </c>
      <c r="BA52" s="36">
        <v>0</v>
      </c>
      <c r="BB52" s="36">
        <v>0</v>
      </c>
      <c r="BC52" s="36">
        <v>1</v>
      </c>
      <c r="BD52" s="36">
        <v>0</v>
      </c>
      <c r="BE52" s="36">
        <v>0</v>
      </c>
      <c r="BF52" s="36">
        <v>0</v>
      </c>
      <c r="BG52" s="36">
        <v>1</v>
      </c>
      <c r="BH52" s="36">
        <v>0</v>
      </c>
      <c r="BI52" s="36">
        <v>0</v>
      </c>
      <c r="BJ52" s="36">
        <v>0</v>
      </c>
      <c r="BK52" s="36">
        <v>1</v>
      </c>
      <c r="BL52" s="36">
        <v>0</v>
      </c>
      <c r="BM52" s="36">
        <v>0</v>
      </c>
      <c r="BN52" s="36">
        <v>0</v>
      </c>
      <c r="BO52" s="36">
        <v>1</v>
      </c>
      <c r="BP52" s="36">
        <v>0</v>
      </c>
      <c r="BQ52" s="36">
        <v>0</v>
      </c>
      <c r="BR52" s="36">
        <v>0</v>
      </c>
      <c r="BS52" s="36">
        <v>1</v>
      </c>
      <c r="BT52" s="36">
        <v>0</v>
      </c>
      <c r="BU52" s="36">
        <v>0</v>
      </c>
      <c r="BV52" s="36">
        <v>0</v>
      </c>
      <c r="BW52" s="36">
        <v>1</v>
      </c>
      <c r="BX52" s="36">
        <v>0</v>
      </c>
      <c r="BY52" s="36">
        <v>0</v>
      </c>
      <c r="BZ52" s="36">
        <v>0</v>
      </c>
      <c r="CA52" s="36">
        <v>1</v>
      </c>
      <c r="CB52" s="36">
        <v>0</v>
      </c>
      <c r="CC52" s="36">
        <v>0</v>
      </c>
      <c r="CD52" s="36">
        <v>0</v>
      </c>
      <c r="CE52" s="36">
        <v>1</v>
      </c>
      <c r="CF52" s="36">
        <v>0</v>
      </c>
      <c r="CG52" s="36">
        <v>0</v>
      </c>
      <c r="CH52" s="36">
        <v>0</v>
      </c>
      <c r="CI52" s="36">
        <v>1</v>
      </c>
      <c r="CJ52" s="36">
        <v>0</v>
      </c>
      <c r="CK52" s="36">
        <v>0</v>
      </c>
      <c r="CL52" s="36">
        <v>0</v>
      </c>
      <c r="CM52" s="36">
        <v>1</v>
      </c>
      <c r="CN52" s="36">
        <v>0</v>
      </c>
      <c r="CO52" s="36">
        <v>0</v>
      </c>
      <c r="CP52" s="36">
        <v>0</v>
      </c>
      <c r="CQ52" s="36">
        <v>0</v>
      </c>
      <c r="CR52" s="36">
        <v>0</v>
      </c>
      <c r="CS52" s="36">
        <v>0</v>
      </c>
      <c r="CT52" s="36">
        <v>0</v>
      </c>
      <c r="CU52" s="36">
        <v>0</v>
      </c>
      <c r="CV52" s="36">
        <v>0</v>
      </c>
      <c r="CW52" s="36">
        <v>0</v>
      </c>
      <c r="CX52" s="36">
        <v>0</v>
      </c>
      <c r="CY52" s="36">
        <v>0</v>
      </c>
      <c r="CZ52" s="36">
        <v>0</v>
      </c>
      <c r="DA52" s="36">
        <v>0</v>
      </c>
      <c r="DB52" s="36">
        <v>0</v>
      </c>
      <c r="DC52" s="36">
        <v>0</v>
      </c>
      <c r="DD52" s="36">
        <v>0</v>
      </c>
      <c r="DE52" s="36">
        <v>0</v>
      </c>
      <c r="DF52" s="36">
        <v>0</v>
      </c>
      <c r="DG52" s="36">
        <v>0</v>
      </c>
      <c r="DH52" s="36">
        <v>0</v>
      </c>
      <c r="DI52" s="36">
        <v>0</v>
      </c>
      <c r="DJ52" s="36">
        <v>0</v>
      </c>
      <c r="DK52" s="36">
        <v>0</v>
      </c>
      <c r="DL52" s="36">
        <v>0</v>
      </c>
      <c r="DM52" s="36">
        <v>0</v>
      </c>
      <c r="DN52" s="36">
        <v>0</v>
      </c>
      <c r="DO52" s="36">
        <v>0</v>
      </c>
      <c r="DP52" s="36">
        <v>0</v>
      </c>
      <c r="DQ52" s="36">
        <v>0</v>
      </c>
      <c r="DR52" s="36">
        <v>0</v>
      </c>
      <c r="DS52" s="36">
        <v>0</v>
      </c>
      <c r="DT52" s="36">
        <v>0</v>
      </c>
      <c r="DU52" s="36">
        <v>1</v>
      </c>
      <c r="DV52" s="36">
        <v>0</v>
      </c>
      <c r="DW52" s="36">
        <v>0</v>
      </c>
      <c r="DX52" s="36">
        <v>0</v>
      </c>
      <c r="DY52" s="36">
        <v>0</v>
      </c>
      <c r="DZ52" s="36">
        <v>0</v>
      </c>
      <c r="EA52" s="36">
        <v>0</v>
      </c>
      <c r="EB52" s="36">
        <v>0</v>
      </c>
      <c r="EC52" s="36">
        <v>0</v>
      </c>
      <c r="ED52" s="36">
        <v>0</v>
      </c>
      <c r="EE52" s="36">
        <v>0</v>
      </c>
      <c r="EF52" s="37">
        <v>0</v>
      </c>
    </row>
    <row r="53" spans="1:136" s="3" customFormat="1" ht="19" customHeight="1" x14ac:dyDescent="0.2">
      <c r="A53" s="240" t="s">
        <v>292</v>
      </c>
      <c r="B53" s="329">
        <v>2</v>
      </c>
      <c r="C53" s="329">
        <v>50</v>
      </c>
      <c r="D53" s="35">
        <v>0</v>
      </c>
      <c r="E53" s="36">
        <v>0</v>
      </c>
      <c r="F53" s="36">
        <v>0</v>
      </c>
      <c r="G53" s="36">
        <v>0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0</v>
      </c>
      <c r="N53" s="36">
        <v>0</v>
      </c>
      <c r="O53" s="36">
        <v>0</v>
      </c>
      <c r="P53" s="36">
        <v>1</v>
      </c>
      <c r="Q53" s="36">
        <v>0</v>
      </c>
      <c r="R53" s="36">
        <v>0</v>
      </c>
      <c r="S53" s="36">
        <v>1</v>
      </c>
      <c r="T53" s="36">
        <v>0</v>
      </c>
      <c r="U53" s="36">
        <v>0</v>
      </c>
      <c r="V53" s="36">
        <v>1</v>
      </c>
      <c r="W53" s="36">
        <v>0</v>
      </c>
      <c r="X53" s="36">
        <v>0</v>
      </c>
      <c r="Y53" s="36">
        <v>1</v>
      </c>
      <c r="Z53" s="36">
        <v>0</v>
      </c>
      <c r="AA53" s="36">
        <v>0</v>
      </c>
      <c r="AB53" s="36">
        <v>1</v>
      </c>
      <c r="AC53" s="36">
        <v>0</v>
      </c>
      <c r="AD53" s="36">
        <v>0</v>
      </c>
      <c r="AE53" s="36">
        <v>1</v>
      </c>
      <c r="AF53" s="36">
        <v>0</v>
      </c>
      <c r="AG53" s="36">
        <v>0</v>
      </c>
      <c r="AH53" s="36">
        <v>1</v>
      </c>
      <c r="AI53" s="36">
        <v>0</v>
      </c>
      <c r="AJ53" s="36">
        <v>0</v>
      </c>
      <c r="AK53" s="36">
        <v>1</v>
      </c>
      <c r="AL53" s="36">
        <v>0</v>
      </c>
      <c r="AM53" s="36">
        <v>0</v>
      </c>
      <c r="AN53" s="36">
        <v>1</v>
      </c>
      <c r="AO53" s="36">
        <v>0</v>
      </c>
      <c r="AP53" s="36">
        <v>0</v>
      </c>
      <c r="AQ53" s="36">
        <v>0</v>
      </c>
      <c r="AR53" s="36">
        <v>1</v>
      </c>
      <c r="AS53" s="36">
        <v>0</v>
      </c>
      <c r="AT53" s="36">
        <v>0</v>
      </c>
      <c r="AU53" s="36">
        <v>0</v>
      </c>
      <c r="AV53" s="36">
        <v>1</v>
      </c>
      <c r="AW53" s="36">
        <v>0</v>
      </c>
      <c r="AX53" s="36">
        <v>0</v>
      </c>
      <c r="AY53" s="36">
        <v>0</v>
      </c>
      <c r="AZ53" s="36">
        <v>1</v>
      </c>
      <c r="BA53" s="36">
        <v>0</v>
      </c>
      <c r="BB53" s="36">
        <v>0</v>
      </c>
      <c r="BC53" s="36">
        <v>0</v>
      </c>
      <c r="BD53" s="36">
        <v>1</v>
      </c>
      <c r="BE53" s="36">
        <v>0</v>
      </c>
      <c r="BF53" s="36">
        <v>0</v>
      </c>
      <c r="BG53" s="36">
        <v>0</v>
      </c>
      <c r="BH53" s="36">
        <v>1</v>
      </c>
      <c r="BI53" s="36">
        <v>0</v>
      </c>
      <c r="BJ53" s="36">
        <v>0</v>
      </c>
      <c r="BK53" s="36">
        <v>0</v>
      </c>
      <c r="BL53" s="36">
        <v>1</v>
      </c>
      <c r="BM53" s="36">
        <v>0</v>
      </c>
      <c r="BN53" s="36">
        <v>0</v>
      </c>
      <c r="BO53" s="36">
        <v>0</v>
      </c>
      <c r="BP53" s="36">
        <v>1</v>
      </c>
      <c r="BQ53" s="36">
        <v>0</v>
      </c>
      <c r="BR53" s="36">
        <v>0</v>
      </c>
      <c r="BS53" s="36">
        <v>0</v>
      </c>
      <c r="BT53" s="36">
        <v>1</v>
      </c>
      <c r="BU53" s="36">
        <v>0</v>
      </c>
      <c r="BV53" s="36">
        <v>0</v>
      </c>
      <c r="BW53" s="36">
        <v>0</v>
      </c>
      <c r="BX53" s="36">
        <v>1</v>
      </c>
      <c r="BY53" s="36">
        <v>0</v>
      </c>
      <c r="BZ53" s="36">
        <v>0</v>
      </c>
      <c r="CA53" s="36">
        <v>0</v>
      </c>
      <c r="CB53" s="36">
        <v>1</v>
      </c>
      <c r="CC53" s="36">
        <v>0</v>
      </c>
      <c r="CD53" s="36">
        <v>0</v>
      </c>
      <c r="CE53" s="36">
        <v>0</v>
      </c>
      <c r="CF53" s="36">
        <v>1</v>
      </c>
      <c r="CG53" s="36">
        <v>0</v>
      </c>
      <c r="CH53" s="36">
        <v>0</v>
      </c>
      <c r="CI53" s="36">
        <v>0</v>
      </c>
      <c r="CJ53" s="36">
        <v>1</v>
      </c>
      <c r="CK53" s="36">
        <v>0</v>
      </c>
      <c r="CL53" s="36">
        <v>0</v>
      </c>
      <c r="CM53" s="36">
        <v>0</v>
      </c>
      <c r="CN53" s="36">
        <v>1</v>
      </c>
      <c r="CO53" s="36">
        <v>0</v>
      </c>
      <c r="CP53" s="36">
        <v>0</v>
      </c>
      <c r="CQ53" s="36">
        <v>0</v>
      </c>
      <c r="CR53" s="36">
        <v>0</v>
      </c>
      <c r="CS53" s="36">
        <v>0</v>
      </c>
      <c r="CT53" s="36">
        <v>0</v>
      </c>
      <c r="CU53" s="36">
        <v>0</v>
      </c>
      <c r="CV53" s="36">
        <v>0</v>
      </c>
      <c r="CW53" s="36">
        <v>0</v>
      </c>
      <c r="CX53" s="36">
        <v>0</v>
      </c>
      <c r="CY53" s="36">
        <v>0</v>
      </c>
      <c r="CZ53" s="36">
        <v>0</v>
      </c>
      <c r="DA53" s="36">
        <v>0</v>
      </c>
      <c r="DB53" s="36">
        <v>0</v>
      </c>
      <c r="DC53" s="36">
        <v>0</v>
      </c>
      <c r="DD53" s="36">
        <v>0</v>
      </c>
      <c r="DE53" s="36">
        <v>0</v>
      </c>
      <c r="DF53" s="36">
        <v>0</v>
      </c>
      <c r="DG53" s="36">
        <v>0</v>
      </c>
      <c r="DH53" s="36">
        <v>0</v>
      </c>
      <c r="DI53" s="36">
        <v>0</v>
      </c>
      <c r="DJ53" s="36">
        <v>0</v>
      </c>
      <c r="DK53" s="36">
        <v>0</v>
      </c>
      <c r="DL53" s="36">
        <v>0</v>
      </c>
      <c r="DM53" s="36">
        <v>0</v>
      </c>
      <c r="DN53" s="36">
        <v>0</v>
      </c>
      <c r="DO53" s="36">
        <v>0</v>
      </c>
      <c r="DP53" s="36">
        <v>0</v>
      </c>
      <c r="DQ53" s="36">
        <v>0</v>
      </c>
      <c r="DR53" s="36">
        <v>0</v>
      </c>
      <c r="DS53" s="36">
        <v>0</v>
      </c>
      <c r="DT53" s="36">
        <v>0</v>
      </c>
      <c r="DU53" s="36">
        <v>0</v>
      </c>
      <c r="DV53" s="36">
        <v>1</v>
      </c>
      <c r="DW53" s="36">
        <v>0</v>
      </c>
      <c r="DX53" s="36">
        <v>0</v>
      </c>
      <c r="DY53" s="36">
        <v>0</v>
      </c>
      <c r="DZ53" s="36">
        <v>0</v>
      </c>
      <c r="EA53" s="36">
        <v>0</v>
      </c>
      <c r="EB53" s="36">
        <v>0</v>
      </c>
      <c r="EC53" s="36">
        <v>0</v>
      </c>
      <c r="ED53" s="36">
        <v>0</v>
      </c>
      <c r="EE53" s="36">
        <v>0</v>
      </c>
      <c r="EF53" s="37">
        <v>0</v>
      </c>
    </row>
    <row r="54" spans="1:136" s="3" customFormat="1" ht="18.5" customHeight="1" x14ac:dyDescent="0.2">
      <c r="B54" s="329">
        <v>3</v>
      </c>
      <c r="C54" s="329">
        <v>51</v>
      </c>
      <c r="D54" s="35">
        <v>1</v>
      </c>
      <c r="E54" s="36">
        <v>0</v>
      </c>
      <c r="F54" s="36">
        <v>1</v>
      </c>
      <c r="G54" s="36">
        <v>0</v>
      </c>
      <c r="H54" s="36">
        <v>1</v>
      </c>
      <c r="I54" s="36">
        <v>0</v>
      </c>
      <c r="J54" s="36">
        <v>1</v>
      </c>
      <c r="K54" s="36">
        <v>0</v>
      </c>
      <c r="L54" s="36">
        <v>1</v>
      </c>
      <c r="M54" s="36">
        <v>0</v>
      </c>
      <c r="N54" s="36">
        <v>1</v>
      </c>
      <c r="O54" s="36">
        <v>0</v>
      </c>
      <c r="P54" s="36">
        <v>0</v>
      </c>
      <c r="Q54" s="36">
        <v>1</v>
      </c>
      <c r="R54" s="36">
        <v>0</v>
      </c>
      <c r="S54" s="36">
        <v>0</v>
      </c>
      <c r="T54" s="36">
        <v>1</v>
      </c>
      <c r="U54" s="36">
        <v>0</v>
      </c>
      <c r="V54" s="36">
        <v>0</v>
      </c>
      <c r="W54" s="36">
        <v>1</v>
      </c>
      <c r="X54" s="36">
        <v>0</v>
      </c>
      <c r="Y54" s="36">
        <v>0</v>
      </c>
      <c r="Z54" s="36">
        <v>1</v>
      </c>
      <c r="AA54" s="36">
        <v>0</v>
      </c>
      <c r="AB54" s="36">
        <v>0</v>
      </c>
      <c r="AC54" s="36">
        <v>1</v>
      </c>
      <c r="AD54" s="36">
        <v>0</v>
      </c>
      <c r="AE54" s="36">
        <v>0</v>
      </c>
      <c r="AF54" s="36">
        <v>1</v>
      </c>
      <c r="AG54" s="36">
        <v>0</v>
      </c>
      <c r="AH54" s="36">
        <v>0</v>
      </c>
      <c r="AI54" s="36">
        <v>1</v>
      </c>
      <c r="AJ54" s="36">
        <v>0</v>
      </c>
      <c r="AK54" s="36">
        <v>0</v>
      </c>
      <c r="AL54" s="36">
        <v>1</v>
      </c>
      <c r="AM54" s="36">
        <v>0</v>
      </c>
      <c r="AN54" s="36">
        <v>0</v>
      </c>
      <c r="AO54" s="36">
        <v>1</v>
      </c>
      <c r="AP54" s="36">
        <v>0</v>
      </c>
      <c r="AQ54" s="36">
        <v>0</v>
      </c>
      <c r="AR54" s="36">
        <v>0</v>
      </c>
      <c r="AS54" s="36">
        <v>1</v>
      </c>
      <c r="AT54" s="36">
        <v>0</v>
      </c>
      <c r="AU54" s="36">
        <v>0</v>
      </c>
      <c r="AV54" s="36">
        <v>0</v>
      </c>
      <c r="AW54" s="36">
        <v>1</v>
      </c>
      <c r="AX54" s="36">
        <v>0</v>
      </c>
      <c r="AY54" s="36">
        <v>0</v>
      </c>
      <c r="AZ54" s="36">
        <v>0</v>
      </c>
      <c r="BA54" s="36">
        <v>1</v>
      </c>
      <c r="BB54" s="36">
        <v>0</v>
      </c>
      <c r="BC54" s="36">
        <v>0</v>
      </c>
      <c r="BD54" s="36">
        <v>0</v>
      </c>
      <c r="BE54" s="36">
        <v>1</v>
      </c>
      <c r="BF54" s="36">
        <v>0</v>
      </c>
      <c r="BG54" s="36">
        <v>0</v>
      </c>
      <c r="BH54" s="36">
        <v>0</v>
      </c>
      <c r="BI54" s="36">
        <v>1</v>
      </c>
      <c r="BJ54" s="36">
        <v>0</v>
      </c>
      <c r="BK54" s="36">
        <v>0</v>
      </c>
      <c r="BL54" s="36">
        <v>0</v>
      </c>
      <c r="BM54" s="36">
        <v>1</v>
      </c>
      <c r="BN54" s="36">
        <v>0</v>
      </c>
      <c r="BO54" s="36">
        <v>0</v>
      </c>
      <c r="BP54" s="36">
        <v>0</v>
      </c>
      <c r="BQ54" s="36">
        <v>1</v>
      </c>
      <c r="BR54" s="36">
        <v>0</v>
      </c>
      <c r="BS54" s="36">
        <v>0</v>
      </c>
      <c r="BT54" s="36">
        <v>0</v>
      </c>
      <c r="BU54" s="36">
        <v>1</v>
      </c>
      <c r="BV54" s="36">
        <v>0</v>
      </c>
      <c r="BW54" s="36">
        <v>0</v>
      </c>
      <c r="BX54" s="36">
        <v>0</v>
      </c>
      <c r="BY54" s="36">
        <v>1</v>
      </c>
      <c r="BZ54" s="36">
        <v>0</v>
      </c>
      <c r="CA54" s="36">
        <v>0</v>
      </c>
      <c r="CB54" s="36">
        <v>0</v>
      </c>
      <c r="CC54" s="36">
        <v>1</v>
      </c>
      <c r="CD54" s="36">
        <v>0</v>
      </c>
      <c r="CE54" s="36">
        <v>0</v>
      </c>
      <c r="CF54" s="36">
        <v>0</v>
      </c>
      <c r="CG54" s="36">
        <v>1</v>
      </c>
      <c r="CH54" s="36">
        <v>0</v>
      </c>
      <c r="CI54" s="36">
        <v>0</v>
      </c>
      <c r="CJ54" s="36">
        <v>0</v>
      </c>
      <c r="CK54" s="36">
        <v>1</v>
      </c>
      <c r="CL54" s="36">
        <v>0</v>
      </c>
      <c r="CM54" s="36">
        <v>0</v>
      </c>
      <c r="CN54" s="36">
        <v>0</v>
      </c>
      <c r="CO54" s="36">
        <v>1</v>
      </c>
      <c r="CP54" s="36">
        <v>0</v>
      </c>
      <c r="CQ54" s="36">
        <v>1</v>
      </c>
      <c r="CR54" s="36">
        <v>0</v>
      </c>
      <c r="CS54" s="36">
        <v>1</v>
      </c>
      <c r="CT54" s="36">
        <v>0</v>
      </c>
      <c r="CU54" s="36">
        <v>1</v>
      </c>
      <c r="CV54" s="36">
        <v>0</v>
      </c>
      <c r="CW54" s="36">
        <v>1</v>
      </c>
      <c r="CX54" s="36">
        <v>0</v>
      </c>
      <c r="CY54" s="36">
        <v>1</v>
      </c>
      <c r="CZ54" s="36">
        <v>0</v>
      </c>
      <c r="DA54" s="36">
        <v>1</v>
      </c>
      <c r="DB54" s="36">
        <v>0</v>
      </c>
      <c r="DC54" s="36">
        <v>1</v>
      </c>
      <c r="DD54" s="36">
        <v>0</v>
      </c>
      <c r="DE54" s="36">
        <v>1</v>
      </c>
      <c r="DF54" s="36">
        <v>0</v>
      </c>
      <c r="DG54" s="36">
        <v>1</v>
      </c>
      <c r="DH54" s="36">
        <v>0</v>
      </c>
      <c r="DI54" s="36">
        <v>1</v>
      </c>
      <c r="DJ54" s="36">
        <v>0</v>
      </c>
      <c r="DK54" s="36">
        <v>1</v>
      </c>
      <c r="DL54" s="36">
        <v>0</v>
      </c>
      <c r="DM54" s="36">
        <v>1</v>
      </c>
      <c r="DN54" s="36">
        <v>0</v>
      </c>
      <c r="DO54" s="36">
        <v>1</v>
      </c>
      <c r="DP54" s="36">
        <v>0</v>
      </c>
      <c r="DQ54" s="36">
        <v>1</v>
      </c>
      <c r="DR54" s="36">
        <v>0</v>
      </c>
      <c r="DS54" s="36">
        <v>1</v>
      </c>
      <c r="DT54" s="36">
        <v>0</v>
      </c>
      <c r="DU54" s="36">
        <v>0</v>
      </c>
      <c r="DV54" s="36">
        <v>0</v>
      </c>
      <c r="DW54" s="36">
        <v>1</v>
      </c>
      <c r="DX54" s="36">
        <v>0</v>
      </c>
      <c r="DY54" s="36">
        <v>1</v>
      </c>
      <c r="DZ54" s="36">
        <v>0</v>
      </c>
      <c r="EA54" s="36">
        <v>1</v>
      </c>
      <c r="EB54" s="36">
        <v>0</v>
      </c>
      <c r="EC54" s="36">
        <v>1</v>
      </c>
      <c r="ED54" s="36">
        <v>0</v>
      </c>
      <c r="EE54" s="36">
        <v>1</v>
      </c>
      <c r="EF54" s="37">
        <v>0</v>
      </c>
    </row>
    <row r="55" spans="1:136" s="3" customFormat="1" ht="18.5" customHeight="1" x14ac:dyDescent="0.2">
      <c r="B55" s="330">
        <v>4</v>
      </c>
      <c r="C55" s="330">
        <v>52</v>
      </c>
      <c r="D55" s="32">
        <v>0</v>
      </c>
      <c r="E55" s="33">
        <v>1</v>
      </c>
      <c r="F55" s="33">
        <v>0</v>
      </c>
      <c r="G55" s="33">
        <v>1</v>
      </c>
      <c r="H55" s="33">
        <v>0</v>
      </c>
      <c r="I55" s="33">
        <v>1</v>
      </c>
      <c r="J55" s="33">
        <v>0</v>
      </c>
      <c r="K55" s="33">
        <v>1</v>
      </c>
      <c r="L55" s="33">
        <v>0</v>
      </c>
      <c r="M55" s="33">
        <v>1</v>
      </c>
      <c r="N55" s="33">
        <v>0</v>
      </c>
      <c r="O55" s="33">
        <v>1</v>
      </c>
      <c r="P55" s="33">
        <v>0</v>
      </c>
      <c r="Q55" s="33">
        <v>0</v>
      </c>
      <c r="R55" s="33">
        <v>1</v>
      </c>
      <c r="S55" s="33">
        <v>0</v>
      </c>
      <c r="T55" s="33">
        <v>0</v>
      </c>
      <c r="U55" s="33">
        <v>1</v>
      </c>
      <c r="V55" s="33">
        <v>0</v>
      </c>
      <c r="W55" s="33">
        <v>0</v>
      </c>
      <c r="X55" s="33">
        <v>1</v>
      </c>
      <c r="Y55" s="33">
        <v>0</v>
      </c>
      <c r="Z55" s="33">
        <v>0</v>
      </c>
      <c r="AA55" s="33">
        <v>1</v>
      </c>
      <c r="AB55" s="33">
        <v>0</v>
      </c>
      <c r="AC55" s="33">
        <v>0</v>
      </c>
      <c r="AD55" s="33">
        <v>1</v>
      </c>
      <c r="AE55" s="33">
        <v>0</v>
      </c>
      <c r="AF55" s="33">
        <v>0</v>
      </c>
      <c r="AG55" s="33">
        <v>1</v>
      </c>
      <c r="AH55" s="33">
        <v>0</v>
      </c>
      <c r="AI55" s="33">
        <v>0</v>
      </c>
      <c r="AJ55" s="33">
        <v>1</v>
      </c>
      <c r="AK55" s="33">
        <v>0</v>
      </c>
      <c r="AL55" s="33">
        <v>0</v>
      </c>
      <c r="AM55" s="33">
        <v>1</v>
      </c>
      <c r="AN55" s="33">
        <v>0</v>
      </c>
      <c r="AO55" s="33">
        <v>0</v>
      </c>
      <c r="AP55" s="33">
        <v>1</v>
      </c>
      <c r="AQ55" s="33">
        <v>0</v>
      </c>
      <c r="AR55" s="33">
        <v>0</v>
      </c>
      <c r="AS55" s="33">
        <v>0</v>
      </c>
      <c r="AT55" s="33">
        <v>1</v>
      </c>
      <c r="AU55" s="33">
        <v>0</v>
      </c>
      <c r="AV55" s="33">
        <v>0</v>
      </c>
      <c r="AW55" s="33">
        <v>0</v>
      </c>
      <c r="AX55" s="33">
        <v>1</v>
      </c>
      <c r="AY55" s="33">
        <v>0</v>
      </c>
      <c r="AZ55" s="33">
        <v>0</v>
      </c>
      <c r="BA55" s="33">
        <v>0</v>
      </c>
      <c r="BB55" s="33">
        <v>1</v>
      </c>
      <c r="BC55" s="33">
        <v>0</v>
      </c>
      <c r="BD55" s="33">
        <v>0</v>
      </c>
      <c r="BE55" s="33">
        <v>0</v>
      </c>
      <c r="BF55" s="33">
        <v>1</v>
      </c>
      <c r="BG55" s="33">
        <v>0</v>
      </c>
      <c r="BH55" s="33">
        <v>0</v>
      </c>
      <c r="BI55" s="33">
        <v>0</v>
      </c>
      <c r="BJ55" s="33">
        <v>1</v>
      </c>
      <c r="BK55" s="33">
        <v>0</v>
      </c>
      <c r="BL55" s="33">
        <v>0</v>
      </c>
      <c r="BM55" s="33">
        <v>0</v>
      </c>
      <c r="BN55" s="33">
        <v>1</v>
      </c>
      <c r="BO55" s="33">
        <v>0</v>
      </c>
      <c r="BP55" s="33">
        <v>0</v>
      </c>
      <c r="BQ55" s="33">
        <v>0</v>
      </c>
      <c r="BR55" s="33">
        <v>1</v>
      </c>
      <c r="BS55" s="33">
        <v>0</v>
      </c>
      <c r="BT55" s="33">
        <v>0</v>
      </c>
      <c r="BU55" s="33">
        <v>0</v>
      </c>
      <c r="BV55" s="33">
        <v>1</v>
      </c>
      <c r="BW55" s="33">
        <v>0</v>
      </c>
      <c r="BX55" s="33">
        <v>0</v>
      </c>
      <c r="BY55" s="33">
        <v>0</v>
      </c>
      <c r="BZ55" s="33">
        <v>1</v>
      </c>
      <c r="CA55" s="33">
        <v>0</v>
      </c>
      <c r="CB55" s="33">
        <v>0</v>
      </c>
      <c r="CC55" s="33">
        <v>0</v>
      </c>
      <c r="CD55" s="33">
        <v>1</v>
      </c>
      <c r="CE55" s="33">
        <v>0</v>
      </c>
      <c r="CF55" s="33">
        <v>0</v>
      </c>
      <c r="CG55" s="33">
        <v>0</v>
      </c>
      <c r="CH55" s="33">
        <v>1</v>
      </c>
      <c r="CI55" s="33">
        <v>0</v>
      </c>
      <c r="CJ55" s="33">
        <v>0</v>
      </c>
      <c r="CK55" s="33">
        <v>0</v>
      </c>
      <c r="CL55" s="33">
        <v>1</v>
      </c>
      <c r="CM55" s="33">
        <v>0</v>
      </c>
      <c r="CN55" s="33">
        <v>0</v>
      </c>
      <c r="CO55" s="33">
        <v>0</v>
      </c>
      <c r="CP55" s="33">
        <v>1</v>
      </c>
      <c r="CQ55" s="33">
        <v>0</v>
      </c>
      <c r="CR55" s="33">
        <v>1</v>
      </c>
      <c r="CS55" s="33">
        <v>0</v>
      </c>
      <c r="CT55" s="33">
        <v>1</v>
      </c>
      <c r="CU55" s="33">
        <v>0</v>
      </c>
      <c r="CV55" s="33">
        <v>1</v>
      </c>
      <c r="CW55" s="33">
        <v>0</v>
      </c>
      <c r="CX55" s="33">
        <v>1</v>
      </c>
      <c r="CY55" s="33">
        <v>0</v>
      </c>
      <c r="CZ55" s="33">
        <v>1</v>
      </c>
      <c r="DA55" s="33">
        <v>0</v>
      </c>
      <c r="DB55" s="33">
        <v>1</v>
      </c>
      <c r="DC55" s="33">
        <v>0</v>
      </c>
      <c r="DD55" s="33">
        <v>1</v>
      </c>
      <c r="DE55" s="33">
        <v>0</v>
      </c>
      <c r="DF55" s="33">
        <v>1</v>
      </c>
      <c r="DG55" s="33">
        <v>0</v>
      </c>
      <c r="DH55" s="33">
        <v>1</v>
      </c>
      <c r="DI55" s="33">
        <v>0</v>
      </c>
      <c r="DJ55" s="33">
        <v>1</v>
      </c>
      <c r="DK55" s="33">
        <v>0</v>
      </c>
      <c r="DL55" s="33">
        <v>1</v>
      </c>
      <c r="DM55" s="33">
        <v>0</v>
      </c>
      <c r="DN55" s="33">
        <v>1</v>
      </c>
      <c r="DO55" s="33">
        <v>0</v>
      </c>
      <c r="DP55" s="33">
        <v>1</v>
      </c>
      <c r="DQ55" s="33">
        <v>0</v>
      </c>
      <c r="DR55" s="33">
        <v>1</v>
      </c>
      <c r="DS55" s="33">
        <v>0</v>
      </c>
      <c r="DT55" s="33">
        <v>1</v>
      </c>
      <c r="DU55" s="33">
        <v>0</v>
      </c>
      <c r="DV55" s="33">
        <v>0</v>
      </c>
      <c r="DW55" s="33">
        <v>0</v>
      </c>
      <c r="DX55" s="33">
        <v>1</v>
      </c>
      <c r="DY55" s="33">
        <v>0</v>
      </c>
      <c r="DZ55" s="33">
        <v>1</v>
      </c>
      <c r="EA55" s="33">
        <v>0</v>
      </c>
      <c r="EB55" s="33">
        <v>1</v>
      </c>
      <c r="EC55" s="33">
        <v>0</v>
      </c>
      <c r="ED55" s="33">
        <v>1</v>
      </c>
      <c r="EE55" s="33">
        <v>0</v>
      </c>
      <c r="EF55" s="34">
        <v>1</v>
      </c>
    </row>
    <row r="81" spans="3:62" s="3" customFormat="1" ht="19" customHeight="1" x14ac:dyDescent="0.2">
      <c r="C81" s="114" t="s">
        <v>293</v>
      </c>
      <c r="D81" s="116"/>
    </row>
    <row r="82" spans="3:62" s="3" customFormat="1" ht="19" customHeight="1" x14ac:dyDescent="0.2">
      <c r="C82" s="122" t="s">
        <v>294</v>
      </c>
      <c r="D82" s="16"/>
      <c r="K82" s="4" t="s">
        <v>295</v>
      </c>
    </row>
    <row r="83" spans="3:62" s="3" customFormat="1" ht="171" customHeight="1" thickBot="1" x14ac:dyDescent="0.2">
      <c r="C83" s="314" t="s">
        <v>296</v>
      </c>
      <c r="D83" s="331" t="s">
        <v>297</v>
      </c>
      <c r="F83" s="363" t="s">
        <v>274</v>
      </c>
      <c r="G83" s="364"/>
      <c r="H83" s="364"/>
      <c r="I83" s="364"/>
      <c r="J83" s="332"/>
      <c r="K83" s="363" t="s">
        <v>298</v>
      </c>
      <c r="L83" s="364"/>
      <c r="M83" s="364"/>
      <c r="N83" s="364"/>
      <c r="Q83" s="363" t="s">
        <v>299</v>
      </c>
      <c r="R83" s="364"/>
      <c r="AZ83" s="363" t="s">
        <v>300</v>
      </c>
      <c r="BA83" s="364"/>
      <c r="BB83" s="364"/>
      <c r="BC83" s="364"/>
      <c r="BD83" s="364"/>
      <c r="BE83" s="364"/>
      <c r="BF83" s="364"/>
      <c r="BG83" s="364"/>
      <c r="BH83" s="364"/>
      <c r="BI83" s="364"/>
      <c r="BJ83" s="364"/>
    </row>
    <row r="84" spans="3:62" s="3" customFormat="1" ht="154" customHeight="1" thickBot="1" x14ac:dyDescent="0.2">
      <c r="C84" s="333" t="s">
        <v>301</v>
      </c>
      <c r="D84" s="333" t="s">
        <v>302</v>
      </c>
      <c r="F84" s="314" t="s">
        <v>105</v>
      </c>
      <c r="G84" s="314" t="s">
        <v>279</v>
      </c>
      <c r="H84" s="314" t="s">
        <v>94</v>
      </c>
      <c r="I84" s="314" t="s">
        <v>281</v>
      </c>
      <c r="K84" s="314" t="s">
        <v>105</v>
      </c>
      <c r="L84" s="314" t="s">
        <v>279</v>
      </c>
      <c r="M84" s="314" t="s">
        <v>94</v>
      </c>
      <c r="N84" s="314" t="s">
        <v>303</v>
      </c>
      <c r="O84" s="334" t="s">
        <v>304</v>
      </c>
      <c r="Q84" s="314" t="s">
        <v>305</v>
      </c>
      <c r="R84" s="314" t="s">
        <v>303</v>
      </c>
      <c r="U84" s="347" t="s">
        <v>306</v>
      </c>
      <c r="V84" s="368" t="s">
        <v>307</v>
      </c>
      <c r="W84" s="369"/>
      <c r="X84" s="369"/>
      <c r="Y84" s="369"/>
      <c r="AA84" s="333" t="s">
        <v>308</v>
      </c>
      <c r="AB84" s="313" t="s">
        <v>309</v>
      </c>
      <c r="AI84" s="333" t="s">
        <v>310</v>
      </c>
      <c r="AQ84" s="370" t="s">
        <v>311</v>
      </c>
      <c r="AR84" s="371"/>
      <c r="AS84" s="371"/>
      <c r="AT84" s="371"/>
      <c r="AU84" s="313" t="s">
        <v>312</v>
      </c>
      <c r="AZ84" s="363" t="s">
        <v>313</v>
      </c>
      <c r="BA84" s="364"/>
      <c r="BB84" s="364"/>
      <c r="BC84" s="364"/>
      <c r="BD84" s="364"/>
      <c r="BE84" s="364"/>
      <c r="BF84" s="313" t="s">
        <v>314</v>
      </c>
    </row>
    <row r="85" spans="3:62" s="3" customFormat="1" ht="19" customHeight="1" thickBot="1" x14ac:dyDescent="0.25">
      <c r="C85" s="28">
        <v>1</v>
      </c>
      <c r="D85" s="262">
        <v>0.8683703210602951</v>
      </c>
      <c r="F85" s="202">
        <v>1</v>
      </c>
      <c r="G85" s="28">
        <v>1</v>
      </c>
      <c r="H85" s="28">
        <v>3</v>
      </c>
      <c r="I85" s="28">
        <v>1</v>
      </c>
      <c r="K85" s="202">
        <v>1</v>
      </c>
      <c r="L85" s="28">
        <v>1</v>
      </c>
      <c r="M85" s="28">
        <v>3</v>
      </c>
      <c r="N85" s="262">
        <v>0.44202097689152903</v>
      </c>
      <c r="Q85" s="28">
        <v>1</v>
      </c>
      <c r="R85" s="262">
        <v>0.44202097689152903</v>
      </c>
      <c r="T85" s="345"/>
      <c r="U85" s="349" t="s">
        <v>279</v>
      </c>
      <c r="V85" s="350">
        <v>1</v>
      </c>
      <c r="W85" s="351">
        <v>2</v>
      </c>
      <c r="X85" s="351">
        <v>3</v>
      </c>
      <c r="Y85" s="352">
        <v>4</v>
      </c>
      <c r="Z85" s="346"/>
      <c r="AA85" s="333" t="s">
        <v>279</v>
      </c>
      <c r="AB85" s="17" t="s">
        <v>107</v>
      </c>
      <c r="AC85" s="18" t="s">
        <v>8</v>
      </c>
      <c r="AD85" s="18" t="s">
        <v>112</v>
      </c>
      <c r="AE85" s="18" t="s">
        <v>315</v>
      </c>
      <c r="AF85" s="18" t="s">
        <v>16</v>
      </c>
      <c r="AG85" s="19" t="s">
        <v>316</v>
      </c>
      <c r="AI85" s="8" t="s">
        <v>279</v>
      </c>
      <c r="AJ85" s="17" t="s">
        <v>107</v>
      </c>
      <c r="AK85" s="18" t="s">
        <v>8</v>
      </c>
      <c r="AL85" s="18" t="s">
        <v>112</v>
      </c>
      <c r="AM85" s="18" t="s">
        <v>317</v>
      </c>
      <c r="AN85" s="18" t="s">
        <v>16</v>
      </c>
      <c r="AO85" s="19" t="s">
        <v>316</v>
      </c>
      <c r="AQ85" s="8" t="s">
        <v>279</v>
      </c>
      <c r="AR85" s="4" t="s">
        <v>107</v>
      </c>
      <c r="AS85" s="18" t="s">
        <v>8</v>
      </c>
      <c r="AT85" s="18" t="s">
        <v>112</v>
      </c>
      <c r="AU85" s="18" t="s">
        <v>317</v>
      </c>
      <c r="AV85" s="18" t="s">
        <v>16</v>
      </c>
      <c r="AW85" s="18" t="s">
        <v>318</v>
      </c>
      <c r="AX85" s="19" t="s">
        <v>319</v>
      </c>
      <c r="AZ85" s="8" t="s">
        <v>105</v>
      </c>
      <c r="BA85" s="17" t="s">
        <v>320</v>
      </c>
      <c r="BB85" s="18" t="s">
        <v>8</v>
      </c>
      <c r="BC85" s="18" t="s">
        <v>16</v>
      </c>
      <c r="BD85" s="18" t="s">
        <v>107</v>
      </c>
      <c r="BE85" s="18" t="s">
        <v>112</v>
      </c>
      <c r="BF85" s="18" t="s">
        <v>17</v>
      </c>
      <c r="BG85" s="18" t="s">
        <v>110</v>
      </c>
      <c r="BH85" s="18" t="s">
        <v>318</v>
      </c>
      <c r="BI85" s="18" t="s">
        <v>321</v>
      </c>
      <c r="BJ85" s="19" t="s">
        <v>322</v>
      </c>
    </row>
    <row r="86" spans="3:62" s="3" customFormat="1" ht="18.5" customHeight="1" x14ac:dyDescent="0.2">
      <c r="C86" s="39">
        <v>2</v>
      </c>
      <c r="D86" s="263">
        <v>0.86615548163823497</v>
      </c>
      <c r="F86" s="39">
        <v>2</v>
      </c>
      <c r="G86" s="39">
        <v>1</v>
      </c>
      <c r="H86" s="39">
        <v>4</v>
      </c>
      <c r="I86" s="39">
        <v>1</v>
      </c>
      <c r="K86" s="39">
        <v>2</v>
      </c>
      <c r="L86" s="39">
        <v>1</v>
      </c>
      <c r="M86" s="39">
        <v>4</v>
      </c>
      <c r="N86" s="263">
        <v>0.42634934265484498</v>
      </c>
      <c r="Q86" s="39">
        <v>2</v>
      </c>
      <c r="R86" s="263">
        <v>0.42634934265484498</v>
      </c>
      <c r="T86" s="345"/>
      <c r="U86" s="353">
        <v>1</v>
      </c>
      <c r="V86" s="335">
        <v>0</v>
      </c>
      <c r="W86" s="336">
        <v>0</v>
      </c>
      <c r="X86" s="336">
        <v>0.44202097689152903</v>
      </c>
      <c r="Y86" s="354">
        <v>0.42634934265484498</v>
      </c>
      <c r="Z86" s="346"/>
      <c r="AA86" s="28">
        <v>1</v>
      </c>
      <c r="AB86" s="23">
        <v>1</v>
      </c>
      <c r="AC86" s="24">
        <v>1</v>
      </c>
      <c r="AD86" s="24">
        <v>4</v>
      </c>
      <c r="AE86" s="24">
        <v>5</v>
      </c>
      <c r="AF86" s="24">
        <v>1</v>
      </c>
      <c r="AG86" s="285">
        <v>0</v>
      </c>
      <c r="AI86" s="28">
        <v>1</v>
      </c>
      <c r="AJ86" s="23">
        <v>1</v>
      </c>
      <c r="AK86" s="24">
        <v>1</v>
      </c>
      <c r="AL86" s="24">
        <v>4</v>
      </c>
      <c r="AM86" s="24">
        <v>5</v>
      </c>
      <c r="AN86" s="24">
        <v>3</v>
      </c>
      <c r="AO86" s="285">
        <v>0.42414871207663912</v>
      </c>
      <c r="AQ86" s="28">
        <v>1</v>
      </c>
      <c r="AR86" s="23">
        <v>1</v>
      </c>
      <c r="AS86" s="24">
        <v>1</v>
      </c>
      <c r="AT86" s="24">
        <v>4</v>
      </c>
      <c r="AU86" s="24">
        <v>5</v>
      </c>
      <c r="AV86" s="24">
        <v>3</v>
      </c>
      <c r="AW86" s="284">
        <v>0.44202097689152903</v>
      </c>
      <c r="AX86" s="285">
        <v>8.8404195378305919E-2</v>
      </c>
      <c r="AZ86" s="28">
        <v>1</v>
      </c>
      <c r="BA86" s="102">
        <v>1</v>
      </c>
      <c r="BB86" s="103">
        <v>4</v>
      </c>
      <c r="BC86" s="103">
        <v>1</v>
      </c>
      <c r="BD86" s="103">
        <v>25</v>
      </c>
      <c r="BE86" s="103">
        <v>37</v>
      </c>
      <c r="BF86" s="103">
        <v>3</v>
      </c>
      <c r="BG86" s="103">
        <v>1</v>
      </c>
      <c r="BH86" s="337">
        <v>1.20436643395915</v>
      </c>
      <c r="BI86" s="337">
        <v>1.20436643395915</v>
      </c>
      <c r="BJ86" s="338">
        <v>0.40145547798638198</v>
      </c>
    </row>
    <row r="87" spans="3:62" s="3" customFormat="1" ht="18" customHeight="1" x14ac:dyDescent="0.2">
      <c r="C87" s="39">
        <v>3</v>
      </c>
      <c r="D87" s="263">
        <v>0.86713973412174195</v>
      </c>
      <c r="F87" s="39">
        <v>3</v>
      </c>
      <c r="G87" s="39">
        <v>2</v>
      </c>
      <c r="H87" s="39">
        <v>3</v>
      </c>
      <c r="I87" s="39">
        <v>1</v>
      </c>
      <c r="K87" s="39">
        <v>3</v>
      </c>
      <c r="L87" s="39">
        <v>2</v>
      </c>
      <c r="M87" s="39">
        <v>3</v>
      </c>
      <c r="N87" s="263">
        <v>0.44087876147899602</v>
      </c>
      <c r="Q87" s="39">
        <v>3</v>
      </c>
      <c r="R87" s="263">
        <v>0.44087876147899602</v>
      </c>
      <c r="T87" s="345"/>
      <c r="U87" s="355">
        <v>2</v>
      </c>
      <c r="V87" s="339">
        <v>0</v>
      </c>
      <c r="W87" s="340">
        <v>0</v>
      </c>
      <c r="X87" s="340">
        <v>0.44087876147899602</v>
      </c>
      <c r="Y87" s="356">
        <v>0.42527671945879603</v>
      </c>
      <c r="Z87" s="346"/>
      <c r="AA87" s="39">
        <v>2</v>
      </c>
      <c r="AB87" s="35">
        <v>1</v>
      </c>
      <c r="AC87" s="36">
        <v>1</v>
      </c>
      <c r="AD87" s="36">
        <v>4</v>
      </c>
      <c r="AE87" s="36">
        <v>5</v>
      </c>
      <c r="AF87" s="36">
        <v>2</v>
      </c>
      <c r="AG87" s="288">
        <v>0</v>
      </c>
      <c r="AI87" s="39">
        <v>2</v>
      </c>
      <c r="AJ87" s="35">
        <v>1</v>
      </c>
      <c r="AK87" s="36">
        <v>1</v>
      </c>
      <c r="AL87" s="36">
        <v>4</v>
      </c>
      <c r="AM87" s="36">
        <v>5</v>
      </c>
      <c r="AN87" s="36">
        <v>4</v>
      </c>
      <c r="AO87" s="288">
        <v>0.41669714230872501</v>
      </c>
      <c r="AQ87" s="39">
        <v>2</v>
      </c>
      <c r="AR87" s="35">
        <v>1</v>
      </c>
      <c r="AS87" s="36">
        <v>1</v>
      </c>
      <c r="AT87" s="36">
        <v>4</v>
      </c>
      <c r="AU87" s="36">
        <v>5</v>
      </c>
      <c r="AV87" s="36">
        <v>4</v>
      </c>
      <c r="AW87" s="287">
        <v>0.42634934265484498</v>
      </c>
      <c r="AX87" s="288">
        <v>8.5269868530969004E-2</v>
      </c>
      <c r="AZ87" s="39">
        <v>2</v>
      </c>
      <c r="BA87" s="105">
        <v>1</v>
      </c>
      <c r="BB87" s="100">
        <v>4</v>
      </c>
      <c r="BC87" s="100">
        <v>2</v>
      </c>
      <c r="BD87" s="100">
        <v>25</v>
      </c>
      <c r="BE87" s="100">
        <v>37</v>
      </c>
      <c r="BF87" s="100">
        <v>3</v>
      </c>
      <c r="BG87" s="100">
        <v>1</v>
      </c>
      <c r="BH87" s="341">
        <v>0.27169814701199801</v>
      </c>
      <c r="BI87" s="341">
        <v>0.27169814701199801</v>
      </c>
      <c r="BJ87" s="342">
        <v>9.0566049003999394E-2</v>
      </c>
    </row>
    <row r="88" spans="3:62" s="3" customFormat="1" ht="18" customHeight="1" x14ac:dyDescent="0.2">
      <c r="C88" s="39">
        <v>4</v>
      </c>
      <c r="D88" s="263">
        <v>0.86601528489184121</v>
      </c>
      <c r="F88" s="39">
        <v>4</v>
      </c>
      <c r="G88" s="39">
        <v>2</v>
      </c>
      <c r="H88" s="39">
        <v>4</v>
      </c>
      <c r="I88" s="39">
        <v>1</v>
      </c>
      <c r="K88" s="39">
        <v>4</v>
      </c>
      <c r="L88" s="39">
        <v>2</v>
      </c>
      <c r="M88" s="39">
        <v>4</v>
      </c>
      <c r="N88" s="263">
        <v>0.42527671945879603</v>
      </c>
      <c r="Q88" s="39">
        <v>4</v>
      </c>
      <c r="R88" s="263">
        <v>0.42527671945879603</v>
      </c>
      <c r="T88" s="345"/>
      <c r="U88" s="355">
        <v>3</v>
      </c>
      <c r="V88" s="339">
        <v>0</v>
      </c>
      <c r="W88" s="340">
        <v>0</v>
      </c>
      <c r="X88" s="340">
        <v>0.44138634776445601</v>
      </c>
      <c r="Y88" s="356">
        <v>0.42575338830533799</v>
      </c>
      <c r="Z88" s="346"/>
      <c r="AA88" s="39">
        <v>3</v>
      </c>
      <c r="AB88" s="35">
        <v>1</v>
      </c>
      <c r="AC88" s="36">
        <v>1</v>
      </c>
      <c r="AD88" s="36">
        <v>4</v>
      </c>
      <c r="AE88" s="36">
        <v>5</v>
      </c>
      <c r="AF88" s="36">
        <v>3</v>
      </c>
      <c r="AG88" s="288">
        <v>0.44202097689152903</v>
      </c>
      <c r="AI88" s="39">
        <v>3</v>
      </c>
      <c r="AJ88" s="35">
        <v>1</v>
      </c>
      <c r="AK88" s="36">
        <v>2</v>
      </c>
      <c r="AL88" s="36">
        <v>4</v>
      </c>
      <c r="AM88" s="36">
        <v>5</v>
      </c>
      <c r="AN88" s="36">
        <v>3</v>
      </c>
      <c r="AO88" s="288">
        <v>0.42347556798345498</v>
      </c>
      <c r="AQ88" s="39">
        <v>3</v>
      </c>
      <c r="AR88" s="35">
        <v>1</v>
      </c>
      <c r="AS88" s="36">
        <v>2</v>
      </c>
      <c r="AT88" s="36">
        <v>4</v>
      </c>
      <c r="AU88" s="36">
        <v>5</v>
      </c>
      <c r="AV88" s="36">
        <v>3</v>
      </c>
      <c r="AW88" s="287">
        <v>0.44087876147899602</v>
      </c>
      <c r="AX88" s="288">
        <v>8.8175752295799298E-2</v>
      </c>
      <c r="AZ88" s="39">
        <v>3</v>
      </c>
      <c r="BA88" s="105">
        <v>2</v>
      </c>
      <c r="BB88" s="100">
        <v>1</v>
      </c>
      <c r="BC88" s="100">
        <v>1</v>
      </c>
      <c r="BD88" s="100">
        <v>6</v>
      </c>
      <c r="BE88" s="100">
        <v>37</v>
      </c>
      <c r="BF88" s="100">
        <v>3</v>
      </c>
      <c r="BG88" s="100">
        <v>3</v>
      </c>
      <c r="BH88" s="341">
        <v>1.1561708859108999</v>
      </c>
      <c r="BI88" s="341">
        <v>0.38539029530363511</v>
      </c>
      <c r="BJ88" s="342">
        <v>0.38539029530363511</v>
      </c>
    </row>
    <row r="89" spans="3:62" s="3" customFormat="1" ht="18" customHeight="1" x14ac:dyDescent="0.2">
      <c r="C89" s="39">
        <v>5</v>
      </c>
      <c r="D89" s="263">
        <v>0.86796755761411204</v>
      </c>
      <c r="F89" s="39">
        <v>5</v>
      </c>
      <c r="G89" s="39">
        <v>3</v>
      </c>
      <c r="H89" s="39">
        <v>3</v>
      </c>
      <c r="I89" s="39">
        <v>1</v>
      </c>
      <c r="K89" s="39">
        <v>5</v>
      </c>
      <c r="L89" s="39">
        <v>3</v>
      </c>
      <c r="M89" s="39">
        <v>3</v>
      </c>
      <c r="N89" s="263">
        <v>0.44138634776445601</v>
      </c>
      <c r="Q89" s="39">
        <v>5</v>
      </c>
      <c r="R89" s="263">
        <v>0.44138634776445601</v>
      </c>
      <c r="T89" s="345"/>
      <c r="U89" s="355">
        <v>4</v>
      </c>
      <c r="V89" s="339">
        <v>0</v>
      </c>
      <c r="W89" s="340">
        <v>0</v>
      </c>
      <c r="X89" s="340">
        <v>0.44080646164974102</v>
      </c>
      <c r="Y89" s="356">
        <v>0.42520882235631202</v>
      </c>
      <c r="Z89" s="346"/>
      <c r="AA89" s="39">
        <v>4</v>
      </c>
      <c r="AB89" s="35">
        <v>1</v>
      </c>
      <c r="AC89" s="36">
        <v>1</v>
      </c>
      <c r="AD89" s="36">
        <v>4</v>
      </c>
      <c r="AE89" s="36">
        <v>5</v>
      </c>
      <c r="AF89" s="36">
        <v>4</v>
      </c>
      <c r="AG89" s="288">
        <v>0.42634934265484498</v>
      </c>
      <c r="AI89" s="39">
        <v>4</v>
      </c>
      <c r="AJ89" s="35">
        <v>1</v>
      </c>
      <c r="AK89" s="36">
        <v>2</v>
      </c>
      <c r="AL89" s="36">
        <v>4</v>
      </c>
      <c r="AM89" s="36">
        <v>5</v>
      </c>
      <c r="AN89" s="36">
        <v>4</v>
      </c>
      <c r="AO89" s="288">
        <v>0.41604466174053201</v>
      </c>
      <c r="AQ89" s="39">
        <v>4</v>
      </c>
      <c r="AR89" s="35">
        <v>1</v>
      </c>
      <c r="AS89" s="36">
        <v>2</v>
      </c>
      <c r="AT89" s="36">
        <v>4</v>
      </c>
      <c r="AU89" s="36">
        <v>5</v>
      </c>
      <c r="AV89" s="36">
        <v>4</v>
      </c>
      <c r="AW89" s="287">
        <v>0.42527671945879603</v>
      </c>
      <c r="AX89" s="288">
        <v>8.5055343891759103E-2</v>
      </c>
      <c r="AZ89" s="39">
        <v>4</v>
      </c>
      <c r="BA89" s="105">
        <v>2</v>
      </c>
      <c r="BB89" s="100">
        <v>1</v>
      </c>
      <c r="BC89" s="100">
        <v>2</v>
      </c>
      <c r="BD89" s="100">
        <v>6</v>
      </c>
      <c r="BE89" s="100">
        <v>37</v>
      </c>
      <c r="BF89" s="100">
        <v>3</v>
      </c>
      <c r="BG89" s="100">
        <v>3</v>
      </c>
      <c r="BH89" s="341">
        <v>0.26792270686531999</v>
      </c>
      <c r="BI89" s="341">
        <v>8.9307568955106706E-2</v>
      </c>
      <c r="BJ89" s="342">
        <v>8.9307568955106706E-2</v>
      </c>
    </row>
    <row r="90" spans="3:62" s="3" customFormat="1" ht="18" customHeight="1" x14ac:dyDescent="0.2">
      <c r="C90" s="39">
        <v>6</v>
      </c>
      <c r="D90" s="263">
        <v>0.86279971341695816</v>
      </c>
      <c r="F90" s="39">
        <v>6</v>
      </c>
      <c r="G90" s="39">
        <v>3</v>
      </c>
      <c r="H90" s="39">
        <v>4</v>
      </c>
      <c r="I90" s="39">
        <v>1</v>
      </c>
      <c r="K90" s="39">
        <v>6</v>
      </c>
      <c r="L90" s="39">
        <v>3</v>
      </c>
      <c r="M90" s="39">
        <v>4</v>
      </c>
      <c r="N90" s="263">
        <v>0.42575338830533799</v>
      </c>
      <c r="Q90" s="39">
        <v>6</v>
      </c>
      <c r="R90" s="263">
        <v>0.42575338830533799</v>
      </c>
      <c r="T90" s="345"/>
      <c r="U90" s="355">
        <v>5</v>
      </c>
      <c r="V90" s="339">
        <v>0</v>
      </c>
      <c r="W90" s="340">
        <v>0</v>
      </c>
      <c r="X90" s="340">
        <v>0.44181326492267398</v>
      </c>
      <c r="Y90" s="356">
        <v>0.42615429114960202</v>
      </c>
      <c r="Z90" s="346"/>
      <c r="AA90" s="39">
        <v>5</v>
      </c>
      <c r="AB90" s="35">
        <v>1</v>
      </c>
      <c r="AC90" s="36">
        <v>2</v>
      </c>
      <c r="AD90" s="36">
        <v>4</v>
      </c>
      <c r="AE90" s="36">
        <v>5</v>
      </c>
      <c r="AF90" s="36">
        <v>1</v>
      </c>
      <c r="AG90" s="288">
        <v>0</v>
      </c>
      <c r="AI90" s="39">
        <v>5</v>
      </c>
      <c r="AJ90" s="35">
        <v>1</v>
      </c>
      <c r="AK90" s="36">
        <v>4</v>
      </c>
      <c r="AL90" s="36">
        <v>4</v>
      </c>
      <c r="AM90" s="36">
        <v>5</v>
      </c>
      <c r="AN90" s="36">
        <v>3</v>
      </c>
      <c r="AO90" s="288">
        <v>0.42371045298366899</v>
      </c>
      <c r="AQ90" s="39">
        <v>5</v>
      </c>
      <c r="AR90" s="35">
        <v>1</v>
      </c>
      <c r="AS90" s="36">
        <v>4</v>
      </c>
      <c r="AT90" s="36">
        <v>4</v>
      </c>
      <c r="AU90" s="36">
        <v>5</v>
      </c>
      <c r="AV90" s="36">
        <v>3</v>
      </c>
      <c r="AW90" s="287">
        <v>0.44138634776445601</v>
      </c>
      <c r="AX90" s="288">
        <v>8.8277269552891294E-2</v>
      </c>
      <c r="AZ90" s="39">
        <v>5</v>
      </c>
      <c r="BA90" s="105">
        <v>2</v>
      </c>
      <c r="BB90" s="100">
        <v>2</v>
      </c>
      <c r="BC90" s="100">
        <v>1</v>
      </c>
      <c r="BD90" s="100">
        <v>6</v>
      </c>
      <c r="BE90" s="100">
        <v>37</v>
      </c>
      <c r="BF90" s="100">
        <v>3</v>
      </c>
      <c r="BG90" s="100">
        <v>3</v>
      </c>
      <c r="BH90" s="341">
        <v>1.15544411216623</v>
      </c>
      <c r="BI90" s="341">
        <v>0.38514803738874398</v>
      </c>
      <c r="BJ90" s="342">
        <v>0.38514803738874398</v>
      </c>
    </row>
    <row r="91" spans="3:62" s="3" customFormat="1" ht="18" customHeight="1" x14ac:dyDescent="0.2">
      <c r="C91" s="39">
        <v>7</v>
      </c>
      <c r="D91" s="263">
        <v>0.30345500120392299</v>
      </c>
      <c r="F91" s="39">
        <v>7</v>
      </c>
      <c r="G91" s="39">
        <v>4</v>
      </c>
      <c r="H91" s="39">
        <v>3</v>
      </c>
      <c r="I91" s="39">
        <v>1</v>
      </c>
      <c r="K91" s="39">
        <v>7</v>
      </c>
      <c r="L91" s="39">
        <v>4</v>
      </c>
      <c r="M91" s="39">
        <v>3</v>
      </c>
      <c r="N91" s="263">
        <v>0.44080646164974102</v>
      </c>
      <c r="Q91" s="39">
        <v>7</v>
      </c>
      <c r="R91" s="263">
        <v>0.44080646164974102</v>
      </c>
      <c r="T91" s="345"/>
      <c r="U91" s="355">
        <v>6</v>
      </c>
      <c r="V91" s="339">
        <v>0</v>
      </c>
      <c r="W91" s="340">
        <v>0</v>
      </c>
      <c r="X91" s="340">
        <v>0.43914822716481411</v>
      </c>
      <c r="Y91" s="356">
        <v>0.42365149080919912</v>
      </c>
      <c r="Z91" s="346"/>
      <c r="AA91" s="39">
        <v>6</v>
      </c>
      <c r="AB91" s="35">
        <v>1</v>
      </c>
      <c r="AC91" s="36">
        <v>2</v>
      </c>
      <c r="AD91" s="36">
        <v>4</v>
      </c>
      <c r="AE91" s="36">
        <v>5</v>
      </c>
      <c r="AF91" s="36">
        <v>2</v>
      </c>
      <c r="AG91" s="288">
        <v>0</v>
      </c>
      <c r="AI91" s="39">
        <v>6</v>
      </c>
      <c r="AJ91" s="35">
        <v>1</v>
      </c>
      <c r="AK91" s="36">
        <v>4</v>
      </c>
      <c r="AL91" s="36">
        <v>4</v>
      </c>
      <c r="AM91" s="36">
        <v>5</v>
      </c>
      <c r="AN91" s="36">
        <v>4</v>
      </c>
      <c r="AO91" s="288">
        <v>0.41627233828739912</v>
      </c>
      <c r="AQ91" s="39">
        <v>6</v>
      </c>
      <c r="AR91" s="35">
        <v>1</v>
      </c>
      <c r="AS91" s="36">
        <v>4</v>
      </c>
      <c r="AT91" s="36">
        <v>4</v>
      </c>
      <c r="AU91" s="36">
        <v>5</v>
      </c>
      <c r="AV91" s="36">
        <v>4</v>
      </c>
      <c r="AW91" s="287">
        <v>0.42575338830533799</v>
      </c>
      <c r="AX91" s="288">
        <v>8.5150677661067611E-2</v>
      </c>
      <c r="AZ91" s="39">
        <v>6</v>
      </c>
      <c r="BA91" s="105">
        <v>2</v>
      </c>
      <c r="BB91" s="100">
        <v>2</v>
      </c>
      <c r="BC91" s="100">
        <v>2</v>
      </c>
      <c r="BD91" s="100">
        <v>6</v>
      </c>
      <c r="BE91" s="100">
        <v>37</v>
      </c>
      <c r="BF91" s="100">
        <v>3</v>
      </c>
      <c r="BG91" s="100">
        <v>3</v>
      </c>
      <c r="BH91" s="341">
        <v>0.26786428426466402</v>
      </c>
      <c r="BI91" s="341">
        <v>8.9288094754887914E-2</v>
      </c>
      <c r="BJ91" s="342">
        <v>8.9288094754887914E-2</v>
      </c>
    </row>
    <row r="92" spans="3:62" s="3" customFormat="1" ht="18" customHeight="1" x14ac:dyDescent="0.2">
      <c r="C92" s="39">
        <v>8</v>
      </c>
      <c r="D92" s="263">
        <v>0.30362056590227998</v>
      </c>
      <c r="F92" s="39">
        <v>8</v>
      </c>
      <c r="G92" s="39">
        <v>4</v>
      </c>
      <c r="H92" s="39">
        <v>4</v>
      </c>
      <c r="I92" s="39">
        <v>1</v>
      </c>
      <c r="K92" s="39">
        <v>8</v>
      </c>
      <c r="L92" s="39">
        <v>4</v>
      </c>
      <c r="M92" s="39">
        <v>4</v>
      </c>
      <c r="N92" s="263">
        <v>0.42520882235631202</v>
      </c>
      <c r="Q92" s="39">
        <v>8</v>
      </c>
      <c r="R92" s="263">
        <v>0.42520882235631202</v>
      </c>
      <c r="T92" s="345"/>
      <c r="U92" s="355">
        <v>7</v>
      </c>
      <c r="V92" s="339">
        <v>0</v>
      </c>
      <c r="W92" s="340">
        <v>0.58807242538184712</v>
      </c>
      <c r="X92" s="340">
        <v>2.2295174927650699E-11</v>
      </c>
      <c r="Y92" s="356">
        <v>1.40283550127494E-11</v>
      </c>
      <c r="Z92" s="346"/>
      <c r="AA92" s="39">
        <v>7</v>
      </c>
      <c r="AB92" s="35">
        <v>1</v>
      </c>
      <c r="AC92" s="36">
        <v>2</v>
      </c>
      <c r="AD92" s="36">
        <v>4</v>
      </c>
      <c r="AE92" s="36">
        <v>5</v>
      </c>
      <c r="AF92" s="36">
        <v>3</v>
      </c>
      <c r="AG92" s="288">
        <v>0.44087876147899602</v>
      </c>
      <c r="AI92" s="39">
        <v>7</v>
      </c>
      <c r="AJ92" s="35">
        <v>1</v>
      </c>
      <c r="AK92" s="36">
        <v>6</v>
      </c>
      <c r="AL92" s="36">
        <v>4</v>
      </c>
      <c r="AM92" s="36">
        <v>5</v>
      </c>
      <c r="AN92" s="36">
        <v>3</v>
      </c>
      <c r="AO92" s="288">
        <v>0.42418848651441399</v>
      </c>
      <c r="AQ92" s="39">
        <v>7</v>
      </c>
      <c r="AR92" s="35">
        <v>1</v>
      </c>
      <c r="AS92" s="36">
        <v>6</v>
      </c>
      <c r="AT92" s="36">
        <v>4</v>
      </c>
      <c r="AU92" s="36">
        <v>5</v>
      </c>
      <c r="AV92" s="36">
        <v>3</v>
      </c>
      <c r="AW92" s="287">
        <v>0.44080646164974102</v>
      </c>
      <c r="AX92" s="288">
        <v>8.8161292329948196E-2</v>
      </c>
      <c r="AZ92" s="39">
        <v>7</v>
      </c>
      <c r="BA92" s="105">
        <v>2</v>
      </c>
      <c r="BB92" s="100">
        <v>4</v>
      </c>
      <c r="BC92" s="100">
        <v>1</v>
      </c>
      <c r="BD92" s="100">
        <v>6</v>
      </c>
      <c r="BE92" s="100">
        <v>37</v>
      </c>
      <c r="BF92" s="100">
        <v>3</v>
      </c>
      <c r="BG92" s="100">
        <v>3</v>
      </c>
      <c r="BH92" s="341">
        <v>1.1557667807034799</v>
      </c>
      <c r="BI92" s="341">
        <v>0.38525559356782801</v>
      </c>
      <c r="BJ92" s="342">
        <v>0.38525559356782801</v>
      </c>
    </row>
    <row r="93" spans="3:62" s="3" customFormat="1" ht="18" customHeight="1" x14ac:dyDescent="0.2">
      <c r="C93" s="39">
        <v>9</v>
      </c>
      <c r="D93" s="263">
        <v>0.30258699706326497</v>
      </c>
      <c r="F93" s="39">
        <v>9</v>
      </c>
      <c r="G93" s="39">
        <v>5</v>
      </c>
      <c r="H93" s="39">
        <v>3</v>
      </c>
      <c r="I93" s="39">
        <v>1</v>
      </c>
      <c r="K93" s="39">
        <v>9</v>
      </c>
      <c r="L93" s="39">
        <v>5</v>
      </c>
      <c r="M93" s="39">
        <v>3</v>
      </c>
      <c r="N93" s="263">
        <v>0.44181326492267398</v>
      </c>
      <c r="Q93" s="39">
        <v>9</v>
      </c>
      <c r="R93" s="263">
        <v>0.44181326492267398</v>
      </c>
      <c r="T93" s="345"/>
      <c r="U93" s="355">
        <v>8</v>
      </c>
      <c r="V93" s="339">
        <v>0</v>
      </c>
      <c r="W93" s="340">
        <v>0.58819645715616897</v>
      </c>
      <c r="X93" s="340">
        <v>2.2301428806105799E-11</v>
      </c>
      <c r="Y93" s="356">
        <v>1.13150356248388E-11</v>
      </c>
      <c r="Z93" s="346"/>
      <c r="AA93" s="39">
        <v>8</v>
      </c>
      <c r="AB93" s="35">
        <v>1</v>
      </c>
      <c r="AC93" s="36">
        <v>2</v>
      </c>
      <c r="AD93" s="36">
        <v>4</v>
      </c>
      <c r="AE93" s="36">
        <v>5</v>
      </c>
      <c r="AF93" s="36">
        <v>4</v>
      </c>
      <c r="AG93" s="288">
        <v>0.42527671945879603</v>
      </c>
      <c r="AI93" s="39">
        <v>8</v>
      </c>
      <c r="AJ93" s="35">
        <v>1</v>
      </c>
      <c r="AK93" s="36">
        <v>6</v>
      </c>
      <c r="AL93" s="36">
        <v>4</v>
      </c>
      <c r="AM93" s="36">
        <v>5</v>
      </c>
      <c r="AN93" s="36">
        <v>4</v>
      </c>
      <c r="AO93" s="288">
        <v>0.41673569543859201</v>
      </c>
      <c r="AQ93" s="39">
        <v>8</v>
      </c>
      <c r="AR93" s="35">
        <v>1</v>
      </c>
      <c r="AS93" s="36">
        <v>6</v>
      </c>
      <c r="AT93" s="36">
        <v>4</v>
      </c>
      <c r="AU93" s="36">
        <v>5</v>
      </c>
      <c r="AV93" s="36">
        <v>4</v>
      </c>
      <c r="AW93" s="287">
        <v>0.42520882235631202</v>
      </c>
      <c r="AX93" s="288">
        <v>8.5041764471262313E-2</v>
      </c>
      <c r="AZ93" s="39">
        <v>8</v>
      </c>
      <c r="BA93" s="105">
        <v>2</v>
      </c>
      <c r="BB93" s="100">
        <v>4</v>
      </c>
      <c r="BC93" s="100">
        <v>2</v>
      </c>
      <c r="BD93" s="100">
        <v>6</v>
      </c>
      <c r="BE93" s="100">
        <v>37</v>
      </c>
      <c r="BF93" s="100">
        <v>3</v>
      </c>
      <c r="BG93" s="100">
        <v>3</v>
      </c>
      <c r="BH93" s="341">
        <v>0.26789024601560107</v>
      </c>
      <c r="BI93" s="341">
        <v>8.9296748671867002E-2</v>
      </c>
      <c r="BJ93" s="342">
        <v>8.9296748671867002E-2</v>
      </c>
    </row>
    <row r="94" spans="3:62" s="3" customFormat="1" ht="18" customHeight="1" x14ac:dyDescent="0.2">
      <c r="C94" s="39">
        <v>10</v>
      </c>
      <c r="D94" s="263">
        <v>0.52102219263604499</v>
      </c>
      <c r="F94" s="39">
        <v>10</v>
      </c>
      <c r="G94" s="39">
        <v>5</v>
      </c>
      <c r="H94" s="39">
        <v>4</v>
      </c>
      <c r="I94" s="39">
        <v>1</v>
      </c>
      <c r="K94" s="39">
        <v>10</v>
      </c>
      <c r="L94" s="39">
        <v>5</v>
      </c>
      <c r="M94" s="39">
        <v>4</v>
      </c>
      <c r="N94" s="263">
        <v>0.42615429114960202</v>
      </c>
      <c r="Q94" s="39">
        <v>10</v>
      </c>
      <c r="R94" s="263">
        <v>0.42615429114960202</v>
      </c>
      <c r="T94" s="345"/>
      <c r="U94" s="355">
        <v>9</v>
      </c>
      <c r="V94" s="339">
        <v>0</v>
      </c>
      <c r="W94" s="340">
        <v>0.58742251526476696</v>
      </c>
      <c r="X94" s="340">
        <v>2.2254124055774802E-11</v>
      </c>
      <c r="Y94" s="356">
        <v>2.2334449448667099E-11</v>
      </c>
      <c r="Z94" s="346"/>
      <c r="AA94" s="39">
        <v>9</v>
      </c>
      <c r="AB94" s="35">
        <v>1</v>
      </c>
      <c r="AC94" s="36">
        <v>4</v>
      </c>
      <c r="AD94" s="36">
        <v>4</v>
      </c>
      <c r="AE94" s="36">
        <v>5</v>
      </c>
      <c r="AF94" s="36">
        <v>1</v>
      </c>
      <c r="AG94" s="288">
        <v>0</v>
      </c>
      <c r="AI94" s="39">
        <v>9</v>
      </c>
      <c r="AJ94" s="35">
        <v>1</v>
      </c>
      <c r="AK94" s="36">
        <v>7</v>
      </c>
      <c r="AL94" s="36">
        <v>4</v>
      </c>
      <c r="AM94" s="36">
        <v>5</v>
      </c>
      <c r="AN94" s="36">
        <v>3</v>
      </c>
      <c r="AO94" s="288">
        <v>0.42370334054760711</v>
      </c>
      <c r="AQ94" s="39">
        <v>9</v>
      </c>
      <c r="AR94" s="35">
        <v>1</v>
      </c>
      <c r="AS94" s="36">
        <v>7</v>
      </c>
      <c r="AT94" s="36">
        <v>4</v>
      </c>
      <c r="AU94" s="36">
        <v>5</v>
      </c>
      <c r="AV94" s="36">
        <v>3</v>
      </c>
      <c r="AW94" s="287">
        <v>0.44181326492267398</v>
      </c>
      <c r="AX94" s="288">
        <v>8.8362652984534704E-2</v>
      </c>
      <c r="AZ94" s="39">
        <v>9</v>
      </c>
      <c r="BA94" s="105">
        <v>2</v>
      </c>
      <c r="BB94" s="100">
        <v>6</v>
      </c>
      <c r="BC94" s="100">
        <v>1</v>
      </c>
      <c r="BD94" s="100">
        <v>6</v>
      </c>
      <c r="BE94" s="100">
        <v>37</v>
      </c>
      <c r="BF94" s="100">
        <v>3</v>
      </c>
      <c r="BG94" s="100">
        <v>3</v>
      </c>
      <c r="BH94" s="341">
        <v>1.1553976955596601</v>
      </c>
      <c r="BI94" s="341">
        <v>0.38513256518655198</v>
      </c>
      <c r="BJ94" s="342">
        <v>0.38513256518655198</v>
      </c>
    </row>
    <row r="95" spans="3:62" s="3" customFormat="1" ht="18" customHeight="1" x14ac:dyDescent="0.2">
      <c r="C95" s="39">
        <v>11</v>
      </c>
      <c r="D95" s="263">
        <v>0.51969328898171008</v>
      </c>
      <c r="F95" s="39">
        <v>11</v>
      </c>
      <c r="G95" s="39">
        <v>6</v>
      </c>
      <c r="H95" s="39">
        <v>3</v>
      </c>
      <c r="I95" s="39">
        <v>1</v>
      </c>
      <c r="K95" s="39">
        <v>11</v>
      </c>
      <c r="L95" s="39">
        <v>6</v>
      </c>
      <c r="M95" s="39">
        <v>3</v>
      </c>
      <c r="N95" s="263">
        <v>0.43914822716481411</v>
      </c>
      <c r="Q95" s="39">
        <v>11</v>
      </c>
      <c r="R95" s="263">
        <v>0.43914822716481411</v>
      </c>
      <c r="T95" s="345"/>
      <c r="U95" s="355">
        <v>10</v>
      </c>
      <c r="V95" s="339">
        <v>0</v>
      </c>
      <c r="W95" s="340">
        <v>0.76625788750836121</v>
      </c>
      <c r="X95" s="340">
        <v>2.0066214951905801E-11</v>
      </c>
      <c r="Y95" s="356">
        <v>1.9386870508074601E-11</v>
      </c>
      <c r="Z95" s="346"/>
      <c r="AA95" s="39">
        <v>10</v>
      </c>
      <c r="AB95" s="35">
        <v>1</v>
      </c>
      <c r="AC95" s="36">
        <v>4</v>
      </c>
      <c r="AD95" s="36">
        <v>4</v>
      </c>
      <c r="AE95" s="36">
        <v>5</v>
      </c>
      <c r="AF95" s="36">
        <v>2</v>
      </c>
      <c r="AG95" s="288">
        <v>0</v>
      </c>
      <c r="AI95" s="39">
        <v>10</v>
      </c>
      <c r="AJ95" s="35">
        <v>1</v>
      </c>
      <c r="AK95" s="36">
        <v>7</v>
      </c>
      <c r="AL95" s="36">
        <v>4</v>
      </c>
      <c r="AM95" s="36">
        <v>5</v>
      </c>
      <c r="AN95" s="36">
        <v>4</v>
      </c>
      <c r="AO95" s="288">
        <v>0.41626544415014</v>
      </c>
      <c r="AQ95" s="39">
        <v>10</v>
      </c>
      <c r="AR95" s="35">
        <v>1</v>
      </c>
      <c r="AS95" s="36">
        <v>7</v>
      </c>
      <c r="AT95" s="36">
        <v>4</v>
      </c>
      <c r="AU95" s="36">
        <v>5</v>
      </c>
      <c r="AV95" s="36">
        <v>4</v>
      </c>
      <c r="AW95" s="287">
        <v>0.42615429114960202</v>
      </c>
      <c r="AX95" s="288">
        <v>8.523085822992052E-2</v>
      </c>
      <c r="AZ95" s="39">
        <v>10</v>
      </c>
      <c r="BA95" s="105">
        <v>2</v>
      </c>
      <c r="BB95" s="100">
        <v>6</v>
      </c>
      <c r="BC95" s="100">
        <v>2</v>
      </c>
      <c r="BD95" s="100">
        <v>6</v>
      </c>
      <c r="BE95" s="100">
        <v>37</v>
      </c>
      <c r="BF95" s="100">
        <v>3</v>
      </c>
      <c r="BG95" s="100">
        <v>3</v>
      </c>
      <c r="BH95" s="341">
        <v>0.26786058692055098</v>
      </c>
      <c r="BI95" s="341">
        <v>8.9286862306850512E-2</v>
      </c>
      <c r="BJ95" s="342">
        <v>8.9286862306850512E-2</v>
      </c>
    </row>
    <row r="96" spans="3:62" s="3" customFormat="1" ht="18" customHeight="1" x14ac:dyDescent="0.2">
      <c r="C96" s="39">
        <v>12</v>
      </c>
      <c r="D96" s="263">
        <v>0.52028384047375897</v>
      </c>
      <c r="F96" s="39">
        <v>12</v>
      </c>
      <c r="G96" s="39">
        <v>6</v>
      </c>
      <c r="H96" s="39">
        <v>4</v>
      </c>
      <c r="I96" s="39">
        <v>1</v>
      </c>
      <c r="K96" s="39">
        <v>12</v>
      </c>
      <c r="L96" s="39">
        <v>6</v>
      </c>
      <c r="M96" s="39">
        <v>4</v>
      </c>
      <c r="N96" s="263">
        <v>0.42365149080919912</v>
      </c>
      <c r="Q96" s="39">
        <v>12</v>
      </c>
      <c r="R96" s="263">
        <v>0.42365149080919912</v>
      </c>
      <c r="T96" s="345"/>
      <c r="U96" s="355">
        <v>11</v>
      </c>
      <c r="V96" s="339">
        <v>0</v>
      </c>
      <c r="W96" s="340">
        <v>0.76509442406556405</v>
      </c>
      <c r="X96" s="340">
        <v>4.2122832816034997E-12</v>
      </c>
      <c r="Y96" s="356">
        <v>2.6852184198509001E-12</v>
      </c>
      <c r="Z96" s="346"/>
      <c r="AA96" s="39">
        <v>11</v>
      </c>
      <c r="AB96" s="35">
        <v>1</v>
      </c>
      <c r="AC96" s="36">
        <v>4</v>
      </c>
      <c r="AD96" s="36">
        <v>4</v>
      </c>
      <c r="AE96" s="36">
        <v>5</v>
      </c>
      <c r="AF96" s="36">
        <v>3</v>
      </c>
      <c r="AG96" s="288">
        <v>0.44138634776445601</v>
      </c>
      <c r="AI96" s="39">
        <v>11</v>
      </c>
      <c r="AJ96" s="35">
        <v>1</v>
      </c>
      <c r="AK96" s="36">
        <v>9</v>
      </c>
      <c r="AL96" s="36">
        <v>4</v>
      </c>
      <c r="AM96" s="36">
        <v>5</v>
      </c>
      <c r="AN96" s="36">
        <v>3</v>
      </c>
      <c r="AO96" s="288">
        <v>0.42362890167308598</v>
      </c>
      <c r="AQ96" s="39">
        <v>11</v>
      </c>
      <c r="AR96" s="35">
        <v>1</v>
      </c>
      <c r="AS96" s="36">
        <v>9</v>
      </c>
      <c r="AT96" s="36">
        <v>4</v>
      </c>
      <c r="AU96" s="36">
        <v>5</v>
      </c>
      <c r="AV96" s="36">
        <v>3</v>
      </c>
      <c r="AW96" s="287">
        <v>0.43914822716481411</v>
      </c>
      <c r="AX96" s="288">
        <v>8.7829645432962802E-2</v>
      </c>
      <c r="AZ96" s="39">
        <v>11</v>
      </c>
      <c r="BA96" s="105">
        <v>2</v>
      </c>
      <c r="BB96" s="100">
        <v>7</v>
      </c>
      <c r="BC96" s="100">
        <v>1</v>
      </c>
      <c r="BD96" s="100">
        <v>6</v>
      </c>
      <c r="BE96" s="100">
        <v>37</v>
      </c>
      <c r="BF96" s="100">
        <v>3</v>
      </c>
      <c r="BG96" s="100">
        <v>3</v>
      </c>
      <c r="BH96" s="341">
        <v>1.15603861153507</v>
      </c>
      <c r="BI96" s="341">
        <v>0.38534620384502399</v>
      </c>
      <c r="BJ96" s="342">
        <v>0.38534620384502399</v>
      </c>
    </row>
    <row r="97" spans="3:62" s="3" customFormat="1" ht="18" customHeight="1" x14ac:dyDescent="0.2">
      <c r="C97" s="39">
        <v>13</v>
      </c>
      <c r="D97" s="263">
        <v>0.519609170936155</v>
      </c>
      <c r="F97" s="39">
        <v>13</v>
      </c>
      <c r="G97" s="39">
        <v>7</v>
      </c>
      <c r="H97" s="39">
        <v>2</v>
      </c>
      <c r="I97" s="39">
        <v>1</v>
      </c>
      <c r="K97" s="39">
        <v>13</v>
      </c>
      <c r="L97" s="39">
        <v>7</v>
      </c>
      <c r="M97" s="39">
        <v>2</v>
      </c>
      <c r="N97" s="263">
        <v>0.58807242538184712</v>
      </c>
      <c r="Q97" s="39">
        <v>13</v>
      </c>
      <c r="R97" s="263">
        <v>0.58807242538184712</v>
      </c>
      <c r="T97" s="345"/>
      <c r="U97" s="355">
        <v>12</v>
      </c>
      <c r="V97" s="339">
        <v>0</v>
      </c>
      <c r="W97" s="340">
        <v>0.76561136472145697</v>
      </c>
      <c r="X97" s="340">
        <v>3.2303261941632402E-12</v>
      </c>
      <c r="Y97" s="356">
        <v>5.6608173733885987E-12</v>
      </c>
      <c r="Z97" s="346"/>
      <c r="AA97" s="39">
        <v>12</v>
      </c>
      <c r="AB97" s="35">
        <v>1</v>
      </c>
      <c r="AC97" s="36">
        <v>4</v>
      </c>
      <c r="AD97" s="36">
        <v>4</v>
      </c>
      <c r="AE97" s="36">
        <v>5</v>
      </c>
      <c r="AF97" s="36">
        <v>4</v>
      </c>
      <c r="AG97" s="288">
        <v>0.42575338830533799</v>
      </c>
      <c r="AI97" s="39">
        <v>12</v>
      </c>
      <c r="AJ97" s="35">
        <v>1</v>
      </c>
      <c r="AK97" s="36">
        <v>9</v>
      </c>
      <c r="AL97" s="36">
        <v>4</v>
      </c>
      <c r="AM97" s="36">
        <v>5</v>
      </c>
      <c r="AN97" s="36">
        <v>4</v>
      </c>
      <c r="AO97" s="288">
        <v>0.41619328990831311</v>
      </c>
      <c r="AQ97" s="39">
        <v>12</v>
      </c>
      <c r="AR97" s="35">
        <v>1</v>
      </c>
      <c r="AS97" s="36">
        <v>9</v>
      </c>
      <c r="AT97" s="36">
        <v>4</v>
      </c>
      <c r="AU97" s="36">
        <v>5</v>
      </c>
      <c r="AV97" s="36">
        <v>4</v>
      </c>
      <c r="AW97" s="287">
        <v>0.42365149080919912</v>
      </c>
      <c r="AX97" s="288">
        <v>8.4730298161839704E-2</v>
      </c>
      <c r="AZ97" s="39">
        <v>12</v>
      </c>
      <c r="BA97" s="105">
        <v>2</v>
      </c>
      <c r="BB97" s="100">
        <v>7</v>
      </c>
      <c r="BC97" s="100">
        <v>2</v>
      </c>
      <c r="BD97" s="100">
        <v>6</v>
      </c>
      <c r="BE97" s="100">
        <v>37</v>
      </c>
      <c r="BF97" s="100">
        <v>3</v>
      </c>
      <c r="BG97" s="100">
        <v>3</v>
      </c>
      <c r="BH97" s="341">
        <v>0.26791208259459098</v>
      </c>
      <c r="BI97" s="341">
        <v>8.9304027531530508E-2</v>
      </c>
      <c r="BJ97" s="342">
        <v>8.9304027531530508E-2</v>
      </c>
    </row>
    <row r="98" spans="3:62" s="3" customFormat="1" ht="18" customHeight="1" x14ac:dyDescent="0.2">
      <c r="C98" s="39">
        <v>14</v>
      </c>
      <c r="D98" s="263">
        <v>0.52078053456761897</v>
      </c>
      <c r="F98" s="39">
        <v>14</v>
      </c>
      <c r="G98" s="39">
        <v>7</v>
      </c>
      <c r="H98" s="39">
        <v>3</v>
      </c>
      <c r="I98" s="39">
        <v>1</v>
      </c>
      <c r="K98" s="39">
        <v>14</v>
      </c>
      <c r="L98" s="39">
        <v>7</v>
      </c>
      <c r="M98" s="39">
        <v>3</v>
      </c>
      <c r="N98" s="263">
        <v>2.2295174927650699E-11</v>
      </c>
      <c r="Q98" s="39">
        <v>14</v>
      </c>
      <c r="R98" s="263">
        <v>2.2295174927650699E-11</v>
      </c>
      <c r="T98" s="345"/>
      <c r="U98" s="355">
        <v>13</v>
      </c>
      <c r="V98" s="339">
        <v>0</v>
      </c>
      <c r="W98" s="340">
        <v>0.76502080312954102</v>
      </c>
      <c r="X98" s="340">
        <v>1.0210927130530101E-11</v>
      </c>
      <c r="Y98" s="356">
        <v>2.6259974889459102E-12</v>
      </c>
      <c r="Z98" s="346"/>
      <c r="AA98" s="39">
        <v>13</v>
      </c>
      <c r="AB98" s="35">
        <v>1</v>
      </c>
      <c r="AC98" s="36">
        <v>6</v>
      </c>
      <c r="AD98" s="36">
        <v>4</v>
      </c>
      <c r="AE98" s="36">
        <v>5</v>
      </c>
      <c r="AF98" s="36">
        <v>1</v>
      </c>
      <c r="AG98" s="288">
        <v>0</v>
      </c>
      <c r="AI98" s="39">
        <v>13</v>
      </c>
      <c r="AJ98" s="35">
        <v>2</v>
      </c>
      <c r="AK98" s="36">
        <v>4</v>
      </c>
      <c r="AL98" s="36">
        <v>1</v>
      </c>
      <c r="AM98" s="36">
        <v>1</v>
      </c>
      <c r="AN98" s="36">
        <v>2</v>
      </c>
      <c r="AO98" s="288">
        <v>0.58707987284795415</v>
      </c>
      <c r="AQ98" s="39">
        <v>13</v>
      </c>
      <c r="AR98" s="35">
        <v>2</v>
      </c>
      <c r="AS98" s="36">
        <v>4</v>
      </c>
      <c r="AT98" s="36">
        <v>1</v>
      </c>
      <c r="AU98" s="36">
        <v>1</v>
      </c>
      <c r="AV98" s="36">
        <v>2</v>
      </c>
      <c r="AW98" s="287">
        <v>0.58807242538184712</v>
      </c>
      <c r="AX98" s="288">
        <v>0.58807242538184712</v>
      </c>
      <c r="AZ98" s="39">
        <v>13</v>
      </c>
      <c r="BA98" s="105">
        <v>2</v>
      </c>
      <c r="BB98" s="100">
        <v>9</v>
      </c>
      <c r="BC98" s="100">
        <v>1</v>
      </c>
      <c r="BD98" s="100">
        <v>6</v>
      </c>
      <c r="BE98" s="100">
        <v>37</v>
      </c>
      <c r="BF98" s="100">
        <v>3</v>
      </c>
      <c r="BG98" s="100">
        <v>3</v>
      </c>
      <c r="BH98" s="341">
        <v>1.1543403098235401</v>
      </c>
      <c r="BI98" s="341">
        <v>0.38478010327451201</v>
      </c>
      <c r="BJ98" s="342">
        <v>0.38478010327451201</v>
      </c>
    </row>
    <row r="99" spans="3:62" s="3" customFormat="1" ht="18" customHeight="1" x14ac:dyDescent="0.2">
      <c r="C99" s="39">
        <v>15</v>
      </c>
      <c r="D99" s="263">
        <v>0.51767982805025703</v>
      </c>
      <c r="F99" s="39">
        <v>15</v>
      </c>
      <c r="G99" s="39">
        <v>7</v>
      </c>
      <c r="H99" s="39">
        <v>4</v>
      </c>
      <c r="I99" s="39">
        <v>1</v>
      </c>
      <c r="K99" s="39">
        <v>15</v>
      </c>
      <c r="L99" s="39">
        <v>7</v>
      </c>
      <c r="M99" s="39">
        <v>4</v>
      </c>
      <c r="N99" s="263">
        <v>1.40283550127494E-11</v>
      </c>
      <c r="Q99" s="39">
        <v>15</v>
      </c>
      <c r="R99" s="263">
        <v>1.40283550127494E-11</v>
      </c>
      <c r="T99" s="345"/>
      <c r="U99" s="355">
        <v>14</v>
      </c>
      <c r="V99" s="339">
        <v>0</v>
      </c>
      <c r="W99" s="340">
        <v>0.76604625992245701</v>
      </c>
      <c r="X99" s="340">
        <v>1.4887012275805E-11</v>
      </c>
      <c r="Y99" s="356">
        <v>1.4316087743517E-11</v>
      </c>
      <c r="Z99" s="346"/>
      <c r="AA99" s="39">
        <v>14</v>
      </c>
      <c r="AB99" s="35">
        <v>1</v>
      </c>
      <c r="AC99" s="36">
        <v>6</v>
      </c>
      <c r="AD99" s="36">
        <v>4</v>
      </c>
      <c r="AE99" s="36">
        <v>5</v>
      </c>
      <c r="AF99" s="36">
        <v>2</v>
      </c>
      <c r="AG99" s="288">
        <v>0</v>
      </c>
      <c r="AI99" s="39">
        <v>14</v>
      </c>
      <c r="AJ99" s="35">
        <v>2</v>
      </c>
      <c r="AK99" s="36">
        <v>7</v>
      </c>
      <c r="AL99" s="36">
        <v>1</v>
      </c>
      <c r="AM99" s="36">
        <v>1</v>
      </c>
      <c r="AN99" s="36">
        <v>2</v>
      </c>
      <c r="AO99" s="288">
        <v>0.58707780035384804</v>
      </c>
      <c r="AQ99" s="39">
        <v>14</v>
      </c>
      <c r="AR99" s="35">
        <v>2</v>
      </c>
      <c r="AS99" s="36">
        <v>7</v>
      </c>
      <c r="AT99" s="36">
        <v>1</v>
      </c>
      <c r="AU99" s="36">
        <v>1</v>
      </c>
      <c r="AV99" s="36">
        <v>2</v>
      </c>
      <c r="AW99" s="287">
        <v>0.58819645715616897</v>
      </c>
      <c r="AX99" s="288">
        <v>0.58819645715616897</v>
      </c>
      <c r="AZ99" s="39">
        <v>14</v>
      </c>
      <c r="BA99" s="105">
        <v>2</v>
      </c>
      <c r="BB99" s="100">
        <v>9</v>
      </c>
      <c r="BC99" s="100">
        <v>2</v>
      </c>
      <c r="BD99" s="100">
        <v>6</v>
      </c>
      <c r="BE99" s="100">
        <v>37</v>
      </c>
      <c r="BF99" s="100">
        <v>3</v>
      </c>
      <c r="BG99" s="100">
        <v>3</v>
      </c>
      <c r="BH99" s="341">
        <v>0.267775695335289</v>
      </c>
      <c r="BI99" s="341">
        <v>8.9258565111763097E-2</v>
      </c>
      <c r="BJ99" s="342">
        <v>8.9258565111763097E-2</v>
      </c>
    </row>
    <row r="100" spans="3:62" s="3" customFormat="1" ht="18" customHeight="1" x14ac:dyDescent="0.2">
      <c r="C100" s="39">
        <v>16</v>
      </c>
      <c r="D100" s="263">
        <v>0.151977622976398</v>
      </c>
      <c r="F100" s="39">
        <v>16</v>
      </c>
      <c r="G100" s="39">
        <v>8</v>
      </c>
      <c r="H100" s="39">
        <v>2</v>
      </c>
      <c r="I100" s="39">
        <v>1</v>
      </c>
      <c r="K100" s="39">
        <v>16</v>
      </c>
      <c r="L100" s="39">
        <v>8</v>
      </c>
      <c r="M100" s="39">
        <v>2</v>
      </c>
      <c r="N100" s="263">
        <v>0.58819645715616897</v>
      </c>
      <c r="Q100" s="39">
        <v>16</v>
      </c>
      <c r="R100" s="263">
        <v>0.58819645715616897</v>
      </c>
      <c r="T100" s="345"/>
      <c r="U100" s="355">
        <v>15</v>
      </c>
      <c r="V100" s="339">
        <v>0</v>
      </c>
      <c r="W100" s="340">
        <v>0.76333304271554314</v>
      </c>
      <c r="X100" s="340">
        <v>1.23909851652853E-11</v>
      </c>
      <c r="Y100" s="356">
        <v>1.13022112381575E-11</v>
      </c>
      <c r="Z100" s="346"/>
      <c r="AA100" s="39">
        <v>15</v>
      </c>
      <c r="AB100" s="35">
        <v>1</v>
      </c>
      <c r="AC100" s="36">
        <v>6</v>
      </c>
      <c r="AD100" s="36">
        <v>4</v>
      </c>
      <c r="AE100" s="36">
        <v>5</v>
      </c>
      <c r="AF100" s="36">
        <v>3</v>
      </c>
      <c r="AG100" s="288">
        <v>0.44080646164974102</v>
      </c>
      <c r="AI100" s="39">
        <v>15</v>
      </c>
      <c r="AJ100" s="35">
        <v>2</v>
      </c>
      <c r="AK100" s="36">
        <v>9</v>
      </c>
      <c r="AL100" s="36">
        <v>1</v>
      </c>
      <c r="AM100" s="36">
        <v>1</v>
      </c>
      <c r="AN100" s="36">
        <v>2</v>
      </c>
      <c r="AO100" s="288">
        <v>0.58705611024042403</v>
      </c>
      <c r="AQ100" s="39">
        <v>15</v>
      </c>
      <c r="AR100" s="35">
        <v>2</v>
      </c>
      <c r="AS100" s="36">
        <v>9</v>
      </c>
      <c r="AT100" s="36">
        <v>1</v>
      </c>
      <c r="AU100" s="36">
        <v>1</v>
      </c>
      <c r="AV100" s="36">
        <v>2</v>
      </c>
      <c r="AW100" s="287">
        <v>0.58742251526476696</v>
      </c>
      <c r="AX100" s="288">
        <v>0.58742251526476696</v>
      </c>
      <c r="AZ100" s="39">
        <v>15</v>
      </c>
      <c r="BA100" s="105">
        <v>3</v>
      </c>
      <c r="BB100" s="100">
        <v>1</v>
      </c>
      <c r="BC100" s="100">
        <v>1</v>
      </c>
      <c r="BD100" s="100">
        <v>4</v>
      </c>
      <c r="BE100" s="100">
        <v>37</v>
      </c>
      <c r="BF100" s="100">
        <v>3</v>
      </c>
      <c r="BG100" s="100">
        <v>1</v>
      </c>
      <c r="BH100" s="341">
        <v>0.98049828467440403</v>
      </c>
      <c r="BI100" s="341">
        <v>0.98049828467440403</v>
      </c>
      <c r="BJ100" s="342">
        <v>0.32683276155813501</v>
      </c>
    </row>
    <row r="101" spans="3:62" s="3" customFormat="1" ht="18" customHeight="1" x14ac:dyDescent="0.2">
      <c r="C101" s="39">
        <v>17</v>
      </c>
      <c r="D101" s="263">
        <v>0.151534655091454</v>
      </c>
      <c r="F101" s="39">
        <v>17</v>
      </c>
      <c r="G101" s="39">
        <v>8</v>
      </c>
      <c r="H101" s="39">
        <v>3</v>
      </c>
      <c r="I101" s="39">
        <v>1</v>
      </c>
      <c r="K101" s="39">
        <v>17</v>
      </c>
      <c r="L101" s="39">
        <v>8</v>
      </c>
      <c r="M101" s="39">
        <v>3</v>
      </c>
      <c r="N101" s="263">
        <v>2.2301428806105799E-11</v>
      </c>
      <c r="Q101" s="39">
        <v>17</v>
      </c>
      <c r="R101" s="263">
        <v>2.2301428806105799E-11</v>
      </c>
      <c r="T101" s="345"/>
      <c r="U101" s="355">
        <v>16</v>
      </c>
      <c r="V101" s="339">
        <v>0.98049828467440403</v>
      </c>
      <c r="W101" s="340">
        <v>0.25230264681138898</v>
      </c>
      <c r="X101" s="340">
        <v>1.13890727523535E-11</v>
      </c>
      <c r="Y101" s="356">
        <v>1.1870165420889099E-11</v>
      </c>
      <c r="Z101" s="346"/>
      <c r="AA101" s="39">
        <v>16</v>
      </c>
      <c r="AB101" s="35">
        <v>1</v>
      </c>
      <c r="AC101" s="36">
        <v>6</v>
      </c>
      <c r="AD101" s="36">
        <v>4</v>
      </c>
      <c r="AE101" s="36">
        <v>5</v>
      </c>
      <c r="AF101" s="36">
        <v>4</v>
      </c>
      <c r="AG101" s="288">
        <v>0.42520882235631202</v>
      </c>
      <c r="AI101" s="39">
        <v>16</v>
      </c>
      <c r="AJ101" s="35">
        <v>3</v>
      </c>
      <c r="AK101" s="36">
        <v>1</v>
      </c>
      <c r="AL101" s="36">
        <v>1</v>
      </c>
      <c r="AM101" s="36">
        <v>3</v>
      </c>
      <c r="AN101" s="36">
        <v>2</v>
      </c>
      <c r="AO101" s="288">
        <v>0.7574122496840191</v>
      </c>
      <c r="AQ101" s="39">
        <v>16</v>
      </c>
      <c r="AR101" s="35">
        <v>3</v>
      </c>
      <c r="AS101" s="36">
        <v>1</v>
      </c>
      <c r="AT101" s="36">
        <v>1</v>
      </c>
      <c r="AU101" s="36">
        <v>3</v>
      </c>
      <c r="AV101" s="36">
        <v>2</v>
      </c>
      <c r="AW101" s="287">
        <v>0.76625788750836121</v>
      </c>
      <c r="AX101" s="288">
        <v>0.25541929583612</v>
      </c>
      <c r="AZ101" s="39">
        <v>16</v>
      </c>
      <c r="BA101" s="105">
        <v>3</v>
      </c>
      <c r="BB101" s="100">
        <v>1</v>
      </c>
      <c r="BC101" s="100">
        <v>2</v>
      </c>
      <c r="BD101" s="100">
        <v>4</v>
      </c>
      <c r="BE101" s="100">
        <v>37</v>
      </c>
      <c r="BF101" s="100">
        <v>3</v>
      </c>
      <c r="BG101" s="100">
        <v>1</v>
      </c>
      <c r="BH101" s="341">
        <v>0.25230264681138898</v>
      </c>
      <c r="BI101" s="341">
        <v>0.25230264681138898</v>
      </c>
      <c r="BJ101" s="342">
        <v>8.4100882270463001E-2</v>
      </c>
    </row>
    <row r="102" spans="3:62" s="3" customFormat="1" ht="18" customHeight="1" x14ac:dyDescent="0.2">
      <c r="C102" s="39">
        <v>18</v>
      </c>
      <c r="D102" s="263">
        <v>0.151731505589074</v>
      </c>
      <c r="F102" s="39">
        <v>18</v>
      </c>
      <c r="G102" s="39">
        <v>8</v>
      </c>
      <c r="H102" s="39">
        <v>4</v>
      </c>
      <c r="I102" s="39">
        <v>1</v>
      </c>
      <c r="K102" s="39">
        <v>18</v>
      </c>
      <c r="L102" s="39">
        <v>8</v>
      </c>
      <c r="M102" s="39">
        <v>4</v>
      </c>
      <c r="N102" s="263">
        <v>1.13150356248388E-11</v>
      </c>
      <c r="Q102" s="39">
        <v>18</v>
      </c>
      <c r="R102" s="263">
        <v>1.13150356248388E-11</v>
      </c>
      <c r="T102" s="345"/>
      <c r="U102" s="355">
        <v>17</v>
      </c>
      <c r="V102" s="339">
        <v>0.98031905363266003</v>
      </c>
      <c r="W102" s="340">
        <v>0.25228489901564499</v>
      </c>
      <c r="X102" s="340">
        <v>1.5774443291739099E-11</v>
      </c>
      <c r="Y102" s="356">
        <v>1.8561387311031502E-11</v>
      </c>
      <c r="Z102" s="346"/>
      <c r="AA102" s="39">
        <v>17</v>
      </c>
      <c r="AB102" s="35">
        <v>1</v>
      </c>
      <c r="AC102" s="36">
        <v>7</v>
      </c>
      <c r="AD102" s="36">
        <v>4</v>
      </c>
      <c r="AE102" s="36">
        <v>5</v>
      </c>
      <c r="AF102" s="36">
        <v>1</v>
      </c>
      <c r="AG102" s="288">
        <v>0</v>
      </c>
      <c r="AI102" s="39">
        <v>17</v>
      </c>
      <c r="AJ102" s="35">
        <v>3</v>
      </c>
      <c r="AK102" s="36">
        <v>2</v>
      </c>
      <c r="AL102" s="36">
        <v>1</v>
      </c>
      <c r="AM102" s="36">
        <v>3</v>
      </c>
      <c r="AN102" s="36">
        <v>2</v>
      </c>
      <c r="AO102" s="288">
        <v>0.75672318441117303</v>
      </c>
      <c r="AQ102" s="39">
        <v>17</v>
      </c>
      <c r="AR102" s="35">
        <v>3</v>
      </c>
      <c r="AS102" s="36">
        <v>2</v>
      </c>
      <c r="AT102" s="36">
        <v>1</v>
      </c>
      <c r="AU102" s="36">
        <v>3</v>
      </c>
      <c r="AV102" s="36">
        <v>2</v>
      </c>
      <c r="AW102" s="287">
        <v>0.76509442406556405</v>
      </c>
      <c r="AX102" s="288">
        <v>0.255031474688521</v>
      </c>
      <c r="AZ102" s="39">
        <v>17</v>
      </c>
      <c r="BA102" s="105">
        <v>3</v>
      </c>
      <c r="BB102" s="100">
        <v>2</v>
      </c>
      <c r="BC102" s="100">
        <v>1</v>
      </c>
      <c r="BD102" s="100">
        <v>4</v>
      </c>
      <c r="BE102" s="100">
        <v>37</v>
      </c>
      <c r="BF102" s="100">
        <v>3</v>
      </c>
      <c r="BG102" s="100">
        <v>1</v>
      </c>
      <c r="BH102" s="341">
        <v>0.98031905363266003</v>
      </c>
      <c r="BI102" s="341">
        <v>0.98031905363266003</v>
      </c>
      <c r="BJ102" s="342">
        <v>0.32677301787755297</v>
      </c>
    </row>
    <row r="103" spans="3:62" s="3" customFormat="1" ht="18" customHeight="1" x14ac:dyDescent="0.2">
      <c r="C103" s="39">
        <v>19</v>
      </c>
      <c r="D103" s="263">
        <v>0.151875088649435</v>
      </c>
      <c r="F103" s="39">
        <v>19</v>
      </c>
      <c r="G103" s="39">
        <v>9</v>
      </c>
      <c r="H103" s="39">
        <v>2</v>
      </c>
      <c r="I103" s="39">
        <v>1</v>
      </c>
      <c r="K103" s="39">
        <v>19</v>
      </c>
      <c r="L103" s="39">
        <v>9</v>
      </c>
      <c r="M103" s="39">
        <v>2</v>
      </c>
      <c r="N103" s="263">
        <v>0.58742251526476696</v>
      </c>
      <c r="Q103" s="39">
        <v>19</v>
      </c>
      <c r="R103" s="263">
        <v>0.58742251526476696</v>
      </c>
      <c r="T103" s="345"/>
      <c r="U103" s="355">
        <v>18</v>
      </c>
      <c r="V103" s="339">
        <v>0.98039631933014404</v>
      </c>
      <c r="W103" s="340">
        <v>0.25229277655773802</v>
      </c>
      <c r="X103" s="340">
        <v>1.3873514104179E-11</v>
      </c>
      <c r="Y103" s="356">
        <v>1.58418719767558E-11</v>
      </c>
      <c r="Z103" s="346"/>
      <c r="AA103" s="39">
        <v>18</v>
      </c>
      <c r="AB103" s="35">
        <v>1</v>
      </c>
      <c r="AC103" s="36">
        <v>7</v>
      </c>
      <c r="AD103" s="36">
        <v>4</v>
      </c>
      <c r="AE103" s="36">
        <v>5</v>
      </c>
      <c r="AF103" s="36">
        <v>2</v>
      </c>
      <c r="AG103" s="288">
        <v>0</v>
      </c>
      <c r="AI103" s="39">
        <v>18</v>
      </c>
      <c r="AJ103" s="35">
        <v>3</v>
      </c>
      <c r="AK103" s="36">
        <v>4</v>
      </c>
      <c r="AL103" s="36">
        <v>1</v>
      </c>
      <c r="AM103" s="36">
        <v>3</v>
      </c>
      <c r="AN103" s="36">
        <v>2</v>
      </c>
      <c r="AO103" s="288">
        <v>0.75696359556469195</v>
      </c>
      <c r="AQ103" s="39">
        <v>18</v>
      </c>
      <c r="AR103" s="35">
        <v>3</v>
      </c>
      <c r="AS103" s="36">
        <v>4</v>
      </c>
      <c r="AT103" s="36">
        <v>1</v>
      </c>
      <c r="AU103" s="36">
        <v>3</v>
      </c>
      <c r="AV103" s="36">
        <v>2</v>
      </c>
      <c r="AW103" s="287">
        <v>0.76561136472145697</v>
      </c>
      <c r="AX103" s="288">
        <v>0.25520378824048601</v>
      </c>
      <c r="AZ103" s="39">
        <v>18</v>
      </c>
      <c r="BA103" s="105">
        <v>3</v>
      </c>
      <c r="BB103" s="100">
        <v>2</v>
      </c>
      <c r="BC103" s="100">
        <v>2</v>
      </c>
      <c r="BD103" s="100">
        <v>4</v>
      </c>
      <c r="BE103" s="100">
        <v>37</v>
      </c>
      <c r="BF103" s="100">
        <v>3</v>
      </c>
      <c r="BG103" s="100">
        <v>1</v>
      </c>
      <c r="BH103" s="341">
        <v>0.25228489901564499</v>
      </c>
      <c r="BI103" s="341">
        <v>0.25228489901564499</v>
      </c>
      <c r="BJ103" s="342">
        <v>8.4094966338548294E-2</v>
      </c>
    </row>
    <row r="104" spans="3:62" s="3" customFormat="1" ht="18" customHeight="1" x14ac:dyDescent="0.2">
      <c r="C104" s="39">
        <v>20</v>
      </c>
      <c r="D104" s="263">
        <v>0.151506615742831</v>
      </c>
      <c r="F104" s="39">
        <v>20</v>
      </c>
      <c r="G104" s="39">
        <v>9</v>
      </c>
      <c r="H104" s="39">
        <v>3</v>
      </c>
      <c r="I104" s="39">
        <v>1</v>
      </c>
      <c r="K104" s="39">
        <v>20</v>
      </c>
      <c r="L104" s="39">
        <v>9</v>
      </c>
      <c r="M104" s="39">
        <v>3</v>
      </c>
      <c r="N104" s="263">
        <v>2.2254124055774802E-11</v>
      </c>
      <c r="Q104" s="39">
        <v>20</v>
      </c>
      <c r="R104" s="263">
        <v>2.2254124055774802E-11</v>
      </c>
      <c r="T104" s="345"/>
      <c r="U104" s="355">
        <v>19</v>
      </c>
      <c r="V104" s="339">
        <v>0.9804543417674062</v>
      </c>
      <c r="W104" s="340">
        <v>0.252298528408337</v>
      </c>
      <c r="X104" s="340">
        <v>1.2429699352082999E-11</v>
      </c>
      <c r="Y104" s="356">
        <v>1.35678440387506E-11</v>
      </c>
      <c r="Z104" s="346"/>
      <c r="AA104" s="39">
        <v>19</v>
      </c>
      <c r="AB104" s="35">
        <v>1</v>
      </c>
      <c r="AC104" s="36">
        <v>7</v>
      </c>
      <c r="AD104" s="36">
        <v>4</v>
      </c>
      <c r="AE104" s="36">
        <v>5</v>
      </c>
      <c r="AF104" s="36">
        <v>3</v>
      </c>
      <c r="AG104" s="288">
        <v>0.44181326492267398</v>
      </c>
      <c r="AI104" s="39">
        <v>19</v>
      </c>
      <c r="AJ104" s="35">
        <v>3</v>
      </c>
      <c r="AK104" s="36">
        <v>6</v>
      </c>
      <c r="AL104" s="36">
        <v>1</v>
      </c>
      <c r="AM104" s="36">
        <v>3</v>
      </c>
      <c r="AN104" s="36">
        <v>2</v>
      </c>
      <c r="AO104" s="288">
        <v>0.75745297263643896</v>
      </c>
      <c r="AQ104" s="39">
        <v>19</v>
      </c>
      <c r="AR104" s="35">
        <v>3</v>
      </c>
      <c r="AS104" s="36">
        <v>6</v>
      </c>
      <c r="AT104" s="36">
        <v>1</v>
      </c>
      <c r="AU104" s="36">
        <v>3</v>
      </c>
      <c r="AV104" s="36">
        <v>2</v>
      </c>
      <c r="AW104" s="287">
        <v>0.76502080312954102</v>
      </c>
      <c r="AX104" s="288">
        <v>0.25500693437651401</v>
      </c>
      <c r="AZ104" s="39">
        <v>19</v>
      </c>
      <c r="BA104" s="105">
        <v>3</v>
      </c>
      <c r="BB104" s="100">
        <v>4</v>
      </c>
      <c r="BC104" s="100">
        <v>1</v>
      </c>
      <c r="BD104" s="100">
        <v>4</v>
      </c>
      <c r="BE104" s="100">
        <v>37</v>
      </c>
      <c r="BF104" s="100">
        <v>3</v>
      </c>
      <c r="BG104" s="100">
        <v>1</v>
      </c>
      <c r="BH104" s="341">
        <v>0.98039631933014404</v>
      </c>
      <c r="BI104" s="341">
        <v>0.98039631933014404</v>
      </c>
      <c r="BJ104" s="342">
        <v>0.32679877311004801</v>
      </c>
    </row>
    <row r="105" spans="3:62" s="3" customFormat="1" ht="18" customHeight="1" x14ac:dyDescent="0.2">
      <c r="C105" s="39">
        <v>21</v>
      </c>
      <c r="D105" s="263">
        <v>0.151897070287493</v>
      </c>
      <c r="F105" s="39">
        <v>21</v>
      </c>
      <c r="G105" s="39">
        <v>9</v>
      </c>
      <c r="H105" s="39">
        <v>4</v>
      </c>
      <c r="I105" s="39">
        <v>1</v>
      </c>
      <c r="K105" s="39">
        <v>21</v>
      </c>
      <c r="L105" s="39">
        <v>9</v>
      </c>
      <c r="M105" s="39">
        <v>4</v>
      </c>
      <c r="N105" s="263">
        <v>2.2334449448667099E-11</v>
      </c>
      <c r="Q105" s="39">
        <v>21</v>
      </c>
      <c r="R105" s="263">
        <v>2.2334449448667099E-11</v>
      </c>
      <c r="T105" s="345"/>
      <c r="U105" s="355">
        <v>20</v>
      </c>
      <c r="V105" s="339">
        <v>0.9803077124528462</v>
      </c>
      <c r="W105" s="340">
        <v>0.25228376818285497</v>
      </c>
      <c r="X105" s="340">
        <v>1.60339610750615E-11</v>
      </c>
      <c r="Y105" s="356">
        <v>1.88986911489923E-11</v>
      </c>
      <c r="Z105" s="346"/>
      <c r="AA105" s="39">
        <v>20</v>
      </c>
      <c r="AB105" s="35">
        <v>1</v>
      </c>
      <c r="AC105" s="36">
        <v>7</v>
      </c>
      <c r="AD105" s="36">
        <v>4</v>
      </c>
      <c r="AE105" s="36">
        <v>5</v>
      </c>
      <c r="AF105" s="36">
        <v>4</v>
      </c>
      <c r="AG105" s="288">
        <v>0.42615429114960202</v>
      </c>
      <c r="AI105" s="39">
        <v>20</v>
      </c>
      <c r="AJ105" s="35">
        <v>3</v>
      </c>
      <c r="AK105" s="36">
        <v>7</v>
      </c>
      <c r="AL105" s="36">
        <v>1</v>
      </c>
      <c r="AM105" s="36">
        <v>3</v>
      </c>
      <c r="AN105" s="36">
        <v>2</v>
      </c>
      <c r="AO105" s="288">
        <v>0.75695631530748009</v>
      </c>
      <c r="AQ105" s="39">
        <v>20</v>
      </c>
      <c r="AR105" s="35">
        <v>3</v>
      </c>
      <c r="AS105" s="36">
        <v>7</v>
      </c>
      <c r="AT105" s="36">
        <v>1</v>
      </c>
      <c r="AU105" s="36">
        <v>3</v>
      </c>
      <c r="AV105" s="36">
        <v>2</v>
      </c>
      <c r="AW105" s="287">
        <v>0.76604625992245701</v>
      </c>
      <c r="AX105" s="288">
        <v>0.25534875330748602</v>
      </c>
      <c r="AZ105" s="39">
        <v>20</v>
      </c>
      <c r="BA105" s="105">
        <v>3</v>
      </c>
      <c r="BB105" s="100">
        <v>4</v>
      </c>
      <c r="BC105" s="100">
        <v>2</v>
      </c>
      <c r="BD105" s="100">
        <v>4</v>
      </c>
      <c r="BE105" s="100">
        <v>37</v>
      </c>
      <c r="BF105" s="100">
        <v>3</v>
      </c>
      <c r="BG105" s="100">
        <v>1</v>
      </c>
      <c r="BH105" s="341">
        <v>0.25229277655773802</v>
      </c>
      <c r="BI105" s="341">
        <v>0.25229277655773802</v>
      </c>
      <c r="BJ105" s="342">
        <v>8.4097592185912798E-2</v>
      </c>
    </row>
    <row r="106" spans="3:62" s="3" customFormat="1" ht="18" customHeight="1" x14ac:dyDescent="0.2">
      <c r="C106" s="39">
        <v>22</v>
      </c>
      <c r="D106" s="263">
        <v>0.15086350144785399</v>
      </c>
      <c r="F106" s="39">
        <v>22</v>
      </c>
      <c r="G106" s="39">
        <v>10</v>
      </c>
      <c r="H106" s="39">
        <v>2</v>
      </c>
      <c r="I106" s="39">
        <v>1</v>
      </c>
      <c r="K106" s="39">
        <v>22</v>
      </c>
      <c r="L106" s="39">
        <v>10</v>
      </c>
      <c r="M106" s="39">
        <v>2</v>
      </c>
      <c r="N106" s="263">
        <v>0.76625788750836121</v>
      </c>
      <c r="Q106" s="39">
        <v>22</v>
      </c>
      <c r="R106" s="263">
        <v>0.76625788750836121</v>
      </c>
      <c r="T106" s="345"/>
      <c r="U106" s="355">
        <v>21</v>
      </c>
      <c r="V106" s="339">
        <v>0.98046559180968684</v>
      </c>
      <c r="W106" s="340">
        <v>0.25229948466874708</v>
      </c>
      <c r="X106" s="340">
        <v>1.220673172567E-11</v>
      </c>
      <c r="Y106" s="356">
        <v>1.32068052525088E-11</v>
      </c>
      <c r="Z106" s="346"/>
      <c r="AA106" s="39">
        <v>21</v>
      </c>
      <c r="AB106" s="35">
        <v>1</v>
      </c>
      <c r="AC106" s="36">
        <v>9</v>
      </c>
      <c r="AD106" s="36">
        <v>4</v>
      </c>
      <c r="AE106" s="36">
        <v>5</v>
      </c>
      <c r="AF106" s="36">
        <v>1</v>
      </c>
      <c r="AG106" s="288">
        <v>0</v>
      </c>
      <c r="AI106" s="39">
        <v>21</v>
      </c>
      <c r="AJ106" s="35">
        <v>3</v>
      </c>
      <c r="AK106" s="36">
        <v>9</v>
      </c>
      <c r="AL106" s="36">
        <v>1</v>
      </c>
      <c r="AM106" s="36">
        <v>3</v>
      </c>
      <c r="AN106" s="36">
        <v>2</v>
      </c>
      <c r="AO106" s="288">
        <v>0.75688012195091514</v>
      </c>
      <c r="AQ106" s="39">
        <v>21</v>
      </c>
      <c r="AR106" s="35">
        <v>3</v>
      </c>
      <c r="AS106" s="36">
        <v>9</v>
      </c>
      <c r="AT106" s="36">
        <v>1</v>
      </c>
      <c r="AU106" s="36">
        <v>3</v>
      </c>
      <c r="AV106" s="36">
        <v>2</v>
      </c>
      <c r="AW106" s="287">
        <v>0.76333304271554314</v>
      </c>
      <c r="AX106" s="288">
        <v>0.25444434757184797</v>
      </c>
      <c r="AZ106" s="39">
        <v>21</v>
      </c>
      <c r="BA106" s="105">
        <v>3</v>
      </c>
      <c r="BB106" s="100">
        <v>5</v>
      </c>
      <c r="BC106" s="100">
        <v>1</v>
      </c>
      <c r="BD106" s="100">
        <v>4</v>
      </c>
      <c r="BE106" s="100">
        <v>37</v>
      </c>
      <c r="BF106" s="100">
        <v>3</v>
      </c>
      <c r="BG106" s="100">
        <v>1</v>
      </c>
      <c r="BH106" s="341">
        <v>0.9804543417674062</v>
      </c>
      <c r="BI106" s="341">
        <v>0.9804543417674062</v>
      </c>
      <c r="BJ106" s="342">
        <v>0.32681811392246901</v>
      </c>
    </row>
    <row r="107" spans="3:62" s="3" customFormat="1" ht="18" customHeight="1" x14ac:dyDescent="0.2">
      <c r="C107" s="39">
        <v>23</v>
      </c>
      <c r="D107" s="263">
        <v>0.52102219263578409</v>
      </c>
      <c r="F107" s="39">
        <v>23</v>
      </c>
      <c r="G107" s="39">
        <v>10</v>
      </c>
      <c r="H107" s="39">
        <v>3</v>
      </c>
      <c r="I107" s="39">
        <v>1</v>
      </c>
      <c r="K107" s="39">
        <v>23</v>
      </c>
      <c r="L107" s="39">
        <v>10</v>
      </c>
      <c r="M107" s="39">
        <v>3</v>
      </c>
      <c r="N107" s="263">
        <v>2.0066214951905801E-11</v>
      </c>
      <c r="Q107" s="39">
        <v>23</v>
      </c>
      <c r="R107" s="263">
        <v>2.0066214951905801E-11</v>
      </c>
      <c r="T107" s="345"/>
      <c r="U107" s="355">
        <v>22</v>
      </c>
      <c r="V107" s="339">
        <v>0.98004789554221206</v>
      </c>
      <c r="W107" s="340">
        <v>0.25225808973959801</v>
      </c>
      <c r="X107" s="340">
        <v>2.0742617707249101E-11</v>
      </c>
      <c r="Y107" s="356">
        <v>2.2558246499414101E-11</v>
      </c>
      <c r="Z107" s="346"/>
      <c r="AA107" s="39">
        <v>22</v>
      </c>
      <c r="AB107" s="35">
        <v>1</v>
      </c>
      <c r="AC107" s="36">
        <v>9</v>
      </c>
      <c r="AD107" s="36">
        <v>4</v>
      </c>
      <c r="AE107" s="36">
        <v>5</v>
      </c>
      <c r="AF107" s="36">
        <v>2</v>
      </c>
      <c r="AG107" s="288">
        <v>0</v>
      </c>
      <c r="AI107" s="39">
        <v>22</v>
      </c>
      <c r="AJ107" s="35">
        <v>4</v>
      </c>
      <c r="AK107" s="36">
        <v>1</v>
      </c>
      <c r="AL107" s="36">
        <v>37</v>
      </c>
      <c r="AM107" s="36">
        <v>1</v>
      </c>
      <c r="AN107" s="36">
        <v>1</v>
      </c>
      <c r="AO107" s="288">
        <v>0.98439713699792408</v>
      </c>
      <c r="AQ107" s="39">
        <v>22</v>
      </c>
      <c r="AR107" s="35">
        <v>4</v>
      </c>
      <c r="AS107" s="36">
        <v>1</v>
      </c>
      <c r="AT107" s="36">
        <v>37</v>
      </c>
      <c r="AU107" s="36">
        <v>1</v>
      </c>
      <c r="AV107" s="36">
        <v>1</v>
      </c>
      <c r="AW107" s="287">
        <v>0.98049828467440403</v>
      </c>
      <c r="AX107" s="288">
        <v>0.98049828467440403</v>
      </c>
      <c r="AZ107" s="39">
        <v>22</v>
      </c>
      <c r="BA107" s="105">
        <v>3</v>
      </c>
      <c r="BB107" s="100">
        <v>5</v>
      </c>
      <c r="BC107" s="100">
        <v>2</v>
      </c>
      <c r="BD107" s="100">
        <v>4</v>
      </c>
      <c r="BE107" s="100">
        <v>37</v>
      </c>
      <c r="BF107" s="100">
        <v>3</v>
      </c>
      <c r="BG107" s="100">
        <v>1</v>
      </c>
      <c r="BH107" s="341">
        <v>0.252298528408337</v>
      </c>
      <c r="BI107" s="341">
        <v>0.252298528408337</v>
      </c>
      <c r="BJ107" s="342">
        <v>8.4099509469445805E-2</v>
      </c>
    </row>
    <row r="108" spans="3:62" s="3" customFormat="1" ht="18" customHeight="1" x14ac:dyDescent="0.2">
      <c r="C108" s="39">
        <v>24</v>
      </c>
      <c r="D108" s="263">
        <v>0.51969328898200406</v>
      </c>
      <c r="F108" s="39">
        <v>24</v>
      </c>
      <c r="G108" s="39">
        <v>10</v>
      </c>
      <c r="H108" s="39">
        <v>4</v>
      </c>
      <c r="I108" s="39">
        <v>1</v>
      </c>
      <c r="K108" s="39">
        <v>24</v>
      </c>
      <c r="L108" s="39">
        <v>10</v>
      </c>
      <c r="M108" s="39">
        <v>4</v>
      </c>
      <c r="N108" s="263">
        <v>1.9386870508074601E-11</v>
      </c>
      <c r="Q108" s="39">
        <v>24</v>
      </c>
      <c r="R108" s="263">
        <v>1.9386870508074601E-11</v>
      </c>
      <c r="T108" s="345"/>
      <c r="U108" s="355">
        <v>23</v>
      </c>
      <c r="V108" s="339">
        <v>1.1561708859108999</v>
      </c>
      <c r="W108" s="340">
        <v>0.26792270686531999</v>
      </c>
      <c r="X108" s="340">
        <v>9.0414060426273902E-12</v>
      </c>
      <c r="Y108" s="356">
        <v>4.5563802634982E-12</v>
      </c>
      <c r="Z108" s="346"/>
      <c r="AA108" s="39">
        <v>23</v>
      </c>
      <c r="AB108" s="35">
        <v>1</v>
      </c>
      <c r="AC108" s="36">
        <v>9</v>
      </c>
      <c r="AD108" s="36">
        <v>4</v>
      </c>
      <c r="AE108" s="36">
        <v>5</v>
      </c>
      <c r="AF108" s="36">
        <v>3</v>
      </c>
      <c r="AG108" s="288">
        <v>0.43914822716481411</v>
      </c>
      <c r="AI108" s="39">
        <v>23</v>
      </c>
      <c r="AJ108" s="35">
        <v>4</v>
      </c>
      <c r="AK108" s="36">
        <v>1</v>
      </c>
      <c r="AL108" s="36">
        <v>37</v>
      </c>
      <c r="AM108" s="36">
        <v>1</v>
      </c>
      <c r="AN108" s="36">
        <v>2</v>
      </c>
      <c r="AO108" s="288">
        <v>0.25609499324995999</v>
      </c>
      <c r="AQ108" s="39">
        <v>23</v>
      </c>
      <c r="AR108" s="35">
        <v>4</v>
      </c>
      <c r="AS108" s="36">
        <v>1</v>
      </c>
      <c r="AT108" s="36">
        <v>37</v>
      </c>
      <c r="AU108" s="36">
        <v>1</v>
      </c>
      <c r="AV108" s="36">
        <v>2</v>
      </c>
      <c r="AW108" s="287">
        <v>0.25230264681138898</v>
      </c>
      <c r="AX108" s="288">
        <v>0.25230264681138898</v>
      </c>
      <c r="AZ108" s="39">
        <v>23</v>
      </c>
      <c r="BA108" s="105">
        <v>3</v>
      </c>
      <c r="BB108" s="100">
        <v>6</v>
      </c>
      <c r="BC108" s="100">
        <v>1</v>
      </c>
      <c r="BD108" s="100">
        <v>4</v>
      </c>
      <c r="BE108" s="100">
        <v>37</v>
      </c>
      <c r="BF108" s="100">
        <v>3</v>
      </c>
      <c r="BG108" s="100">
        <v>1</v>
      </c>
      <c r="BH108" s="341">
        <v>0.9803077124528462</v>
      </c>
      <c r="BI108" s="341">
        <v>0.9803077124528462</v>
      </c>
      <c r="BJ108" s="342">
        <v>0.32676923748428199</v>
      </c>
    </row>
    <row r="109" spans="3:62" s="3" customFormat="1" ht="18" customHeight="1" x14ac:dyDescent="0.2">
      <c r="C109" s="39">
        <v>25</v>
      </c>
      <c r="D109" s="263">
        <v>0.52028384047419896</v>
      </c>
      <c r="F109" s="39">
        <v>25</v>
      </c>
      <c r="G109" s="39">
        <v>11</v>
      </c>
      <c r="H109" s="39">
        <v>2</v>
      </c>
      <c r="I109" s="39">
        <v>1</v>
      </c>
      <c r="K109" s="39">
        <v>25</v>
      </c>
      <c r="L109" s="39">
        <v>11</v>
      </c>
      <c r="M109" s="39">
        <v>2</v>
      </c>
      <c r="N109" s="263">
        <v>0.76509442406556405</v>
      </c>
      <c r="Q109" s="39">
        <v>25</v>
      </c>
      <c r="R109" s="263">
        <v>0.76509442406556405</v>
      </c>
      <c r="T109" s="345"/>
      <c r="U109" s="355">
        <v>24</v>
      </c>
      <c r="V109" s="339">
        <v>1.15544411216623</v>
      </c>
      <c r="W109" s="340">
        <v>0.26786428426466402</v>
      </c>
      <c r="X109" s="340">
        <v>2.2125402056987E-11</v>
      </c>
      <c r="Y109" s="356">
        <v>2.0776655081091601E-11</v>
      </c>
      <c r="Z109" s="346"/>
      <c r="AA109" s="39">
        <v>24</v>
      </c>
      <c r="AB109" s="35">
        <v>1</v>
      </c>
      <c r="AC109" s="36">
        <v>9</v>
      </c>
      <c r="AD109" s="36">
        <v>4</v>
      </c>
      <c r="AE109" s="36">
        <v>5</v>
      </c>
      <c r="AF109" s="36">
        <v>4</v>
      </c>
      <c r="AG109" s="288">
        <v>0.42365149080919912</v>
      </c>
      <c r="AI109" s="39">
        <v>24</v>
      </c>
      <c r="AJ109" s="35">
        <v>4</v>
      </c>
      <c r="AK109" s="36">
        <v>2</v>
      </c>
      <c r="AL109" s="36">
        <v>37</v>
      </c>
      <c r="AM109" s="36">
        <v>1</v>
      </c>
      <c r="AN109" s="36">
        <v>1</v>
      </c>
      <c r="AO109" s="288">
        <v>0.98429086890834716</v>
      </c>
      <c r="AQ109" s="39">
        <v>24</v>
      </c>
      <c r="AR109" s="35">
        <v>4</v>
      </c>
      <c r="AS109" s="36">
        <v>2</v>
      </c>
      <c r="AT109" s="36">
        <v>37</v>
      </c>
      <c r="AU109" s="36">
        <v>1</v>
      </c>
      <c r="AV109" s="36">
        <v>1</v>
      </c>
      <c r="AW109" s="287">
        <v>0.98031905363266003</v>
      </c>
      <c r="AX109" s="288">
        <v>0.98031905363266003</v>
      </c>
      <c r="AZ109" s="39">
        <v>24</v>
      </c>
      <c r="BA109" s="105">
        <v>3</v>
      </c>
      <c r="BB109" s="100">
        <v>6</v>
      </c>
      <c r="BC109" s="100">
        <v>2</v>
      </c>
      <c r="BD109" s="100">
        <v>4</v>
      </c>
      <c r="BE109" s="100">
        <v>37</v>
      </c>
      <c r="BF109" s="100">
        <v>3</v>
      </c>
      <c r="BG109" s="100">
        <v>1</v>
      </c>
      <c r="BH109" s="341">
        <v>0.25228376818285497</v>
      </c>
      <c r="BI109" s="341">
        <v>0.25228376818285497</v>
      </c>
      <c r="BJ109" s="342">
        <v>8.4094589394285199E-2</v>
      </c>
    </row>
    <row r="110" spans="3:62" s="3" customFormat="1" ht="18" customHeight="1" x14ac:dyDescent="0.2">
      <c r="C110" s="39">
        <v>26</v>
      </c>
      <c r="D110" s="263">
        <v>0.51960917093421499</v>
      </c>
      <c r="F110" s="39">
        <v>26</v>
      </c>
      <c r="G110" s="39">
        <v>11</v>
      </c>
      <c r="H110" s="39">
        <v>3</v>
      </c>
      <c r="I110" s="39">
        <v>1</v>
      </c>
      <c r="K110" s="39">
        <v>26</v>
      </c>
      <c r="L110" s="39">
        <v>11</v>
      </c>
      <c r="M110" s="39">
        <v>3</v>
      </c>
      <c r="N110" s="263">
        <v>4.2122832816034997E-12</v>
      </c>
      <c r="Q110" s="39">
        <v>26</v>
      </c>
      <c r="R110" s="263">
        <v>4.2122832816034997E-12</v>
      </c>
      <c r="T110" s="345"/>
      <c r="U110" s="355">
        <v>25</v>
      </c>
      <c r="V110" s="339">
        <v>1.1557667807034799</v>
      </c>
      <c r="W110" s="340">
        <v>0.26789024601560107</v>
      </c>
      <c r="X110" s="340">
        <v>1.5458717657490601E-11</v>
      </c>
      <c r="Y110" s="356">
        <v>1.32082725780158E-11</v>
      </c>
      <c r="Z110" s="346"/>
      <c r="AA110" s="39">
        <v>25</v>
      </c>
      <c r="AB110" s="35">
        <v>2</v>
      </c>
      <c r="AC110" s="36">
        <v>4</v>
      </c>
      <c r="AD110" s="36">
        <v>1</v>
      </c>
      <c r="AE110" s="36">
        <v>1</v>
      </c>
      <c r="AF110" s="36">
        <v>1</v>
      </c>
      <c r="AG110" s="288">
        <v>0</v>
      </c>
      <c r="AI110" s="39">
        <v>25</v>
      </c>
      <c r="AJ110" s="35">
        <v>4</v>
      </c>
      <c r="AK110" s="36">
        <v>2</v>
      </c>
      <c r="AL110" s="36">
        <v>37</v>
      </c>
      <c r="AM110" s="36">
        <v>1</v>
      </c>
      <c r="AN110" s="36">
        <v>2</v>
      </c>
      <c r="AO110" s="288">
        <v>0.25608404644154897</v>
      </c>
      <c r="AQ110" s="39">
        <v>25</v>
      </c>
      <c r="AR110" s="35">
        <v>4</v>
      </c>
      <c r="AS110" s="36">
        <v>2</v>
      </c>
      <c r="AT110" s="36">
        <v>37</v>
      </c>
      <c r="AU110" s="36">
        <v>1</v>
      </c>
      <c r="AV110" s="36">
        <v>2</v>
      </c>
      <c r="AW110" s="287">
        <v>0.25228489901564499</v>
      </c>
      <c r="AX110" s="288">
        <v>0.25228489901564499</v>
      </c>
      <c r="AZ110" s="39">
        <v>25</v>
      </c>
      <c r="BA110" s="105">
        <v>3</v>
      </c>
      <c r="BB110" s="100">
        <v>7</v>
      </c>
      <c r="BC110" s="100">
        <v>1</v>
      </c>
      <c r="BD110" s="100">
        <v>4</v>
      </c>
      <c r="BE110" s="100">
        <v>37</v>
      </c>
      <c r="BF110" s="100">
        <v>3</v>
      </c>
      <c r="BG110" s="100">
        <v>1</v>
      </c>
      <c r="BH110" s="341">
        <v>0.98046559180968684</v>
      </c>
      <c r="BI110" s="341">
        <v>0.98046559180968684</v>
      </c>
      <c r="BJ110" s="342">
        <v>0.32682186393656198</v>
      </c>
    </row>
    <row r="111" spans="3:62" s="3" customFormat="1" ht="18" customHeight="1" x14ac:dyDescent="0.2">
      <c r="C111" s="39">
        <v>27</v>
      </c>
      <c r="D111" s="263">
        <v>0.520780534567998</v>
      </c>
      <c r="F111" s="39">
        <v>27</v>
      </c>
      <c r="G111" s="39">
        <v>11</v>
      </c>
      <c r="H111" s="39">
        <v>4</v>
      </c>
      <c r="I111" s="39">
        <v>1</v>
      </c>
      <c r="K111" s="39">
        <v>27</v>
      </c>
      <c r="L111" s="39">
        <v>11</v>
      </c>
      <c r="M111" s="39">
        <v>4</v>
      </c>
      <c r="N111" s="263">
        <v>2.6852184198509001E-12</v>
      </c>
      <c r="Q111" s="39">
        <v>27</v>
      </c>
      <c r="R111" s="263">
        <v>2.6852184198509001E-12</v>
      </c>
      <c r="T111" s="345"/>
      <c r="U111" s="355">
        <v>26</v>
      </c>
      <c r="V111" s="339">
        <v>1.1553976955596601</v>
      </c>
      <c r="W111" s="340">
        <v>0.26786058692055098</v>
      </c>
      <c r="X111" s="340">
        <v>2.2461341496236501E-11</v>
      </c>
      <c r="Y111" s="356">
        <v>2.1461235099005501E-11</v>
      </c>
      <c r="Z111" s="346"/>
      <c r="AA111" s="39">
        <v>26</v>
      </c>
      <c r="AB111" s="35">
        <v>2</v>
      </c>
      <c r="AC111" s="36">
        <v>4</v>
      </c>
      <c r="AD111" s="36">
        <v>1</v>
      </c>
      <c r="AE111" s="36">
        <v>1</v>
      </c>
      <c r="AF111" s="36">
        <v>2</v>
      </c>
      <c r="AG111" s="288">
        <v>0.58807242538184712</v>
      </c>
      <c r="AI111" s="39">
        <v>26</v>
      </c>
      <c r="AJ111" s="35">
        <v>4</v>
      </c>
      <c r="AK111" s="36">
        <v>4</v>
      </c>
      <c r="AL111" s="36">
        <v>37</v>
      </c>
      <c r="AM111" s="36">
        <v>1</v>
      </c>
      <c r="AN111" s="36">
        <v>1</v>
      </c>
      <c r="AO111" s="288">
        <v>0.98432795553284713</v>
      </c>
      <c r="AQ111" s="39">
        <v>26</v>
      </c>
      <c r="AR111" s="35">
        <v>4</v>
      </c>
      <c r="AS111" s="36">
        <v>4</v>
      </c>
      <c r="AT111" s="36">
        <v>37</v>
      </c>
      <c r="AU111" s="36">
        <v>1</v>
      </c>
      <c r="AV111" s="36">
        <v>1</v>
      </c>
      <c r="AW111" s="287">
        <v>0.98039631933014404</v>
      </c>
      <c r="AX111" s="288">
        <v>0.98039631933014404</v>
      </c>
      <c r="AZ111" s="39">
        <v>26</v>
      </c>
      <c r="BA111" s="105">
        <v>3</v>
      </c>
      <c r="BB111" s="100">
        <v>7</v>
      </c>
      <c r="BC111" s="100">
        <v>2</v>
      </c>
      <c r="BD111" s="100">
        <v>4</v>
      </c>
      <c r="BE111" s="100">
        <v>37</v>
      </c>
      <c r="BF111" s="100">
        <v>3</v>
      </c>
      <c r="BG111" s="100">
        <v>1</v>
      </c>
      <c r="BH111" s="341">
        <v>0.25229948466874708</v>
      </c>
      <c r="BI111" s="341">
        <v>0.25229948466874708</v>
      </c>
      <c r="BJ111" s="342">
        <v>8.4099828222915604E-2</v>
      </c>
    </row>
    <row r="112" spans="3:62" s="3" customFormat="1" ht="18" customHeight="1" x14ac:dyDescent="0.2">
      <c r="C112" s="39">
        <v>28</v>
      </c>
      <c r="D112" s="263">
        <v>0.51767982804977808</v>
      </c>
      <c r="F112" s="39">
        <v>28</v>
      </c>
      <c r="G112" s="39">
        <v>12</v>
      </c>
      <c r="H112" s="39">
        <v>2</v>
      </c>
      <c r="I112" s="39">
        <v>1</v>
      </c>
      <c r="K112" s="39">
        <v>28</v>
      </c>
      <c r="L112" s="39">
        <v>12</v>
      </c>
      <c r="M112" s="39">
        <v>2</v>
      </c>
      <c r="N112" s="263">
        <v>0.76561136472145697</v>
      </c>
      <c r="Q112" s="39">
        <v>28</v>
      </c>
      <c r="R112" s="263">
        <v>0.76561136472145697</v>
      </c>
      <c r="T112" s="345"/>
      <c r="U112" s="355">
        <v>27</v>
      </c>
      <c r="V112" s="339">
        <v>1.15603861153507</v>
      </c>
      <c r="W112" s="340">
        <v>0.26791208259459098</v>
      </c>
      <c r="X112" s="340">
        <v>9.9916267899971194E-12</v>
      </c>
      <c r="Y112" s="356">
        <v>6.7248703331193698E-12</v>
      </c>
      <c r="Z112" s="346"/>
      <c r="AA112" s="39">
        <v>27</v>
      </c>
      <c r="AB112" s="35">
        <v>2</v>
      </c>
      <c r="AC112" s="36">
        <v>4</v>
      </c>
      <c r="AD112" s="36">
        <v>1</v>
      </c>
      <c r="AE112" s="36">
        <v>1</v>
      </c>
      <c r="AF112" s="36">
        <v>3</v>
      </c>
      <c r="AG112" s="288">
        <v>2.2295174927650699E-11</v>
      </c>
      <c r="AI112" s="39">
        <v>27</v>
      </c>
      <c r="AJ112" s="35">
        <v>4</v>
      </c>
      <c r="AK112" s="36">
        <v>4</v>
      </c>
      <c r="AL112" s="36">
        <v>37</v>
      </c>
      <c r="AM112" s="36">
        <v>1</v>
      </c>
      <c r="AN112" s="36">
        <v>2</v>
      </c>
      <c r="AO112" s="288">
        <v>0.25608780591374097</v>
      </c>
      <c r="AQ112" s="39">
        <v>27</v>
      </c>
      <c r="AR112" s="35">
        <v>4</v>
      </c>
      <c r="AS112" s="36">
        <v>4</v>
      </c>
      <c r="AT112" s="36">
        <v>37</v>
      </c>
      <c r="AU112" s="36">
        <v>1</v>
      </c>
      <c r="AV112" s="36">
        <v>2</v>
      </c>
      <c r="AW112" s="287">
        <v>0.25229277655773802</v>
      </c>
      <c r="AX112" s="288">
        <v>0.25229277655773802</v>
      </c>
      <c r="AZ112" s="39">
        <v>27</v>
      </c>
      <c r="BA112" s="105">
        <v>3</v>
      </c>
      <c r="BB112" s="100">
        <v>9</v>
      </c>
      <c r="BC112" s="100">
        <v>1</v>
      </c>
      <c r="BD112" s="100">
        <v>4</v>
      </c>
      <c r="BE112" s="100">
        <v>37</v>
      </c>
      <c r="BF112" s="100">
        <v>3</v>
      </c>
      <c r="BG112" s="100">
        <v>1</v>
      </c>
      <c r="BH112" s="341">
        <v>0.98004789554221206</v>
      </c>
      <c r="BI112" s="341">
        <v>0.98004789554221206</v>
      </c>
      <c r="BJ112" s="342">
        <v>0.32668263184740398</v>
      </c>
    </row>
    <row r="113" spans="3:62" s="3" customFormat="1" ht="18" customHeight="1" x14ac:dyDescent="0.2">
      <c r="C113" s="39">
        <v>29</v>
      </c>
      <c r="D113" s="263">
        <v>1.43774500535317</v>
      </c>
      <c r="F113" s="39">
        <v>29</v>
      </c>
      <c r="G113" s="39">
        <v>12</v>
      </c>
      <c r="H113" s="39">
        <v>3</v>
      </c>
      <c r="I113" s="39">
        <v>1</v>
      </c>
      <c r="K113" s="39">
        <v>29</v>
      </c>
      <c r="L113" s="39">
        <v>12</v>
      </c>
      <c r="M113" s="39">
        <v>3</v>
      </c>
      <c r="N113" s="263">
        <v>3.2303261941632402E-12</v>
      </c>
      <c r="Q113" s="39">
        <v>29</v>
      </c>
      <c r="R113" s="263">
        <v>3.2303261941632402E-12</v>
      </c>
      <c r="T113" s="345"/>
      <c r="U113" s="355">
        <v>28</v>
      </c>
      <c r="V113" s="339">
        <v>1.1543403098235401</v>
      </c>
      <c r="W113" s="340">
        <v>0.267775695335289</v>
      </c>
      <c r="X113" s="340">
        <v>5.3105914221952797E-12</v>
      </c>
      <c r="Y113" s="356">
        <v>9.1368050559770077E-12</v>
      </c>
      <c r="Z113" s="346"/>
      <c r="AA113" s="39">
        <v>28</v>
      </c>
      <c r="AB113" s="35">
        <v>2</v>
      </c>
      <c r="AC113" s="36">
        <v>4</v>
      </c>
      <c r="AD113" s="36">
        <v>1</v>
      </c>
      <c r="AE113" s="36">
        <v>1</v>
      </c>
      <c r="AF113" s="36">
        <v>4</v>
      </c>
      <c r="AG113" s="288">
        <v>1.40283550127494E-11</v>
      </c>
      <c r="AI113" s="39">
        <v>28</v>
      </c>
      <c r="AJ113" s="35">
        <v>4</v>
      </c>
      <c r="AK113" s="36">
        <v>5</v>
      </c>
      <c r="AL113" s="36">
        <v>37</v>
      </c>
      <c r="AM113" s="36">
        <v>1</v>
      </c>
      <c r="AN113" s="36">
        <v>1</v>
      </c>
      <c r="AO113" s="288">
        <v>0.98437855830717802</v>
      </c>
      <c r="AQ113" s="39">
        <v>28</v>
      </c>
      <c r="AR113" s="35">
        <v>4</v>
      </c>
      <c r="AS113" s="36">
        <v>5</v>
      </c>
      <c r="AT113" s="36">
        <v>37</v>
      </c>
      <c r="AU113" s="36">
        <v>1</v>
      </c>
      <c r="AV113" s="36">
        <v>1</v>
      </c>
      <c r="AW113" s="287">
        <v>0.9804543417674062</v>
      </c>
      <c r="AX113" s="288">
        <v>0.9804543417674062</v>
      </c>
      <c r="AZ113" s="39">
        <v>28</v>
      </c>
      <c r="BA113" s="105">
        <v>3</v>
      </c>
      <c r="BB113" s="100">
        <v>9</v>
      </c>
      <c r="BC113" s="100">
        <v>2</v>
      </c>
      <c r="BD113" s="100">
        <v>4</v>
      </c>
      <c r="BE113" s="100">
        <v>37</v>
      </c>
      <c r="BF113" s="100">
        <v>3</v>
      </c>
      <c r="BG113" s="100">
        <v>1</v>
      </c>
      <c r="BH113" s="341">
        <v>0.25225808973959801</v>
      </c>
      <c r="BI113" s="341">
        <v>0.25225808973959801</v>
      </c>
      <c r="BJ113" s="342">
        <v>8.4086029913199495E-2</v>
      </c>
    </row>
    <row r="114" spans="3:62" s="3" customFormat="1" ht="18" customHeight="1" x14ac:dyDescent="0.2">
      <c r="C114" s="39">
        <v>30</v>
      </c>
      <c r="D114" s="263">
        <v>1.43198642285376</v>
      </c>
      <c r="F114" s="39">
        <v>30</v>
      </c>
      <c r="G114" s="39">
        <v>12</v>
      </c>
      <c r="H114" s="39">
        <v>4</v>
      </c>
      <c r="I114" s="39">
        <v>1</v>
      </c>
      <c r="K114" s="39">
        <v>30</v>
      </c>
      <c r="L114" s="39">
        <v>12</v>
      </c>
      <c r="M114" s="39">
        <v>4</v>
      </c>
      <c r="N114" s="263">
        <v>5.6608173733885987E-12</v>
      </c>
      <c r="Q114" s="39">
        <v>30</v>
      </c>
      <c r="R114" s="263">
        <v>5.6608173733885987E-12</v>
      </c>
      <c r="T114" s="345"/>
      <c r="U114" s="355">
        <v>29</v>
      </c>
      <c r="V114" s="339">
        <v>0</v>
      </c>
      <c r="W114" s="340">
        <v>0</v>
      </c>
      <c r="X114" s="340">
        <v>0.73658335852302004</v>
      </c>
      <c r="Y114" s="356">
        <v>0.70116165005735698</v>
      </c>
      <c r="Z114" s="346"/>
      <c r="AA114" s="39">
        <v>29</v>
      </c>
      <c r="AB114" s="35">
        <v>2</v>
      </c>
      <c r="AC114" s="36">
        <v>7</v>
      </c>
      <c r="AD114" s="36">
        <v>1</v>
      </c>
      <c r="AE114" s="36">
        <v>1</v>
      </c>
      <c r="AF114" s="36">
        <v>1</v>
      </c>
      <c r="AG114" s="288">
        <v>0</v>
      </c>
      <c r="AI114" s="39">
        <v>29</v>
      </c>
      <c r="AJ114" s="35">
        <v>4</v>
      </c>
      <c r="AK114" s="36">
        <v>5</v>
      </c>
      <c r="AL114" s="36">
        <v>37</v>
      </c>
      <c r="AM114" s="36">
        <v>1</v>
      </c>
      <c r="AN114" s="36">
        <v>2</v>
      </c>
      <c r="AO114" s="288">
        <v>0.25609294198812299</v>
      </c>
      <c r="AQ114" s="39">
        <v>29</v>
      </c>
      <c r="AR114" s="35">
        <v>4</v>
      </c>
      <c r="AS114" s="36">
        <v>5</v>
      </c>
      <c r="AT114" s="36">
        <v>37</v>
      </c>
      <c r="AU114" s="36">
        <v>1</v>
      </c>
      <c r="AV114" s="36">
        <v>2</v>
      </c>
      <c r="AW114" s="287">
        <v>0.252298528408337</v>
      </c>
      <c r="AX114" s="288">
        <v>0.252298528408337</v>
      </c>
      <c r="AZ114" s="39">
        <v>29</v>
      </c>
      <c r="BA114" s="105">
        <v>4</v>
      </c>
      <c r="BB114" s="100">
        <v>1</v>
      </c>
      <c r="BC114" s="100">
        <v>1</v>
      </c>
      <c r="BD114" s="100">
        <v>6</v>
      </c>
      <c r="BE114" s="100">
        <v>37</v>
      </c>
      <c r="BF114" s="100">
        <v>3</v>
      </c>
      <c r="BG114" s="100">
        <v>3</v>
      </c>
      <c r="BH114" s="341">
        <v>1.1561708859108999</v>
      </c>
      <c r="BI114" s="341">
        <v>0.38539029530363511</v>
      </c>
      <c r="BJ114" s="342">
        <v>0.38539029530363511</v>
      </c>
    </row>
    <row r="115" spans="3:62" s="3" customFormat="1" ht="18" customHeight="1" x14ac:dyDescent="0.2">
      <c r="C115" s="39">
        <v>31</v>
      </c>
      <c r="D115" s="263">
        <v>1.43354706930348</v>
      </c>
      <c r="F115" s="39">
        <v>31</v>
      </c>
      <c r="G115" s="39">
        <v>13</v>
      </c>
      <c r="H115" s="39">
        <v>2</v>
      </c>
      <c r="I115" s="39">
        <v>1</v>
      </c>
      <c r="K115" s="39">
        <v>31</v>
      </c>
      <c r="L115" s="39">
        <v>13</v>
      </c>
      <c r="M115" s="39">
        <v>2</v>
      </c>
      <c r="N115" s="263">
        <v>0.76502080312954102</v>
      </c>
      <c r="Q115" s="39">
        <v>31</v>
      </c>
      <c r="R115" s="263">
        <v>0.76502080312954102</v>
      </c>
      <c r="T115" s="345"/>
      <c r="U115" s="355">
        <v>30</v>
      </c>
      <c r="V115" s="339">
        <v>0</v>
      </c>
      <c r="W115" s="340">
        <v>0</v>
      </c>
      <c r="X115" s="340">
        <v>0.73359669514078096</v>
      </c>
      <c r="Y115" s="356">
        <v>0.69838973156980211</v>
      </c>
      <c r="Z115" s="346"/>
      <c r="AA115" s="39">
        <v>30</v>
      </c>
      <c r="AB115" s="35">
        <v>2</v>
      </c>
      <c r="AC115" s="36">
        <v>7</v>
      </c>
      <c r="AD115" s="36">
        <v>1</v>
      </c>
      <c r="AE115" s="36">
        <v>1</v>
      </c>
      <c r="AF115" s="36">
        <v>2</v>
      </c>
      <c r="AG115" s="288">
        <v>0.58819645715616897</v>
      </c>
      <c r="AI115" s="39">
        <v>30</v>
      </c>
      <c r="AJ115" s="35">
        <v>4</v>
      </c>
      <c r="AK115" s="36">
        <v>6</v>
      </c>
      <c r="AL115" s="36">
        <v>37</v>
      </c>
      <c r="AM115" s="36">
        <v>1</v>
      </c>
      <c r="AN115" s="36">
        <v>1</v>
      </c>
      <c r="AO115" s="288">
        <v>0.98440467573869606</v>
      </c>
      <c r="AQ115" s="39">
        <v>30</v>
      </c>
      <c r="AR115" s="35">
        <v>4</v>
      </c>
      <c r="AS115" s="36">
        <v>6</v>
      </c>
      <c r="AT115" s="36">
        <v>37</v>
      </c>
      <c r="AU115" s="36">
        <v>1</v>
      </c>
      <c r="AV115" s="36">
        <v>1</v>
      </c>
      <c r="AW115" s="287">
        <v>0.9803077124528462</v>
      </c>
      <c r="AX115" s="288">
        <v>0.9803077124528462</v>
      </c>
      <c r="AZ115" s="39">
        <v>30</v>
      </c>
      <c r="BA115" s="105">
        <v>4</v>
      </c>
      <c r="BB115" s="100">
        <v>1</v>
      </c>
      <c r="BC115" s="100">
        <v>2</v>
      </c>
      <c r="BD115" s="100">
        <v>6</v>
      </c>
      <c r="BE115" s="100">
        <v>37</v>
      </c>
      <c r="BF115" s="100">
        <v>3</v>
      </c>
      <c r="BG115" s="100">
        <v>3</v>
      </c>
      <c r="BH115" s="341">
        <v>0.26792270686531999</v>
      </c>
      <c r="BI115" s="341">
        <v>8.9307568955106706E-2</v>
      </c>
      <c r="BJ115" s="342">
        <v>8.9307568955106706E-2</v>
      </c>
    </row>
    <row r="116" spans="3:62" s="3" customFormat="1" ht="18" customHeight="1" x14ac:dyDescent="0.2">
      <c r="C116" s="39">
        <v>32</v>
      </c>
      <c r="D116" s="263">
        <v>1.4345454793199399</v>
      </c>
      <c r="F116" s="39">
        <v>32</v>
      </c>
      <c r="G116" s="39">
        <v>13</v>
      </c>
      <c r="H116" s="39">
        <v>3</v>
      </c>
      <c r="I116" s="39">
        <v>1</v>
      </c>
      <c r="K116" s="39">
        <v>32</v>
      </c>
      <c r="L116" s="39">
        <v>13</v>
      </c>
      <c r="M116" s="39">
        <v>3</v>
      </c>
      <c r="N116" s="263">
        <v>1.0210927130530101E-11</v>
      </c>
      <c r="Q116" s="39">
        <v>32</v>
      </c>
      <c r="R116" s="263">
        <v>1.0210927130530101E-11</v>
      </c>
      <c r="T116" s="345"/>
      <c r="U116" s="355">
        <v>31</v>
      </c>
      <c r="V116" s="339">
        <v>0</v>
      </c>
      <c r="W116" s="340">
        <v>0</v>
      </c>
      <c r="X116" s="340">
        <v>0.73440610522350103</v>
      </c>
      <c r="Y116" s="356">
        <v>0.69914096842863416</v>
      </c>
      <c r="Z116" s="346"/>
      <c r="AA116" s="39">
        <v>31</v>
      </c>
      <c r="AB116" s="35">
        <v>2</v>
      </c>
      <c r="AC116" s="36">
        <v>7</v>
      </c>
      <c r="AD116" s="36">
        <v>1</v>
      </c>
      <c r="AE116" s="36">
        <v>1</v>
      </c>
      <c r="AF116" s="36">
        <v>3</v>
      </c>
      <c r="AG116" s="288">
        <v>2.2301428806105799E-11</v>
      </c>
      <c r="AI116" s="39">
        <v>31</v>
      </c>
      <c r="AJ116" s="35">
        <v>4</v>
      </c>
      <c r="AK116" s="36">
        <v>6</v>
      </c>
      <c r="AL116" s="36">
        <v>37</v>
      </c>
      <c r="AM116" s="36">
        <v>1</v>
      </c>
      <c r="AN116" s="36">
        <v>2</v>
      </c>
      <c r="AO116" s="288">
        <v>0.25609563037554101</v>
      </c>
      <c r="AQ116" s="39">
        <v>31</v>
      </c>
      <c r="AR116" s="35">
        <v>4</v>
      </c>
      <c r="AS116" s="36">
        <v>6</v>
      </c>
      <c r="AT116" s="36">
        <v>37</v>
      </c>
      <c r="AU116" s="36">
        <v>1</v>
      </c>
      <c r="AV116" s="36">
        <v>2</v>
      </c>
      <c r="AW116" s="287">
        <v>0.25228376818285497</v>
      </c>
      <c r="AX116" s="288">
        <v>0.25228376818285497</v>
      </c>
      <c r="AZ116" s="39">
        <v>31</v>
      </c>
      <c r="BA116" s="105">
        <v>4</v>
      </c>
      <c r="BB116" s="100">
        <v>2</v>
      </c>
      <c r="BC116" s="100">
        <v>1</v>
      </c>
      <c r="BD116" s="100">
        <v>6</v>
      </c>
      <c r="BE116" s="100">
        <v>37</v>
      </c>
      <c r="BF116" s="100">
        <v>3</v>
      </c>
      <c r="BG116" s="100">
        <v>3</v>
      </c>
      <c r="BH116" s="341">
        <v>1.15544411216623</v>
      </c>
      <c r="BI116" s="341">
        <v>0.38514803738874398</v>
      </c>
      <c r="BJ116" s="342">
        <v>0.38514803738874398</v>
      </c>
    </row>
    <row r="117" spans="3:62" s="3" customFormat="1" ht="18" customHeight="1" x14ac:dyDescent="0.2">
      <c r="C117" s="39">
        <v>33</v>
      </c>
      <c r="D117" s="263">
        <v>1.4364120591101801</v>
      </c>
      <c r="F117" s="39">
        <v>33</v>
      </c>
      <c r="G117" s="39">
        <v>13</v>
      </c>
      <c r="H117" s="39">
        <v>4</v>
      </c>
      <c r="I117" s="39">
        <v>1</v>
      </c>
      <c r="K117" s="39">
        <v>33</v>
      </c>
      <c r="L117" s="39">
        <v>13</v>
      </c>
      <c r="M117" s="39">
        <v>4</v>
      </c>
      <c r="N117" s="263">
        <v>2.6259974889459102E-12</v>
      </c>
      <c r="Q117" s="39">
        <v>33</v>
      </c>
      <c r="R117" s="263">
        <v>2.6259974889459102E-12</v>
      </c>
      <c r="T117" s="345"/>
      <c r="U117" s="355">
        <v>32</v>
      </c>
      <c r="V117" s="339">
        <v>0</v>
      </c>
      <c r="W117" s="340">
        <v>0</v>
      </c>
      <c r="X117" s="340">
        <v>0.73492392189682698</v>
      </c>
      <c r="Y117" s="356">
        <v>0.69962155953584404</v>
      </c>
      <c r="Z117" s="346"/>
      <c r="AA117" s="39">
        <v>32</v>
      </c>
      <c r="AB117" s="35">
        <v>2</v>
      </c>
      <c r="AC117" s="36">
        <v>7</v>
      </c>
      <c r="AD117" s="36">
        <v>1</v>
      </c>
      <c r="AE117" s="36">
        <v>1</v>
      </c>
      <c r="AF117" s="36">
        <v>4</v>
      </c>
      <c r="AG117" s="288">
        <v>1.13150356248388E-11</v>
      </c>
      <c r="AI117" s="39">
        <v>32</v>
      </c>
      <c r="AJ117" s="35">
        <v>4</v>
      </c>
      <c r="AK117" s="36">
        <v>7</v>
      </c>
      <c r="AL117" s="36">
        <v>37</v>
      </c>
      <c r="AM117" s="36">
        <v>1</v>
      </c>
      <c r="AN117" s="36">
        <v>1</v>
      </c>
      <c r="AO117" s="288">
        <v>0.98432715125480408</v>
      </c>
      <c r="AQ117" s="39">
        <v>32</v>
      </c>
      <c r="AR117" s="35">
        <v>4</v>
      </c>
      <c r="AS117" s="36">
        <v>7</v>
      </c>
      <c r="AT117" s="36">
        <v>37</v>
      </c>
      <c r="AU117" s="36">
        <v>1</v>
      </c>
      <c r="AV117" s="36">
        <v>1</v>
      </c>
      <c r="AW117" s="287">
        <v>0.98046559180968684</v>
      </c>
      <c r="AX117" s="288">
        <v>0.98046559180968684</v>
      </c>
      <c r="AZ117" s="39">
        <v>32</v>
      </c>
      <c r="BA117" s="105">
        <v>4</v>
      </c>
      <c r="BB117" s="100">
        <v>2</v>
      </c>
      <c r="BC117" s="100">
        <v>2</v>
      </c>
      <c r="BD117" s="100">
        <v>6</v>
      </c>
      <c r="BE117" s="100">
        <v>37</v>
      </c>
      <c r="BF117" s="100">
        <v>3</v>
      </c>
      <c r="BG117" s="100">
        <v>3</v>
      </c>
      <c r="BH117" s="341">
        <v>0.26786428426466402</v>
      </c>
      <c r="BI117" s="341">
        <v>8.9288094754887914E-2</v>
      </c>
      <c r="BJ117" s="342">
        <v>8.9288094754887914E-2</v>
      </c>
    </row>
    <row r="118" spans="3:62" s="3" customFormat="1" ht="18" customHeight="1" x14ac:dyDescent="0.2">
      <c r="C118" s="39">
        <v>34</v>
      </c>
      <c r="D118" s="263">
        <v>1.43162191132165</v>
      </c>
      <c r="F118" s="39">
        <v>34</v>
      </c>
      <c r="G118" s="39">
        <v>14</v>
      </c>
      <c r="H118" s="39">
        <v>2</v>
      </c>
      <c r="I118" s="39">
        <v>1</v>
      </c>
      <c r="K118" s="39">
        <v>34</v>
      </c>
      <c r="L118" s="39">
        <v>14</v>
      </c>
      <c r="M118" s="39">
        <v>2</v>
      </c>
      <c r="N118" s="263">
        <v>0.76604625992245701</v>
      </c>
      <c r="Q118" s="39">
        <v>34</v>
      </c>
      <c r="R118" s="263">
        <v>0.76604625992245701</v>
      </c>
      <c r="T118" s="345"/>
      <c r="U118" s="355">
        <v>33</v>
      </c>
      <c r="V118" s="339">
        <v>0</v>
      </c>
      <c r="W118" s="340">
        <v>0</v>
      </c>
      <c r="X118" s="340">
        <v>0.73589202014033306</v>
      </c>
      <c r="Y118" s="356">
        <v>0.70052004174469007</v>
      </c>
      <c r="Z118" s="346"/>
      <c r="AA118" s="39">
        <v>33</v>
      </c>
      <c r="AB118" s="35">
        <v>2</v>
      </c>
      <c r="AC118" s="36">
        <v>9</v>
      </c>
      <c r="AD118" s="36">
        <v>1</v>
      </c>
      <c r="AE118" s="36">
        <v>1</v>
      </c>
      <c r="AF118" s="36">
        <v>1</v>
      </c>
      <c r="AG118" s="288">
        <v>0</v>
      </c>
      <c r="AI118" s="39">
        <v>33</v>
      </c>
      <c r="AJ118" s="35">
        <v>4</v>
      </c>
      <c r="AK118" s="36">
        <v>7</v>
      </c>
      <c r="AL118" s="36">
        <v>37</v>
      </c>
      <c r="AM118" s="36">
        <v>1</v>
      </c>
      <c r="AN118" s="36">
        <v>2</v>
      </c>
      <c r="AO118" s="288">
        <v>0.25608788379221997</v>
      </c>
      <c r="AQ118" s="39">
        <v>33</v>
      </c>
      <c r="AR118" s="35">
        <v>4</v>
      </c>
      <c r="AS118" s="36">
        <v>7</v>
      </c>
      <c r="AT118" s="36">
        <v>37</v>
      </c>
      <c r="AU118" s="36">
        <v>1</v>
      </c>
      <c r="AV118" s="36">
        <v>2</v>
      </c>
      <c r="AW118" s="287">
        <v>0.25229948466874708</v>
      </c>
      <c r="AX118" s="288">
        <v>0.25229948466874708</v>
      </c>
      <c r="AZ118" s="39">
        <v>33</v>
      </c>
      <c r="BA118" s="105">
        <v>4</v>
      </c>
      <c r="BB118" s="100">
        <v>4</v>
      </c>
      <c r="BC118" s="100">
        <v>1</v>
      </c>
      <c r="BD118" s="100">
        <v>6</v>
      </c>
      <c r="BE118" s="100">
        <v>37</v>
      </c>
      <c r="BF118" s="100">
        <v>3</v>
      </c>
      <c r="BG118" s="100">
        <v>3</v>
      </c>
      <c r="BH118" s="341">
        <v>1.1557667807034799</v>
      </c>
      <c r="BI118" s="341">
        <v>0.38525559356782801</v>
      </c>
      <c r="BJ118" s="342">
        <v>0.38525559356782801</v>
      </c>
    </row>
    <row r="119" spans="3:62" s="3" customFormat="1" ht="18" customHeight="1" x14ac:dyDescent="0.2">
      <c r="C119" s="39">
        <v>35</v>
      </c>
      <c r="D119" s="263">
        <v>1.4366978203901899</v>
      </c>
      <c r="F119" s="39">
        <v>35</v>
      </c>
      <c r="G119" s="39">
        <v>14</v>
      </c>
      <c r="H119" s="39">
        <v>3</v>
      </c>
      <c r="I119" s="39">
        <v>1</v>
      </c>
      <c r="K119" s="39">
        <v>35</v>
      </c>
      <c r="L119" s="39">
        <v>14</v>
      </c>
      <c r="M119" s="39">
        <v>3</v>
      </c>
      <c r="N119" s="263">
        <v>1.4887012275805E-11</v>
      </c>
      <c r="Q119" s="39">
        <v>35</v>
      </c>
      <c r="R119" s="263">
        <v>1.4887012275805E-11</v>
      </c>
      <c r="T119" s="345"/>
      <c r="U119" s="355">
        <v>34</v>
      </c>
      <c r="V119" s="339">
        <v>0</v>
      </c>
      <c r="W119" s="340">
        <v>0</v>
      </c>
      <c r="X119" s="340">
        <v>0.73340764643548695</v>
      </c>
      <c r="Y119" s="356">
        <v>0.69821426740710313</v>
      </c>
      <c r="Z119" s="346"/>
      <c r="AA119" s="39">
        <v>34</v>
      </c>
      <c r="AB119" s="35">
        <v>2</v>
      </c>
      <c r="AC119" s="36">
        <v>9</v>
      </c>
      <c r="AD119" s="36">
        <v>1</v>
      </c>
      <c r="AE119" s="36">
        <v>1</v>
      </c>
      <c r="AF119" s="36">
        <v>2</v>
      </c>
      <c r="AG119" s="288">
        <v>0.58742251526476696</v>
      </c>
      <c r="AI119" s="39">
        <v>34</v>
      </c>
      <c r="AJ119" s="35">
        <v>4</v>
      </c>
      <c r="AK119" s="36">
        <v>9</v>
      </c>
      <c r="AL119" s="36">
        <v>37</v>
      </c>
      <c r="AM119" s="36">
        <v>1</v>
      </c>
      <c r="AN119" s="36">
        <v>1</v>
      </c>
      <c r="AO119" s="288">
        <v>0.98431663423924809</v>
      </c>
      <c r="AQ119" s="39">
        <v>34</v>
      </c>
      <c r="AR119" s="35">
        <v>4</v>
      </c>
      <c r="AS119" s="36">
        <v>9</v>
      </c>
      <c r="AT119" s="36">
        <v>37</v>
      </c>
      <c r="AU119" s="36">
        <v>1</v>
      </c>
      <c r="AV119" s="36">
        <v>1</v>
      </c>
      <c r="AW119" s="287">
        <v>0.98004789554221206</v>
      </c>
      <c r="AX119" s="288">
        <v>0.98004789554221206</v>
      </c>
      <c r="AZ119" s="39">
        <v>34</v>
      </c>
      <c r="BA119" s="105">
        <v>4</v>
      </c>
      <c r="BB119" s="100">
        <v>4</v>
      </c>
      <c r="BC119" s="100">
        <v>2</v>
      </c>
      <c r="BD119" s="100">
        <v>6</v>
      </c>
      <c r="BE119" s="100">
        <v>37</v>
      </c>
      <c r="BF119" s="100">
        <v>3</v>
      </c>
      <c r="BG119" s="100">
        <v>3</v>
      </c>
      <c r="BH119" s="341">
        <v>0.26789024601560107</v>
      </c>
      <c r="BI119" s="341">
        <v>8.9296748671867002E-2</v>
      </c>
      <c r="BJ119" s="342">
        <v>8.9296748671867002E-2</v>
      </c>
    </row>
    <row r="120" spans="3:62" s="3" customFormat="1" ht="18" customHeight="1" x14ac:dyDescent="0.2">
      <c r="C120" s="39">
        <v>36</v>
      </c>
      <c r="D120" s="263">
        <v>1.4379624063256</v>
      </c>
      <c r="F120" s="39">
        <v>36</v>
      </c>
      <c r="G120" s="39">
        <v>14</v>
      </c>
      <c r="H120" s="39">
        <v>4</v>
      </c>
      <c r="I120" s="39">
        <v>1</v>
      </c>
      <c r="K120" s="39">
        <v>36</v>
      </c>
      <c r="L120" s="39">
        <v>14</v>
      </c>
      <c r="M120" s="39">
        <v>4</v>
      </c>
      <c r="N120" s="263">
        <v>1.4316087743517E-11</v>
      </c>
      <c r="Q120" s="39">
        <v>36</v>
      </c>
      <c r="R120" s="263">
        <v>1.4316087743517E-11</v>
      </c>
      <c r="T120" s="345"/>
      <c r="U120" s="355">
        <v>35</v>
      </c>
      <c r="V120" s="339">
        <v>0</v>
      </c>
      <c r="W120" s="340">
        <v>0</v>
      </c>
      <c r="X120" s="340">
        <v>0.7360402314212231</v>
      </c>
      <c r="Y120" s="356">
        <v>0.70065759283893603</v>
      </c>
      <c r="Z120" s="346"/>
      <c r="AA120" s="39">
        <v>35</v>
      </c>
      <c r="AB120" s="35">
        <v>2</v>
      </c>
      <c r="AC120" s="36">
        <v>9</v>
      </c>
      <c r="AD120" s="36">
        <v>1</v>
      </c>
      <c r="AE120" s="36">
        <v>1</v>
      </c>
      <c r="AF120" s="36">
        <v>3</v>
      </c>
      <c r="AG120" s="288">
        <v>2.2254124055774802E-11</v>
      </c>
      <c r="AI120" s="39">
        <v>35</v>
      </c>
      <c r="AJ120" s="35">
        <v>4</v>
      </c>
      <c r="AK120" s="36">
        <v>9</v>
      </c>
      <c r="AL120" s="36">
        <v>37</v>
      </c>
      <c r="AM120" s="36">
        <v>1</v>
      </c>
      <c r="AN120" s="36">
        <v>2</v>
      </c>
      <c r="AO120" s="288">
        <v>0.256086691453146</v>
      </c>
      <c r="AQ120" s="39">
        <v>35</v>
      </c>
      <c r="AR120" s="35">
        <v>4</v>
      </c>
      <c r="AS120" s="36">
        <v>9</v>
      </c>
      <c r="AT120" s="36">
        <v>37</v>
      </c>
      <c r="AU120" s="36">
        <v>1</v>
      </c>
      <c r="AV120" s="36">
        <v>2</v>
      </c>
      <c r="AW120" s="287">
        <v>0.25225808973959801</v>
      </c>
      <c r="AX120" s="288">
        <v>0.25225808973959801</v>
      </c>
      <c r="AZ120" s="39">
        <v>35</v>
      </c>
      <c r="BA120" s="105">
        <v>4</v>
      </c>
      <c r="BB120" s="100">
        <v>6</v>
      </c>
      <c r="BC120" s="100">
        <v>1</v>
      </c>
      <c r="BD120" s="100">
        <v>6</v>
      </c>
      <c r="BE120" s="100">
        <v>37</v>
      </c>
      <c r="BF120" s="100">
        <v>3</v>
      </c>
      <c r="BG120" s="100">
        <v>3</v>
      </c>
      <c r="BH120" s="341">
        <v>1.1553976955596601</v>
      </c>
      <c r="BI120" s="341">
        <v>0.38513256518655198</v>
      </c>
      <c r="BJ120" s="342">
        <v>0.38513256518655198</v>
      </c>
    </row>
    <row r="121" spans="3:62" s="3" customFormat="1" ht="18" customHeight="1" x14ac:dyDescent="0.2">
      <c r="C121" s="39">
        <v>37</v>
      </c>
      <c r="D121" s="263">
        <v>1.4232614254832601</v>
      </c>
      <c r="F121" s="39">
        <v>37</v>
      </c>
      <c r="G121" s="39">
        <v>15</v>
      </c>
      <c r="H121" s="39">
        <v>2</v>
      </c>
      <c r="I121" s="39">
        <v>1</v>
      </c>
      <c r="K121" s="39">
        <v>37</v>
      </c>
      <c r="L121" s="39">
        <v>15</v>
      </c>
      <c r="M121" s="39">
        <v>2</v>
      </c>
      <c r="N121" s="263">
        <v>0.76333304271554314</v>
      </c>
      <c r="Q121" s="39">
        <v>37</v>
      </c>
      <c r="R121" s="263">
        <v>0.76333304271554314</v>
      </c>
      <c r="T121" s="345"/>
      <c r="U121" s="355">
        <v>36</v>
      </c>
      <c r="V121" s="339">
        <v>0</v>
      </c>
      <c r="W121" s="340">
        <v>0</v>
      </c>
      <c r="X121" s="340">
        <v>0.73669611407569913</v>
      </c>
      <c r="Y121" s="356">
        <v>0.70126629353121916</v>
      </c>
      <c r="Z121" s="346"/>
      <c r="AA121" s="39">
        <v>36</v>
      </c>
      <c r="AB121" s="35">
        <v>2</v>
      </c>
      <c r="AC121" s="36">
        <v>9</v>
      </c>
      <c r="AD121" s="36">
        <v>1</v>
      </c>
      <c r="AE121" s="36">
        <v>1</v>
      </c>
      <c r="AF121" s="36">
        <v>4</v>
      </c>
      <c r="AG121" s="288">
        <v>2.2334449448667099E-11</v>
      </c>
      <c r="AI121" s="39">
        <v>36</v>
      </c>
      <c r="AJ121" s="35">
        <v>6</v>
      </c>
      <c r="AK121" s="36">
        <v>1</v>
      </c>
      <c r="AL121" s="36">
        <v>37</v>
      </c>
      <c r="AM121" s="36">
        <v>3</v>
      </c>
      <c r="AN121" s="36">
        <v>1</v>
      </c>
      <c r="AO121" s="288">
        <v>1.15207967496223</v>
      </c>
      <c r="AQ121" s="39">
        <v>36</v>
      </c>
      <c r="AR121" s="35">
        <v>6</v>
      </c>
      <c r="AS121" s="36">
        <v>1</v>
      </c>
      <c r="AT121" s="36">
        <v>37</v>
      </c>
      <c r="AU121" s="36">
        <v>3</v>
      </c>
      <c r="AV121" s="36">
        <v>1</v>
      </c>
      <c r="AW121" s="287">
        <v>1.1561708859108999</v>
      </c>
      <c r="AX121" s="288">
        <v>0.38539029530363511</v>
      </c>
      <c r="AZ121" s="39">
        <v>36</v>
      </c>
      <c r="BA121" s="105">
        <v>4</v>
      </c>
      <c r="BB121" s="100">
        <v>6</v>
      </c>
      <c r="BC121" s="100">
        <v>2</v>
      </c>
      <c r="BD121" s="100">
        <v>6</v>
      </c>
      <c r="BE121" s="100">
        <v>37</v>
      </c>
      <c r="BF121" s="100">
        <v>3</v>
      </c>
      <c r="BG121" s="100">
        <v>3</v>
      </c>
      <c r="BH121" s="341">
        <v>0.26786058692055098</v>
      </c>
      <c r="BI121" s="341">
        <v>8.9286862306850512E-2</v>
      </c>
      <c r="BJ121" s="342">
        <v>8.9286862306850512E-2</v>
      </c>
    </row>
    <row r="122" spans="3:62" s="3" customFormat="1" ht="18" customHeight="1" x14ac:dyDescent="0.2">
      <c r="C122" s="39">
        <v>38</v>
      </c>
      <c r="D122" s="263">
        <v>1.4322032710799399</v>
      </c>
      <c r="F122" s="39">
        <v>38</v>
      </c>
      <c r="G122" s="39">
        <v>15</v>
      </c>
      <c r="H122" s="39">
        <v>3</v>
      </c>
      <c r="I122" s="39">
        <v>1</v>
      </c>
      <c r="K122" s="39">
        <v>38</v>
      </c>
      <c r="L122" s="39">
        <v>15</v>
      </c>
      <c r="M122" s="39">
        <v>3</v>
      </c>
      <c r="N122" s="263">
        <v>1.23909851652853E-11</v>
      </c>
      <c r="Q122" s="39">
        <v>38</v>
      </c>
      <c r="R122" s="263">
        <v>1.23909851652853E-11</v>
      </c>
      <c r="T122" s="345"/>
      <c r="U122" s="355">
        <v>37</v>
      </c>
      <c r="V122" s="339">
        <v>0</v>
      </c>
      <c r="W122" s="340">
        <v>0</v>
      </c>
      <c r="X122" s="340">
        <v>0.72907176720963707</v>
      </c>
      <c r="Y122" s="356">
        <v>0.69418967983088498</v>
      </c>
      <c r="Z122" s="346"/>
      <c r="AA122" s="39">
        <v>37</v>
      </c>
      <c r="AB122" s="35">
        <v>3</v>
      </c>
      <c r="AC122" s="36">
        <v>1</v>
      </c>
      <c r="AD122" s="36">
        <v>1</v>
      </c>
      <c r="AE122" s="36">
        <v>3</v>
      </c>
      <c r="AF122" s="36">
        <v>1</v>
      </c>
      <c r="AG122" s="288">
        <v>0</v>
      </c>
      <c r="AI122" s="39">
        <v>37</v>
      </c>
      <c r="AJ122" s="35">
        <v>6</v>
      </c>
      <c r="AK122" s="36">
        <v>1</v>
      </c>
      <c r="AL122" s="36">
        <v>37</v>
      </c>
      <c r="AM122" s="36">
        <v>3</v>
      </c>
      <c r="AN122" s="36">
        <v>2</v>
      </c>
      <c r="AO122" s="288">
        <v>0.271446552453318</v>
      </c>
      <c r="AQ122" s="39">
        <v>37</v>
      </c>
      <c r="AR122" s="35">
        <v>6</v>
      </c>
      <c r="AS122" s="36">
        <v>1</v>
      </c>
      <c r="AT122" s="36">
        <v>37</v>
      </c>
      <c r="AU122" s="36">
        <v>3</v>
      </c>
      <c r="AV122" s="36">
        <v>2</v>
      </c>
      <c r="AW122" s="287">
        <v>0.26792270686531999</v>
      </c>
      <c r="AX122" s="288">
        <v>8.9307568955106706E-2</v>
      </c>
      <c r="AZ122" s="39">
        <v>37</v>
      </c>
      <c r="BA122" s="105">
        <v>4</v>
      </c>
      <c r="BB122" s="100">
        <v>7</v>
      </c>
      <c r="BC122" s="100">
        <v>1</v>
      </c>
      <c r="BD122" s="100">
        <v>6</v>
      </c>
      <c r="BE122" s="100">
        <v>37</v>
      </c>
      <c r="BF122" s="100">
        <v>3</v>
      </c>
      <c r="BG122" s="100">
        <v>3</v>
      </c>
      <c r="BH122" s="341">
        <v>1.15603861153507</v>
      </c>
      <c r="BI122" s="341">
        <v>0.38534620384502399</v>
      </c>
      <c r="BJ122" s="342">
        <v>0.38534620384502399</v>
      </c>
    </row>
    <row r="123" spans="3:62" s="3" customFormat="1" ht="18" customHeight="1" x14ac:dyDescent="0.2">
      <c r="C123" s="39">
        <v>39</v>
      </c>
      <c r="D123" s="263">
        <v>0.20254124037507301</v>
      </c>
      <c r="F123" s="39">
        <v>39</v>
      </c>
      <c r="G123" s="39">
        <v>15</v>
      </c>
      <c r="H123" s="39">
        <v>4</v>
      </c>
      <c r="I123" s="39">
        <v>1</v>
      </c>
      <c r="K123" s="39">
        <v>39</v>
      </c>
      <c r="L123" s="39">
        <v>15</v>
      </c>
      <c r="M123" s="39">
        <v>4</v>
      </c>
      <c r="N123" s="263">
        <v>1.13022112381575E-11</v>
      </c>
      <c r="Q123" s="39">
        <v>39</v>
      </c>
      <c r="R123" s="263">
        <v>1.13022112381575E-11</v>
      </c>
      <c r="T123" s="345"/>
      <c r="U123" s="355">
        <v>38</v>
      </c>
      <c r="V123" s="339">
        <v>0</v>
      </c>
      <c r="W123" s="340">
        <v>0</v>
      </c>
      <c r="X123" s="340">
        <v>0.73370916011677412</v>
      </c>
      <c r="Y123" s="356">
        <v>0.69849411464925204</v>
      </c>
      <c r="Z123" s="346"/>
      <c r="AA123" s="39">
        <v>38</v>
      </c>
      <c r="AB123" s="35">
        <v>3</v>
      </c>
      <c r="AC123" s="36">
        <v>1</v>
      </c>
      <c r="AD123" s="36">
        <v>1</v>
      </c>
      <c r="AE123" s="36">
        <v>3</v>
      </c>
      <c r="AF123" s="36">
        <v>2</v>
      </c>
      <c r="AG123" s="288">
        <v>0.76625788750836121</v>
      </c>
      <c r="AI123" s="39">
        <v>38</v>
      </c>
      <c r="AJ123" s="35">
        <v>6</v>
      </c>
      <c r="AK123" s="36">
        <v>2</v>
      </c>
      <c r="AL123" s="36">
        <v>37</v>
      </c>
      <c r="AM123" s="36">
        <v>3</v>
      </c>
      <c r="AN123" s="36">
        <v>1</v>
      </c>
      <c r="AO123" s="288">
        <v>1.1516520338863501</v>
      </c>
      <c r="AQ123" s="39">
        <v>38</v>
      </c>
      <c r="AR123" s="35">
        <v>6</v>
      </c>
      <c r="AS123" s="36">
        <v>2</v>
      </c>
      <c r="AT123" s="36">
        <v>37</v>
      </c>
      <c r="AU123" s="36">
        <v>3</v>
      </c>
      <c r="AV123" s="36">
        <v>1</v>
      </c>
      <c r="AW123" s="287">
        <v>1.15544411216623</v>
      </c>
      <c r="AX123" s="288">
        <v>0.38514803738874398</v>
      </c>
      <c r="AZ123" s="39">
        <v>38</v>
      </c>
      <c r="BA123" s="105">
        <v>4</v>
      </c>
      <c r="BB123" s="100">
        <v>7</v>
      </c>
      <c r="BC123" s="100">
        <v>2</v>
      </c>
      <c r="BD123" s="100">
        <v>6</v>
      </c>
      <c r="BE123" s="100">
        <v>37</v>
      </c>
      <c r="BF123" s="100">
        <v>3</v>
      </c>
      <c r="BG123" s="100">
        <v>3</v>
      </c>
      <c r="BH123" s="341">
        <v>0.26791208259459098</v>
      </c>
      <c r="BI123" s="341">
        <v>8.9304027531530508E-2</v>
      </c>
      <c r="BJ123" s="342">
        <v>8.9304027531530508E-2</v>
      </c>
    </row>
    <row r="124" spans="3:62" s="3" customFormat="1" ht="18" customHeight="1" x14ac:dyDescent="0.2">
      <c r="C124" s="39">
        <v>40</v>
      </c>
      <c r="D124" s="263">
        <v>0.20209827249017701</v>
      </c>
      <c r="F124" s="39">
        <v>40</v>
      </c>
      <c r="G124" s="39">
        <v>16</v>
      </c>
      <c r="H124" s="39">
        <v>1</v>
      </c>
      <c r="I124" s="39">
        <v>1</v>
      </c>
      <c r="K124" s="39">
        <v>40</v>
      </c>
      <c r="L124" s="39">
        <v>16</v>
      </c>
      <c r="M124" s="39">
        <v>1</v>
      </c>
      <c r="N124" s="263">
        <v>0.98049828467440403</v>
      </c>
      <c r="Q124" s="39">
        <v>40</v>
      </c>
      <c r="R124" s="263">
        <v>0.98049828467440403</v>
      </c>
      <c r="T124" s="345"/>
      <c r="U124" s="355">
        <v>39</v>
      </c>
      <c r="V124" s="339">
        <v>0</v>
      </c>
      <c r="W124" s="340">
        <v>0</v>
      </c>
      <c r="X124" s="340">
        <v>0.10134435252495499</v>
      </c>
      <c r="Y124" s="356">
        <v>0.10119688790586499</v>
      </c>
      <c r="Z124" s="346"/>
      <c r="AA124" s="39">
        <v>39</v>
      </c>
      <c r="AB124" s="35">
        <v>3</v>
      </c>
      <c r="AC124" s="36">
        <v>1</v>
      </c>
      <c r="AD124" s="36">
        <v>1</v>
      </c>
      <c r="AE124" s="36">
        <v>3</v>
      </c>
      <c r="AF124" s="36">
        <v>3</v>
      </c>
      <c r="AG124" s="288">
        <v>2.0066214951905801E-11</v>
      </c>
      <c r="AI124" s="39">
        <v>39</v>
      </c>
      <c r="AJ124" s="35">
        <v>6</v>
      </c>
      <c r="AK124" s="36">
        <v>2</v>
      </c>
      <c r="AL124" s="36">
        <v>37</v>
      </c>
      <c r="AM124" s="36">
        <v>3</v>
      </c>
      <c r="AN124" s="36">
        <v>2</v>
      </c>
      <c r="AO124" s="288">
        <v>0.27141101314188498</v>
      </c>
      <c r="AQ124" s="39">
        <v>39</v>
      </c>
      <c r="AR124" s="35">
        <v>6</v>
      </c>
      <c r="AS124" s="36">
        <v>2</v>
      </c>
      <c r="AT124" s="36">
        <v>37</v>
      </c>
      <c r="AU124" s="36">
        <v>3</v>
      </c>
      <c r="AV124" s="36">
        <v>2</v>
      </c>
      <c r="AW124" s="287">
        <v>0.26786428426466402</v>
      </c>
      <c r="AX124" s="288">
        <v>8.9288094754887914E-2</v>
      </c>
      <c r="AZ124" s="39">
        <v>39</v>
      </c>
      <c r="BA124" s="105">
        <v>4</v>
      </c>
      <c r="BB124" s="100">
        <v>9</v>
      </c>
      <c r="BC124" s="100">
        <v>1</v>
      </c>
      <c r="BD124" s="100">
        <v>6</v>
      </c>
      <c r="BE124" s="100">
        <v>37</v>
      </c>
      <c r="BF124" s="100">
        <v>3</v>
      </c>
      <c r="BG124" s="100">
        <v>3</v>
      </c>
      <c r="BH124" s="341">
        <v>1.1543403098235401</v>
      </c>
      <c r="BI124" s="341">
        <v>0.38478010327451201</v>
      </c>
      <c r="BJ124" s="342">
        <v>0.38478010327451201</v>
      </c>
    </row>
    <row r="125" spans="3:62" s="3" customFormat="1" ht="18" customHeight="1" x14ac:dyDescent="0.2">
      <c r="C125" s="39">
        <v>41</v>
      </c>
      <c r="D125" s="263">
        <v>0.20229512298778199</v>
      </c>
      <c r="F125" s="39">
        <v>41</v>
      </c>
      <c r="G125" s="39">
        <v>16</v>
      </c>
      <c r="H125" s="39">
        <v>2</v>
      </c>
      <c r="I125" s="39">
        <v>1</v>
      </c>
      <c r="K125" s="39">
        <v>41</v>
      </c>
      <c r="L125" s="39">
        <v>16</v>
      </c>
      <c r="M125" s="39">
        <v>2</v>
      </c>
      <c r="N125" s="263">
        <v>0.25230264681138898</v>
      </c>
      <c r="Q125" s="39">
        <v>41</v>
      </c>
      <c r="R125" s="263">
        <v>0.25230264681138898</v>
      </c>
      <c r="T125" s="345"/>
      <c r="U125" s="355">
        <v>40</v>
      </c>
      <c r="V125" s="339">
        <v>0</v>
      </c>
      <c r="W125" s="340">
        <v>0</v>
      </c>
      <c r="X125" s="340">
        <v>0.101121408916805</v>
      </c>
      <c r="Y125" s="356">
        <v>0.100976864887819</v>
      </c>
      <c r="Z125" s="346"/>
      <c r="AA125" s="39">
        <v>40</v>
      </c>
      <c r="AB125" s="35">
        <v>3</v>
      </c>
      <c r="AC125" s="36">
        <v>1</v>
      </c>
      <c r="AD125" s="36">
        <v>1</v>
      </c>
      <c r="AE125" s="36">
        <v>3</v>
      </c>
      <c r="AF125" s="36">
        <v>4</v>
      </c>
      <c r="AG125" s="288">
        <v>1.9386870508074601E-11</v>
      </c>
      <c r="AI125" s="39">
        <v>40</v>
      </c>
      <c r="AJ125" s="35">
        <v>6</v>
      </c>
      <c r="AK125" s="36">
        <v>4</v>
      </c>
      <c r="AL125" s="36">
        <v>37</v>
      </c>
      <c r="AM125" s="36">
        <v>3</v>
      </c>
      <c r="AN125" s="36">
        <v>1</v>
      </c>
      <c r="AO125" s="288">
        <v>1.15180124911249</v>
      </c>
      <c r="AQ125" s="39">
        <v>40</v>
      </c>
      <c r="AR125" s="35">
        <v>6</v>
      </c>
      <c r="AS125" s="36">
        <v>4</v>
      </c>
      <c r="AT125" s="36">
        <v>37</v>
      </c>
      <c r="AU125" s="36">
        <v>3</v>
      </c>
      <c r="AV125" s="36">
        <v>1</v>
      </c>
      <c r="AW125" s="287">
        <v>1.1557667807034799</v>
      </c>
      <c r="AX125" s="288">
        <v>0.38525559356782801</v>
      </c>
      <c r="AZ125" s="39">
        <v>40</v>
      </c>
      <c r="BA125" s="105">
        <v>4</v>
      </c>
      <c r="BB125" s="100">
        <v>9</v>
      </c>
      <c r="BC125" s="100">
        <v>2</v>
      </c>
      <c r="BD125" s="100">
        <v>6</v>
      </c>
      <c r="BE125" s="100">
        <v>37</v>
      </c>
      <c r="BF125" s="100">
        <v>3</v>
      </c>
      <c r="BG125" s="100">
        <v>3</v>
      </c>
      <c r="BH125" s="341">
        <v>0.267775695335289</v>
      </c>
      <c r="BI125" s="341">
        <v>8.9258565111763097E-2</v>
      </c>
      <c r="BJ125" s="342">
        <v>8.9258565111763097E-2</v>
      </c>
    </row>
    <row r="126" spans="3:62" s="3" customFormat="1" ht="18" customHeight="1" x14ac:dyDescent="0.2">
      <c r="C126" s="39">
        <v>42</v>
      </c>
      <c r="D126" s="263">
        <v>0.20246068768596701</v>
      </c>
      <c r="F126" s="39">
        <v>42</v>
      </c>
      <c r="G126" s="39">
        <v>16</v>
      </c>
      <c r="H126" s="39">
        <v>3</v>
      </c>
      <c r="I126" s="39">
        <v>1</v>
      </c>
      <c r="K126" s="39">
        <v>42</v>
      </c>
      <c r="L126" s="39">
        <v>16</v>
      </c>
      <c r="M126" s="39">
        <v>3</v>
      </c>
      <c r="N126" s="263">
        <v>1.13890727523535E-11</v>
      </c>
      <c r="Q126" s="39">
        <v>42</v>
      </c>
      <c r="R126" s="263">
        <v>1.13890727523535E-11</v>
      </c>
      <c r="T126" s="345"/>
      <c r="U126" s="355">
        <v>41</v>
      </c>
      <c r="V126" s="339">
        <v>0</v>
      </c>
      <c r="W126" s="340">
        <v>0</v>
      </c>
      <c r="X126" s="340">
        <v>0.101220481091555</v>
      </c>
      <c r="Y126" s="356">
        <v>0.101074641970145</v>
      </c>
      <c r="Z126" s="346"/>
      <c r="AA126" s="39">
        <v>41</v>
      </c>
      <c r="AB126" s="35">
        <v>3</v>
      </c>
      <c r="AC126" s="36">
        <v>2</v>
      </c>
      <c r="AD126" s="36">
        <v>1</v>
      </c>
      <c r="AE126" s="36">
        <v>3</v>
      </c>
      <c r="AF126" s="36">
        <v>1</v>
      </c>
      <c r="AG126" s="288">
        <v>0</v>
      </c>
      <c r="AI126" s="39">
        <v>41</v>
      </c>
      <c r="AJ126" s="35">
        <v>6</v>
      </c>
      <c r="AK126" s="36">
        <v>4</v>
      </c>
      <c r="AL126" s="36">
        <v>37</v>
      </c>
      <c r="AM126" s="36">
        <v>3</v>
      </c>
      <c r="AN126" s="36">
        <v>2</v>
      </c>
      <c r="AO126" s="288">
        <v>0.27142341349062299</v>
      </c>
      <c r="AQ126" s="39">
        <v>41</v>
      </c>
      <c r="AR126" s="35">
        <v>6</v>
      </c>
      <c r="AS126" s="36">
        <v>4</v>
      </c>
      <c r="AT126" s="36">
        <v>37</v>
      </c>
      <c r="AU126" s="36">
        <v>3</v>
      </c>
      <c r="AV126" s="36">
        <v>2</v>
      </c>
      <c r="AW126" s="287">
        <v>0.26789024601560107</v>
      </c>
      <c r="AX126" s="288">
        <v>8.9296748671867002E-2</v>
      </c>
      <c r="AZ126" s="39">
        <v>41</v>
      </c>
      <c r="BA126" s="105">
        <v>5</v>
      </c>
      <c r="BB126" s="100">
        <v>1</v>
      </c>
      <c r="BC126" s="100">
        <v>1</v>
      </c>
      <c r="BD126" s="100">
        <v>6</v>
      </c>
      <c r="BE126" s="100">
        <v>37</v>
      </c>
      <c r="BF126" s="100">
        <v>3</v>
      </c>
      <c r="BG126" s="100">
        <v>3</v>
      </c>
      <c r="BH126" s="341">
        <v>1.1561708859108999</v>
      </c>
      <c r="BI126" s="341">
        <v>0.38539029530363511</v>
      </c>
      <c r="BJ126" s="342">
        <v>0.38539029530363511</v>
      </c>
    </row>
    <row r="127" spans="3:62" s="3" customFormat="1" ht="18" customHeight="1" x14ac:dyDescent="0.2">
      <c r="C127" s="39">
        <v>43</v>
      </c>
      <c r="D127" s="263">
        <v>0.20142711884665099</v>
      </c>
      <c r="F127" s="39">
        <v>43</v>
      </c>
      <c r="G127" s="39">
        <v>16</v>
      </c>
      <c r="H127" s="39">
        <v>4</v>
      </c>
      <c r="I127" s="39">
        <v>1</v>
      </c>
      <c r="K127" s="39">
        <v>43</v>
      </c>
      <c r="L127" s="39">
        <v>16</v>
      </c>
      <c r="M127" s="39">
        <v>4</v>
      </c>
      <c r="N127" s="263">
        <v>1.1870165420889099E-11</v>
      </c>
      <c r="Q127" s="39">
        <v>43</v>
      </c>
      <c r="R127" s="263">
        <v>1.1870165420889099E-11</v>
      </c>
      <c r="T127" s="345"/>
      <c r="U127" s="355">
        <v>42</v>
      </c>
      <c r="V127" s="339">
        <v>0</v>
      </c>
      <c r="W127" s="340">
        <v>0</v>
      </c>
      <c r="X127" s="340">
        <v>0.101303810126881</v>
      </c>
      <c r="Y127" s="356">
        <v>0.10115687828879801</v>
      </c>
      <c r="Z127" s="346"/>
      <c r="AA127" s="39">
        <v>42</v>
      </c>
      <c r="AB127" s="35">
        <v>3</v>
      </c>
      <c r="AC127" s="36">
        <v>2</v>
      </c>
      <c r="AD127" s="36">
        <v>1</v>
      </c>
      <c r="AE127" s="36">
        <v>3</v>
      </c>
      <c r="AF127" s="36">
        <v>2</v>
      </c>
      <c r="AG127" s="288">
        <v>0.76509442406556405</v>
      </c>
      <c r="AI127" s="39">
        <v>42</v>
      </c>
      <c r="AJ127" s="35">
        <v>6</v>
      </c>
      <c r="AK127" s="36">
        <v>6</v>
      </c>
      <c r="AL127" s="36">
        <v>37</v>
      </c>
      <c r="AM127" s="36">
        <v>3</v>
      </c>
      <c r="AN127" s="36">
        <v>1</v>
      </c>
      <c r="AO127" s="288">
        <v>1.1521049504555501</v>
      </c>
      <c r="AQ127" s="39">
        <v>42</v>
      </c>
      <c r="AR127" s="35">
        <v>6</v>
      </c>
      <c r="AS127" s="36">
        <v>6</v>
      </c>
      <c r="AT127" s="36">
        <v>37</v>
      </c>
      <c r="AU127" s="36">
        <v>3</v>
      </c>
      <c r="AV127" s="36">
        <v>1</v>
      </c>
      <c r="AW127" s="287">
        <v>1.1553976955596601</v>
      </c>
      <c r="AX127" s="288">
        <v>0.38513256518655198</v>
      </c>
      <c r="AZ127" s="39">
        <v>42</v>
      </c>
      <c r="BA127" s="105">
        <v>5</v>
      </c>
      <c r="BB127" s="100">
        <v>1</v>
      </c>
      <c r="BC127" s="100">
        <v>2</v>
      </c>
      <c r="BD127" s="100">
        <v>6</v>
      </c>
      <c r="BE127" s="100">
        <v>37</v>
      </c>
      <c r="BF127" s="100">
        <v>3</v>
      </c>
      <c r="BG127" s="100">
        <v>3</v>
      </c>
      <c r="BH127" s="341">
        <v>0.26792270686531999</v>
      </c>
      <c r="BI127" s="341">
        <v>8.9307568955106706E-2</v>
      </c>
      <c r="BJ127" s="342">
        <v>8.9307568955106706E-2</v>
      </c>
    </row>
    <row r="128" spans="3:62" s="3" customFormat="1" ht="18" customHeight="1" x14ac:dyDescent="0.2">
      <c r="C128" s="39">
        <v>44</v>
      </c>
      <c r="D128" s="263">
        <v>0.60655878268679009</v>
      </c>
      <c r="F128" s="39">
        <v>44</v>
      </c>
      <c r="G128" s="39">
        <v>17</v>
      </c>
      <c r="H128" s="39">
        <v>1</v>
      </c>
      <c r="I128" s="39">
        <v>1</v>
      </c>
      <c r="K128" s="39">
        <v>44</v>
      </c>
      <c r="L128" s="39">
        <v>17</v>
      </c>
      <c r="M128" s="39">
        <v>1</v>
      </c>
      <c r="N128" s="263">
        <v>0.98031905363266003</v>
      </c>
      <c r="Q128" s="39">
        <v>44</v>
      </c>
      <c r="R128" s="263">
        <v>0.98031905363266003</v>
      </c>
      <c r="T128" s="345"/>
      <c r="U128" s="355">
        <v>43</v>
      </c>
      <c r="V128" s="339">
        <v>0</v>
      </c>
      <c r="W128" s="340">
        <v>0</v>
      </c>
      <c r="X128" s="340">
        <v>0.10078363944635001</v>
      </c>
      <c r="Y128" s="356">
        <v>0.100643477382482</v>
      </c>
      <c r="Z128" s="346"/>
      <c r="AA128" s="39">
        <v>43</v>
      </c>
      <c r="AB128" s="35">
        <v>3</v>
      </c>
      <c r="AC128" s="36">
        <v>2</v>
      </c>
      <c r="AD128" s="36">
        <v>1</v>
      </c>
      <c r="AE128" s="36">
        <v>3</v>
      </c>
      <c r="AF128" s="36">
        <v>3</v>
      </c>
      <c r="AG128" s="288">
        <v>4.2122832816034997E-12</v>
      </c>
      <c r="AI128" s="39">
        <v>43</v>
      </c>
      <c r="AJ128" s="35">
        <v>6</v>
      </c>
      <c r="AK128" s="36">
        <v>6</v>
      </c>
      <c r="AL128" s="36">
        <v>37</v>
      </c>
      <c r="AM128" s="36">
        <v>3</v>
      </c>
      <c r="AN128" s="36">
        <v>2</v>
      </c>
      <c r="AO128" s="288">
        <v>0.27144865248534999</v>
      </c>
      <c r="AQ128" s="39">
        <v>43</v>
      </c>
      <c r="AR128" s="35">
        <v>6</v>
      </c>
      <c r="AS128" s="36">
        <v>6</v>
      </c>
      <c r="AT128" s="36">
        <v>37</v>
      </c>
      <c r="AU128" s="36">
        <v>3</v>
      </c>
      <c r="AV128" s="36">
        <v>2</v>
      </c>
      <c r="AW128" s="287">
        <v>0.26786058692055098</v>
      </c>
      <c r="AX128" s="288">
        <v>8.9286862306850512E-2</v>
      </c>
      <c r="AZ128" s="39">
        <v>43</v>
      </c>
      <c r="BA128" s="105">
        <v>5</v>
      </c>
      <c r="BB128" s="100">
        <v>2</v>
      </c>
      <c r="BC128" s="100">
        <v>1</v>
      </c>
      <c r="BD128" s="100">
        <v>6</v>
      </c>
      <c r="BE128" s="100">
        <v>37</v>
      </c>
      <c r="BF128" s="100">
        <v>3</v>
      </c>
      <c r="BG128" s="100">
        <v>3</v>
      </c>
      <c r="BH128" s="341">
        <v>1.15544411216623</v>
      </c>
      <c r="BI128" s="341">
        <v>0.38514803738874398</v>
      </c>
      <c r="BJ128" s="342">
        <v>0.38514803738874398</v>
      </c>
    </row>
    <row r="129" spans="3:62" s="3" customFormat="1" ht="18" customHeight="1" x14ac:dyDescent="0.2">
      <c r="C129" s="39">
        <v>45</v>
      </c>
      <c r="D129" s="263">
        <v>0.606910002408383</v>
      </c>
      <c r="F129" s="39">
        <v>45</v>
      </c>
      <c r="G129" s="39">
        <v>17</v>
      </c>
      <c r="H129" s="39">
        <v>2</v>
      </c>
      <c r="I129" s="39">
        <v>1</v>
      </c>
      <c r="K129" s="39">
        <v>45</v>
      </c>
      <c r="L129" s="39">
        <v>17</v>
      </c>
      <c r="M129" s="39">
        <v>2</v>
      </c>
      <c r="N129" s="263">
        <v>0.25228489901564499</v>
      </c>
      <c r="Q129" s="39">
        <v>45</v>
      </c>
      <c r="R129" s="263">
        <v>0.25228489901564499</v>
      </c>
      <c r="T129" s="345"/>
      <c r="U129" s="355">
        <v>44</v>
      </c>
      <c r="V129" s="339">
        <v>1.20436643395915</v>
      </c>
      <c r="W129" s="340">
        <v>0.27169814701199801</v>
      </c>
      <c r="X129" s="340">
        <v>2.2497951896705101E-11</v>
      </c>
      <c r="Y129" s="356">
        <v>1.55749035816692E-11</v>
      </c>
      <c r="Z129" s="346"/>
      <c r="AA129" s="39">
        <v>44</v>
      </c>
      <c r="AB129" s="35">
        <v>3</v>
      </c>
      <c r="AC129" s="36">
        <v>2</v>
      </c>
      <c r="AD129" s="36">
        <v>1</v>
      </c>
      <c r="AE129" s="36">
        <v>3</v>
      </c>
      <c r="AF129" s="36">
        <v>4</v>
      </c>
      <c r="AG129" s="288">
        <v>2.6852184198509001E-12</v>
      </c>
      <c r="AI129" s="39">
        <v>44</v>
      </c>
      <c r="AJ129" s="35">
        <v>6</v>
      </c>
      <c r="AK129" s="36">
        <v>7</v>
      </c>
      <c r="AL129" s="36">
        <v>37</v>
      </c>
      <c r="AM129" s="36">
        <v>3</v>
      </c>
      <c r="AN129" s="36">
        <v>1</v>
      </c>
      <c r="AO129" s="288">
        <v>1.15179671003246</v>
      </c>
      <c r="AQ129" s="39">
        <v>44</v>
      </c>
      <c r="AR129" s="35">
        <v>6</v>
      </c>
      <c r="AS129" s="36">
        <v>7</v>
      </c>
      <c r="AT129" s="36">
        <v>37</v>
      </c>
      <c r="AU129" s="36">
        <v>3</v>
      </c>
      <c r="AV129" s="36">
        <v>1</v>
      </c>
      <c r="AW129" s="287">
        <v>1.15603861153507</v>
      </c>
      <c r="AX129" s="288">
        <v>0.38534620384502399</v>
      </c>
      <c r="AZ129" s="39">
        <v>44</v>
      </c>
      <c r="BA129" s="105">
        <v>5</v>
      </c>
      <c r="BB129" s="100">
        <v>2</v>
      </c>
      <c r="BC129" s="100">
        <v>2</v>
      </c>
      <c r="BD129" s="100">
        <v>6</v>
      </c>
      <c r="BE129" s="100">
        <v>37</v>
      </c>
      <c r="BF129" s="100">
        <v>3</v>
      </c>
      <c r="BG129" s="100">
        <v>3</v>
      </c>
      <c r="BH129" s="341">
        <v>0.26786428426466402</v>
      </c>
      <c r="BI129" s="341">
        <v>8.9288094754887914E-2</v>
      </c>
      <c r="BJ129" s="342">
        <v>8.9288094754887914E-2</v>
      </c>
    </row>
    <row r="130" spans="3:62" s="3" customFormat="1" ht="18" customHeight="1" x14ac:dyDescent="0.2">
      <c r="C130" s="39">
        <v>46</v>
      </c>
      <c r="D130" s="263">
        <v>0.60724113180488304</v>
      </c>
      <c r="F130" s="39">
        <v>46</v>
      </c>
      <c r="G130" s="39">
        <v>17</v>
      </c>
      <c r="H130" s="39">
        <v>3</v>
      </c>
      <c r="I130" s="39">
        <v>1</v>
      </c>
      <c r="K130" s="39">
        <v>46</v>
      </c>
      <c r="L130" s="39">
        <v>17</v>
      </c>
      <c r="M130" s="39">
        <v>3</v>
      </c>
      <c r="N130" s="263">
        <v>1.5774443291739099E-11</v>
      </c>
      <c r="Q130" s="39">
        <v>46</v>
      </c>
      <c r="R130" s="263">
        <v>1.5774443291739099E-11</v>
      </c>
      <c r="T130" s="345"/>
      <c r="U130" s="355">
        <v>45</v>
      </c>
      <c r="V130" s="339">
        <v>0</v>
      </c>
      <c r="W130" s="340">
        <v>0</v>
      </c>
      <c r="X130" s="340">
        <v>0.30746432894154901</v>
      </c>
      <c r="Y130" s="356">
        <v>0.29944567452314402</v>
      </c>
      <c r="Z130" s="346"/>
      <c r="AA130" s="39">
        <v>45</v>
      </c>
      <c r="AB130" s="35">
        <v>3</v>
      </c>
      <c r="AC130" s="36">
        <v>4</v>
      </c>
      <c r="AD130" s="36">
        <v>1</v>
      </c>
      <c r="AE130" s="36">
        <v>3</v>
      </c>
      <c r="AF130" s="36">
        <v>1</v>
      </c>
      <c r="AG130" s="288">
        <v>0</v>
      </c>
      <c r="AI130" s="39">
        <v>45</v>
      </c>
      <c r="AJ130" s="35">
        <v>6</v>
      </c>
      <c r="AK130" s="36">
        <v>7</v>
      </c>
      <c r="AL130" s="36">
        <v>37</v>
      </c>
      <c r="AM130" s="36">
        <v>3</v>
      </c>
      <c r="AN130" s="36">
        <v>2</v>
      </c>
      <c r="AO130" s="288">
        <v>0.27142303827056002</v>
      </c>
      <c r="AQ130" s="39">
        <v>45</v>
      </c>
      <c r="AR130" s="35">
        <v>6</v>
      </c>
      <c r="AS130" s="36">
        <v>7</v>
      </c>
      <c r="AT130" s="36">
        <v>37</v>
      </c>
      <c r="AU130" s="36">
        <v>3</v>
      </c>
      <c r="AV130" s="36">
        <v>2</v>
      </c>
      <c r="AW130" s="287">
        <v>0.26791208259459098</v>
      </c>
      <c r="AX130" s="288">
        <v>8.9304027531530508E-2</v>
      </c>
      <c r="AZ130" s="39">
        <v>45</v>
      </c>
      <c r="BA130" s="105">
        <v>5</v>
      </c>
      <c r="BB130" s="100">
        <v>4</v>
      </c>
      <c r="BC130" s="100">
        <v>1</v>
      </c>
      <c r="BD130" s="100">
        <v>6</v>
      </c>
      <c r="BE130" s="100">
        <v>37</v>
      </c>
      <c r="BF130" s="100">
        <v>3</v>
      </c>
      <c r="BG130" s="100">
        <v>3</v>
      </c>
      <c r="BH130" s="341">
        <v>1.1557667807034799</v>
      </c>
      <c r="BI130" s="341">
        <v>0.38525559356782801</v>
      </c>
      <c r="BJ130" s="342">
        <v>0.38525559356782801</v>
      </c>
    </row>
    <row r="131" spans="3:62" s="3" customFormat="1" ht="18" customHeight="1" x14ac:dyDescent="0.2">
      <c r="C131" s="39">
        <v>47</v>
      </c>
      <c r="D131" s="263">
        <v>0.60517399412587403</v>
      </c>
      <c r="F131" s="39">
        <v>47</v>
      </c>
      <c r="G131" s="39">
        <v>17</v>
      </c>
      <c r="H131" s="39">
        <v>4</v>
      </c>
      <c r="I131" s="39">
        <v>1</v>
      </c>
      <c r="K131" s="39">
        <v>47</v>
      </c>
      <c r="L131" s="39">
        <v>17</v>
      </c>
      <c r="M131" s="39">
        <v>4</v>
      </c>
      <c r="N131" s="263">
        <v>1.8561387311031502E-11</v>
      </c>
      <c r="Q131" s="39">
        <v>47</v>
      </c>
      <c r="R131" s="263">
        <v>1.8561387311031502E-11</v>
      </c>
      <c r="T131" s="345"/>
      <c r="U131" s="355">
        <v>46</v>
      </c>
      <c r="V131" s="339">
        <v>0</v>
      </c>
      <c r="W131" s="340">
        <v>0</v>
      </c>
      <c r="X131" s="340">
        <v>0.30763432751750208</v>
      </c>
      <c r="Y131" s="356">
        <v>0.29960680765313707</v>
      </c>
      <c r="Z131" s="346"/>
      <c r="AA131" s="39">
        <v>46</v>
      </c>
      <c r="AB131" s="35">
        <v>3</v>
      </c>
      <c r="AC131" s="36">
        <v>4</v>
      </c>
      <c r="AD131" s="36">
        <v>1</v>
      </c>
      <c r="AE131" s="36">
        <v>3</v>
      </c>
      <c r="AF131" s="36">
        <v>2</v>
      </c>
      <c r="AG131" s="288">
        <v>0.76561136472145697</v>
      </c>
      <c r="AI131" s="39">
        <v>46</v>
      </c>
      <c r="AJ131" s="35">
        <v>6</v>
      </c>
      <c r="AK131" s="36">
        <v>9</v>
      </c>
      <c r="AL131" s="36">
        <v>37</v>
      </c>
      <c r="AM131" s="36">
        <v>3</v>
      </c>
      <c r="AN131" s="36">
        <v>1</v>
      </c>
      <c r="AO131" s="288">
        <v>1.1517494255624501</v>
      </c>
      <c r="AQ131" s="39">
        <v>46</v>
      </c>
      <c r="AR131" s="35">
        <v>6</v>
      </c>
      <c r="AS131" s="36">
        <v>9</v>
      </c>
      <c r="AT131" s="36">
        <v>37</v>
      </c>
      <c r="AU131" s="36">
        <v>3</v>
      </c>
      <c r="AV131" s="36">
        <v>1</v>
      </c>
      <c r="AW131" s="287">
        <v>1.1543403098235401</v>
      </c>
      <c r="AX131" s="288">
        <v>0.38478010327451201</v>
      </c>
      <c r="AZ131" s="39">
        <v>46</v>
      </c>
      <c r="BA131" s="105">
        <v>5</v>
      </c>
      <c r="BB131" s="100">
        <v>4</v>
      </c>
      <c r="BC131" s="100">
        <v>2</v>
      </c>
      <c r="BD131" s="100">
        <v>6</v>
      </c>
      <c r="BE131" s="100">
        <v>37</v>
      </c>
      <c r="BF131" s="100">
        <v>3</v>
      </c>
      <c r="BG131" s="100">
        <v>3</v>
      </c>
      <c r="BH131" s="341">
        <v>0.26789024601560107</v>
      </c>
      <c r="BI131" s="341">
        <v>8.9296748671867002E-2</v>
      </c>
      <c r="BJ131" s="342">
        <v>8.9296748671867002E-2</v>
      </c>
    </row>
    <row r="132" spans="3:62" s="3" customFormat="1" ht="18.5" customHeight="1" thickBot="1" x14ac:dyDescent="0.25">
      <c r="C132" s="56">
        <v>48</v>
      </c>
      <c r="D132" s="264">
        <v>1.81967634806052</v>
      </c>
      <c r="F132" s="39">
        <v>48</v>
      </c>
      <c r="G132" s="39">
        <v>18</v>
      </c>
      <c r="H132" s="39">
        <v>1</v>
      </c>
      <c r="I132" s="39">
        <v>1</v>
      </c>
      <c r="K132" s="39">
        <v>48</v>
      </c>
      <c r="L132" s="39">
        <v>18</v>
      </c>
      <c r="M132" s="39">
        <v>1</v>
      </c>
      <c r="N132" s="263">
        <v>0.98039631933014404</v>
      </c>
      <c r="Q132" s="39">
        <v>48</v>
      </c>
      <c r="R132" s="263">
        <v>0.98039631933014404</v>
      </c>
      <c r="T132" s="345"/>
      <c r="U132" s="355">
        <v>47</v>
      </c>
      <c r="V132" s="339">
        <v>0</v>
      </c>
      <c r="W132" s="340">
        <v>0</v>
      </c>
      <c r="X132" s="340">
        <v>0.30657310631109908</v>
      </c>
      <c r="Y132" s="356">
        <v>0.298600890315595</v>
      </c>
      <c r="Z132" s="346"/>
      <c r="AA132" s="39">
        <v>47</v>
      </c>
      <c r="AB132" s="35">
        <v>3</v>
      </c>
      <c r="AC132" s="36">
        <v>4</v>
      </c>
      <c r="AD132" s="36">
        <v>1</v>
      </c>
      <c r="AE132" s="36">
        <v>3</v>
      </c>
      <c r="AF132" s="36">
        <v>3</v>
      </c>
      <c r="AG132" s="288">
        <v>3.2303261941632402E-12</v>
      </c>
      <c r="AI132" s="39">
        <v>47</v>
      </c>
      <c r="AJ132" s="35">
        <v>6</v>
      </c>
      <c r="AK132" s="36">
        <v>9</v>
      </c>
      <c r="AL132" s="36">
        <v>37</v>
      </c>
      <c r="AM132" s="36">
        <v>3</v>
      </c>
      <c r="AN132" s="36">
        <v>2</v>
      </c>
      <c r="AO132" s="288">
        <v>0.27141910831175098</v>
      </c>
      <c r="AQ132" s="39">
        <v>47</v>
      </c>
      <c r="AR132" s="35">
        <v>6</v>
      </c>
      <c r="AS132" s="36">
        <v>9</v>
      </c>
      <c r="AT132" s="36">
        <v>37</v>
      </c>
      <c r="AU132" s="36">
        <v>3</v>
      </c>
      <c r="AV132" s="36">
        <v>2</v>
      </c>
      <c r="AW132" s="287">
        <v>0.267775695335289</v>
      </c>
      <c r="AX132" s="288">
        <v>8.9258565111763097E-2</v>
      </c>
      <c r="AZ132" s="39">
        <v>47</v>
      </c>
      <c r="BA132" s="105">
        <v>5</v>
      </c>
      <c r="BB132" s="100">
        <v>6</v>
      </c>
      <c r="BC132" s="100">
        <v>1</v>
      </c>
      <c r="BD132" s="100">
        <v>6</v>
      </c>
      <c r="BE132" s="100">
        <v>37</v>
      </c>
      <c r="BF132" s="100">
        <v>3</v>
      </c>
      <c r="BG132" s="100">
        <v>3</v>
      </c>
      <c r="BH132" s="341">
        <v>1.1553976955596601</v>
      </c>
      <c r="BI132" s="341">
        <v>0.38513256518655198</v>
      </c>
      <c r="BJ132" s="342">
        <v>0.38513256518655198</v>
      </c>
    </row>
    <row r="133" spans="3:62" s="3" customFormat="1" ht="19" customHeight="1" thickBot="1" x14ac:dyDescent="0.25">
      <c r="C133" s="28">
        <v>49</v>
      </c>
      <c r="D133" s="262">
        <v>15</v>
      </c>
      <c r="F133" s="39">
        <v>49</v>
      </c>
      <c r="G133" s="39">
        <v>18</v>
      </c>
      <c r="H133" s="39">
        <v>2</v>
      </c>
      <c r="I133" s="39">
        <v>1</v>
      </c>
      <c r="K133" s="39">
        <v>49</v>
      </c>
      <c r="L133" s="39">
        <v>18</v>
      </c>
      <c r="M133" s="39">
        <v>2</v>
      </c>
      <c r="N133" s="263">
        <v>0.25229277655773802</v>
      </c>
      <c r="Q133" s="39">
        <v>49</v>
      </c>
      <c r="R133" s="263">
        <v>0.25229277655773802</v>
      </c>
      <c r="T133" s="345"/>
      <c r="U133" s="357">
        <v>48</v>
      </c>
      <c r="V133" s="358">
        <v>0</v>
      </c>
      <c r="W133" s="359">
        <v>0</v>
      </c>
      <c r="X133" s="359">
        <v>0.93493784254936618</v>
      </c>
      <c r="Y133" s="360">
        <v>0.88473849466178411</v>
      </c>
      <c r="Z133" s="346"/>
      <c r="AA133" s="39">
        <v>48</v>
      </c>
      <c r="AB133" s="35">
        <v>3</v>
      </c>
      <c r="AC133" s="36">
        <v>4</v>
      </c>
      <c r="AD133" s="36">
        <v>1</v>
      </c>
      <c r="AE133" s="36">
        <v>3</v>
      </c>
      <c r="AF133" s="36">
        <v>4</v>
      </c>
      <c r="AG133" s="288">
        <v>5.6608173733885987E-12</v>
      </c>
      <c r="AI133" s="39">
        <v>48</v>
      </c>
      <c r="AJ133" s="35">
        <v>7</v>
      </c>
      <c r="AK133" s="36">
        <v>1</v>
      </c>
      <c r="AL133" s="36">
        <v>4</v>
      </c>
      <c r="AM133" s="36">
        <v>13</v>
      </c>
      <c r="AN133" s="36">
        <v>3</v>
      </c>
      <c r="AO133" s="288">
        <v>0.70425928730551701</v>
      </c>
      <c r="AQ133" s="39">
        <v>48</v>
      </c>
      <c r="AR133" s="35">
        <v>7</v>
      </c>
      <c r="AS133" s="36">
        <v>1</v>
      </c>
      <c r="AT133" s="36">
        <v>4</v>
      </c>
      <c r="AU133" s="36">
        <v>13</v>
      </c>
      <c r="AV133" s="36">
        <v>3</v>
      </c>
      <c r="AW133" s="287">
        <v>0.73658335852302004</v>
      </c>
      <c r="AX133" s="288">
        <v>5.6660258347924597E-2</v>
      </c>
      <c r="AZ133" s="39">
        <v>48</v>
      </c>
      <c r="BA133" s="105">
        <v>5</v>
      </c>
      <c r="BB133" s="100">
        <v>6</v>
      </c>
      <c r="BC133" s="100">
        <v>2</v>
      </c>
      <c r="BD133" s="100">
        <v>6</v>
      </c>
      <c r="BE133" s="100">
        <v>37</v>
      </c>
      <c r="BF133" s="100">
        <v>3</v>
      </c>
      <c r="BG133" s="100">
        <v>3</v>
      </c>
      <c r="BH133" s="341">
        <v>0.26786058692055098</v>
      </c>
      <c r="BI133" s="341">
        <v>8.9286862306850512E-2</v>
      </c>
      <c r="BJ133" s="342">
        <v>8.9286862306850512E-2</v>
      </c>
    </row>
    <row r="134" spans="3:62" s="3" customFormat="1" ht="18.5" customHeight="1" x14ac:dyDescent="0.2">
      <c r="C134" s="39">
        <v>50</v>
      </c>
      <c r="D134" s="263">
        <v>10</v>
      </c>
      <c r="F134" s="39">
        <v>50</v>
      </c>
      <c r="G134" s="39">
        <v>18</v>
      </c>
      <c r="H134" s="39">
        <v>3</v>
      </c>
      <c r="I134" s="39">
        <v>1</v>
      </c>
      <c r="K134" s="39">
        <v>50</v>
      </c>
      <c r="L134" s="39">
        <v>18</v>
      </c>
      <c r="M134" s="39">
        <v>3</v>
      </c>
      <c r="N134" s="263">
        <v>1.3873514104179E-11</v>
      </c>
      <c r="Q134" s="39">
        <v>50</v>
      </c>
      <c r="R134" s="263">
        <v>1.3873514104179E-11</v>
      </c>
      <c r="U134" s="348"/>
      <c r="V134" s="348"/>
      <c r="W134" s="348"/>
      <c r="X134" s="348"/>
      <c r="Y134" s="348"/>
      <c r="AA134" s="39">
        <v>49</v>
      </c>
      <c r="AB134" s="35">
        <v>3</v>
      </c>
      <c r="AC134" s="36">
        <v>6</v>
      </c>
      <c r="AD134" s="36">
        <v>1</v>
      </c>
      <c r="AE134" s="36">
        <v>3</v>
      </c>
      <c r="AF134" s="36">
        <v>1</v>
      </c>
      <c r="AG134" s="288">
        <v>0</v>
      </c>
      <c r="AI134" s="39">
        <v>49</v>
      </c>
      <c r="AJ134" s="35">
        <v>7</v>
      </c>
      <c r="AK134" s="36">
        <v>1</v>
      </c>
      <c r="AL134" s="36">
        <v>4</v>
      </c>
      <c r="AM134" s="36">
        <v>13</v>
      </c>
      <c r="AN134" s="36">
        <v>4</v>
      </c>
      <c r="AO134" s="288">
        <v>0.68732094779180208</v>
      </c>
      <c r="AQ134" s="39">
        <v>49</v>
      </c>
      <c r="AR134" s="35">
        <v>7</v>
      </c>
      <c r="AS134" s="36">
        <v>1</v>
      </c>
      <c r="AT134" s="36">
        <v>4</v>
      </c>
      <c r="AU134" s="36">
        <v>13</v>
      </c>
      <c r="AV134" s="36">
        <v>4</v>
      </c>
      <c r="AW134" s="287">
        <v>0.70116165005735698</v>
      </c>
      <c r="AX134" s="288">
        <v>5.3935511542873613E-2</v>
      </c>
      <c r="AZ134" s="39">
        <v>49</v>
      </c>
      <c r="BA134" s="105">
        <v>5</v>
      </c>
      <c r="BB134" s="100">
        <v>7</v>
      </c>
      <c r="BC134" s="100">
        <v>1</v>
      </c>
      <c r="BD134" s="100">
        <v>6</v>
      </c>
      <c r="BE134" s="100">
        <v>37</v>
      </c>
      <c r="BF134" s="100">
        <v>3</v>
      </c>
      <c r="BG134" s="100">
        <v>3</v>
      </c>
      <c r="BH134" s="341">
        <v>1.15603861153507</v>
      </c>
      <c r="BI134" s="341">
        <v>0.38534620384502399</v>
      </c>
      <c r="BJ134" s="342">
        <v>0.38534620384502399</v>
      </c>
    </row>
    <row r="135" spans="3:62" s="3" customFormat="1" ht="18" customHeight="1" x14ac:dyDescent="0.2">
      <c r="C135" s="39">
        <v>51</v>
      </c>
      <c r="D135" s="263">
        <v>5</v>
      </c>
      <c r="F135" s="39">
        <v>51</v>
      </c>
      <c r="G135" s="39">
        <v>18</v>
      </c>
      <c r="H135" s="39">
        <v>4</v>
      </c>
      <c r="I135" s="39">
        <v>1</v>
      </c>
      <c r="K135" s="39">
        <v>51</v>
      </c>
      <c r="L135" s="39">
        <v>18</v>
      </c>
      <c r="M135" s="39">
        <v>4</v>
      </c>
      <c r="N135" s="263">
        <v>1.58418719767558E-11</v>
      </c>
      <c r="Q135" s="39">
        <v>51</v>
      </c>
      <c r="R135" s="263">
        <v>1.58418719767558E-11</v>
      </c>
      <c r="AA135" s="39">
        <v>50</v>
      </c>
      <c r="AB135" s="35">
        <v>3</v>
      </c>
      <c r="AC135" s="36">
        <v>6</v>
      </c>
      <c r="AD135" s="36">
        <v>1</v>
      </c>
      <c r="AE135" s="36">
        <v>3</v>
      </c>
      <c r="AF135" s="36">
        <v>2</v>
      </c>
      <c r="AG135" s="288">
        <v>0.76502080312954102</v>
      </c>
      <c r="AI135" s="39">
        <v>50</v>
      </c>
      <c r="AJ135" s="35">
        <v>7</v>
      </c>
      <c r="AK135" s="36">
        <v>2</v>
      </c>
      <c r="AL135" s="36">
        <v>4</v>
      </c>
      <c r="AM135" s="36">
        <v>13</v>
      </c>
      <c r="AN135" s="36">
        <v>3</v>
      </c>
      <c r="AO135" s="288">
        <v>0.70250404097406105</v>
      </c>
      <c r="AQ135" s="39">
        <v>50</v>
      </c>
      <c r="AR135" s="35">
        <v>7</v>
      </c>
      <c r="AS135" s="36">
        <v>2</v>
      </c>
      <c r="AT135" s="36">
        <v>4</v>
      </c>
      <c r="AU135" s="36">
        <v>13</v>
      </c>
      <c r="AV135" s="36">
        <v>3</v>
      </c>
      <c r="AW135" s="287">
        <v>0.73359669514078096</v>
      </c>
      <c r="AX135" s="288">
        <v>5.6430515010829303E-2</v>
      </c>
      <c r="AZ135" s="39">
        <v>50</v>
      </c>
      <c r="BA135" s="105">
        <v>5</v>
      </c>
      <c r="BB135" s="100">
        <v>7</v>
      </c>
      <c r="BC135" s="100">
        <v>2</v>
      </c>
      <c r="BD135" s="100">
        <v>6</v>
      </c>
      <c r="BE135" s="100">
        <v>37</v>
      </c>
      <c r="BF135" s="100">
        <v>3</v>
      </c>
      <c r="BG135" s="100">
        <v>3</v>
      </c>
      <c r="BH135" s="341">
        <v>0.26791208259459098</v>
      </c>
      <c r="BI135" s="341">
        <v>8.9304027531530508E-2</v>
      </c>
      <c r="BJ135" s="342">
        <v>8.9304027531530508E-2</v>
      </c>
    </row>
    <row r="136" spans="3:62" s="3" customFormat="1" ht="18.5" customHeight="1" x14ac:dyDescent="0.2">
      <c r="C136" s="56">
        <v>52</v>
      </c>
      <c r="D136" s="264">
        <v>3</v>
      </c>
      <c r="F136" s="39">
        <v>52</v>
      </c>
      <c r="G136" s="39">
        <v>19</v>
      </c>
      <c r="H136" s="39">
        <v>1</v>
      </c>
      <c r="I136" s="39">
        <v>1</v>
      </c>
      <c r="K136" s="39">
        <v>52</v>
      </c>
      <c r="L136" s="39">
        <v>19</v>
      </c>
      <c r="M136" s="39">
        <v>1</v>
      </c>
      <c r="N136" s="263">
        <v>0.9804543417674062</v>
      </c>
      <c r="Q136" s="39">
        <v>52</v>
      </c>
      <c r="R136" s="263">
        <v>0.9804543417674062</v>
      </c>
      <c r="AA136" s="39">
        <v>51</v>
      </c>
      <c r="AB136" s="35">
        <v>3</v>
      </c>
      <c r="AC136" s="36">
        <v>6</v>
      </c>
      <c r="AD136" s="36">
        <v>1</v>
      </c>
      <c r="AE136" s="36">
        <v>3</v>
      </c>
      <c r="AF136" s="36">
        <v>3</v>
      </c>
      <c r="AG136" s="288">
        <v>1.0210927130530101E-11</v>
      </c>
      <c r="AI136" s="39">
        <v>51</v>
      </c>
      <c r="AJ136" s="35">
        <v>7</v>
      </c>
      <c r="AK136" s="36">
        <v>2</v>
      </c>
      <c r="AL136" s="36">
        <v>4</v>
      </c>
      <c r="AM136" s="36">
        <v>13</v>
      </c>
      <c r="AN136" s="36">
        <v>4</v>
      </c>
      <c r="AO136" s="288">
        <v>0.68562957263034408</v>
      </c>
      <c r="AQ136" s="39">
        <v>51</v>
      </c>
      <c r="AR136" s="35">
        <v>7</v>
      </c>
      <c r="AS136" s="36">
        <v>2</v>
      </c>
      <c r="AT136" s="36">
        <v>4</v>
      </c>
      <c r="AU136" s="36">
        <v>13</v>
      </c>
      <c r="AV136" s="36">
        <v>4</v>
      </c>
      <c r="AW136" s="287">
        <v>0.69838973156980211</v>
      </c>
      <c r="AX136" s="288">
        <v>5.3722287043830898E-2</v>
      </c>
      <c r="AZ136" s="39">
        <v>51</v>
      </c>
      <c r="BA136" s="105">
        <v>5</v>
      </c>
      <c r="BB136" s="100">
        <v>9</v>
      </c>
      <c r="BC136" s="100">
        <v>1</v>
      </c>
      <c r="BD136" s="100">
        <v>6</v>
      </c>
      <c r="BE136" s="100">
        <v>37</v>
      </c>
      <c r="BF136" s="100">
        <v>3</v>
      </c>
      <c r="BG136" s="100">
        <v>3</v>
      </c>
      <c r="BH136" s="341">
        <v>1.1543403098235401</v>
      </c>
      <c r="BI136" s="341">
        <v>0.38478010327451201</v>
      </c>
      <c r="BJ136" s="342">
        <v>0.38478010327451201</v>
      </c>
    </row>
    <row r="137" spans="3:62" s="3" customFormat="1" ht="18.5" customHeight="1" x14ac:dyDescent="0.2">
      <c r="F137" s="39">
        <v>53</v>
      </c>
      <c r="G137" s="39">
        <v>19</v>
      </c>
      <c r="H137" s="39">
        <v>2</v>
      </c>
      <c r="I137" s="39">
        <v>1</v>
      </c>
      <c r="K137" s="39">
        <v>53</v>
      </c>
      <c r="L137" s="39">
        <v>19</v>
      </c>
      <c r="M137" s="39">
        <v>2</v>
      </c>
      <c r="N137" s="263">
        <v>0.252298528408337</v>
      </c>
      <c r="Q137" s="39">
        <v>53</v>
      </c>
      <c r="R137" s="263">
        <v>0.252298528408337</v>
      </c>
      <c r="AA137" s="39">
        <v>52</v>
      </c>
      <c r="AB137" s="35">
        <v>3</v>
      </c>
      <c r="AC137" s="36">
        <v>6</v>
      </c>
      <c r="AD137" s="36">
        <v>1</v>
      </c>
      <c r="AE137" s="36">
        <v>3</v>
      </c>
      <c r="AF137" s="36">
        <v>4</v>
      </c>
      <c r="AG137" s="288">
        <v>2.6259974889459102E-12</v>
      </c>
      <c r="AI137" s="39">
        <v>52</v>
      </c>
      <c r="AJ137" s="35">
        <v>7</v>
      </c>
      <c r="AK137" s="36">
        <v>3</v>
      </c>
      <c r="AL137" s="36">
        <v>4</v>
      </c>
      <c r="AM137" s="36">
        <v>13</v>
      </c>
      <c r="AN137" s="36">
        <v>3</v>
      </c>
      <c r="AO137" s="288">
        <v>0.70311859320756209</v>
      </c>
      <c r="AQ137" s="39">
        <v>52</v>
      </c>
      <c r="AR137" s="35">
        <v>7</v>
      </c>
      <c r="AS137" s="36">
        <v>3</v>
      </c>
      <c r="AT137" s="36">
        <v>4</v>
      </c>
      <c r="AU137" s="36">
        <v>13</v>
      </c>
      <c r="AV137" s="36">
        <v>3</v>
      </c>
      <c r="AW137" s="287">
        <v>0.73440610522350103</v>
      </c>
      <c r="AX137" s="288">
        <v>5.6492777324884703E-2</v>
      </c>
      <c r="AZ137" s="39">
        <v>52</v>
      </c>
      <c r="BA137" s="105">
        <v>5</v>
      </c>
      <c r="BB137" s="100">
        <v>9</v>
      </c>
      <c r="BC137" s="100">
        <v>2</v>
      </c>
      <c r="BD137" s="100">
        <v>6</v>
      </c>
      <c r="BE137" s="100">
        <v>37</v>
      </c>
      <c r="BF137" s="100">
        <v>3</v>
      </c>
      <c r="BG137" s="100">
        <v>3</v>
      </c>
      <c r="BH137" s="341">
        <v>0.267775695335289</v>
      </c>
      <c r="BI137" s="341">
        <v>8.9258565111763097E-2</v>
      </c>
      <c r="BJ137" s="342">
        <v>8.9258565111763097E-2</v>
      </c>
    </row>
    <row r="138" spans="3:62" s="3" customFormat="1" ht="18" customHeight="1" x14ac:dyDescent="0.2">
      <c r="F138" s="39">
        <v>54</v>
      </c>
      <c r="G138" s="39">
        <v>19</v>
      </c>
      <c r="H138" s="39">
        <v>3</v>
      </c>
      <c r="I138" s="39">
        <v>1</v>
      </c>
      <c r="K138" s="39">
        <v>54</v>
      </c>
      <c r="L138" s="39">
        <v>19</v>
      </c>
      <c r="M138" s="39">
        <v>3</v>
      </c>
      <c r="N138" s="263">
        <v>1.2429699352082999E-11</v>
      </c>
      <c r="Q138" s="39">
        <v>54</v>
      </c>
      <c r="R138" s="263">
        <v>1.2429699352082999E-11</v>
      </c>
      <c r="AA138" s="39">
        <v>53</v>
      </c>
      <c r="AB138" s="35">
        <v>3</v>
      </c>
      <c r="AC138" s="36">
        <v>7</v>
      </c>
      <c r="AD138" s="36">
        <v>1</v>
      </c>
      <c r="AE138" s="36">
        <v>3</v>
      </c>
      <c r="AF138" s="36">
        <v>1</v>
      </c>
      <c r="AG138" s="288">
        <v>0</v>
      </c>
      <c r="AI138" s="39">
        <v>53</v>
      </c>
      <c r="AJ138" s="35">
        <v>7</v>
      </c>
      <c r="AK138" s="36">
        <v>3</v>
      </c>
      <c r="AL138" s="36">
        <v>4</v>
      </c>
      <c r="AM138" s="36">
        <v>13</v>
      </c>
      <c r="AN138" s="36">
        <v>4</v>
      </c>
      <c r="AO138" s="288">
        <v>0.68622176639233112</v>
      </c>
      <c r="AQ138" s="39">
        <v>53</v>
      </c>
      <c r="AR138" s="35">
        <v>7</v>
      </c>
      <c r="AS138" s="36">
        <v>3</v>
      </c>
      <c r="AT138" s="36">
        <v>4</v>
      </c>
      <c r="AU138" s="36">
        <v>13</v>
      </c>
      <c r="AV138" s="36">
        <v>4</v>
      </c>
      <c r="AW138" s="287">
        <v>0.69914096842863416</v>
      </c>
      <c r="AX138" s="288">
        <v>5.3780074494510298E-2</v>
      </c>
      <c r="AZ138" s="39">
        <v>53</v>
      </c>
      <c r="BA138" s="105">
        <v>6</v>
      </c>
      <c r="BB138" s="100">
        <v>1</v>
      </c>
      <c r="BC138" s="100">
        <v>2</v>
      </c>
      <c r="BD138" s="100">
        <v>3</v>
      </c>
      <c r="BE138" s="100">
        <v>1</v>
      </c>
      <c r="BF138" s="100">
        <v>3</v>
      </c>
      <c r="BG138" s="100">
        <v>3</v>
      </c>
      <c r="BH138" s="341">
        <v>0.76625788750836121</v>
      </c>
      <c r="BI138" s="341">
        <v>0.25541929583612</v>
      </c>
      <c r="BJ138" s="342">
        <v>0.25541929583612</v>
      </c>
    </row>
    <row r="139" spans="3:62" s="3" customFormat="1" ht="18" customHeight="1" x14ac:dyDescent="0.2">
      <c r="F139" s="39">
        <v>55</v>
      </c>
      <c r="G139" s="39">
        <v>19</v>
      </c>
      <c r="H139" s="39">
        <v>4</v>
      </c>
      <c r="I139" s="39">
        <v>1</v>
      </c>
      <c r="K139" s="39">
        <v>55</v>
      </c>
      <c r="L139" s="39">
        <v>19</v>
      </c>
      <c r="M139" s="39">
        <v>4</v>
      </c>
      <c r="N139" s="263">
        <v>1.35678440387506E-11</v>
      </c>
      <c r="Q139" s="39">
        <v>55</v>
      </c>
      <c r="R139" s="263">
        <v>1.35678440387506E-11</v>
      </c>
      <c r="AA139" s="39">
        <v>54</v>
      </c>
      <c r="AB139" s="35">
        <v>3</v>
      </c>
      <c r="AC139" s="36">
        <v>7</v>
      </c>
      <c r="AD139" s="36">
        <v>1</v>
      </c>
      <c r="AE139" s="36">
        <v>3</v>
      </c>
      <c r="AF139" s="36">
        <v>2</v>
      </c>
      <c r="AG139" s="288">
        <v>0.76604625992245701</v>
      </c>
      <c r="AI139" s="39">
        <v>54</v>
      </c>
      <c r="AJ139" s="35">
        <v>7</v>
      </c>
      <c r="AK139" s="36">
        <v>4</v>
      </c>
      <c r="AL139" s="36">
        <v>4</v>
      </c>
      <c r="AM139" s="36">
        <v>13</v>
      </c>
      <c r="AN139" s="36">
        <v>3</v>
      </c>
      <c r="AO139" s="288">
        <v>0.70311651752162008</v>
      </c>
      <c r="AQ139" s="39">
        <v>54</v>
      </c>
      <c r="AR139" s="35">
        <v>7</v>
      </c>
      <c r="AS139" s="36">
        <v>4</v>
      </c>
      <c r="AT139" s="36">
        <v>4</v>
      </c>
      <c r="AU139" s="36">
        <v>13</v>
      </c>
      <c r="AV139" s="36">
        <v>3</v>
      </c>
      <c r="AW139" s="287">
        <v>0.73492392189682698</v>
      </c>
      <c r="AX139" s="288">
        <v>5.6532609376678998E-2</v>
      </c>
      <c r="AZ139" s="39">
        <v>54</v>
      </c>
      <c r="BA139" s="105">
        <v>6</v>
      </c>
      <c r="BB139" s="100">
        <v>2</v>
      </c>
      <c r="BC139" s="100">
        <v>2</v>
      </c>
      <c r="BD139" s="100">
        <v>3</v>
      </c>
      <c r="BE139" s="100">
        <v>1</v>
      </c>
      <c r="BF139" s="100">
        <v>3</v>
      </c>
      <c r="BG139" s="100">
        <v>3</v>
      </c>
      <c r="BH139" s="341">
        <v>0.76509442406556405</v>
      </c>
      <c r="BI139" s="341">
        <v>0.255031474688521</v>
      </c>
      <c r="BJ139" s="342">
        <v>0.255031474688521</v>
      </c>
    </row>
    <row r="140" spans="3:62" s="3" customFormat="1" ht="18" customHeight="1" x14ac:dyDescent="0.2">
      <c r="F140" s="39">
        <v>56</v>
      </c>
      <c r="G140" s="39">
        <v>20</v>
      </c>
      <c r="H140" s="39">
        <v>1</v>
      </c>
      <c r="I140" s="39">
        <v>1</v>
      </c>
      <c r="K140" s="39">
        <v>56</v>
      </c>
      <c r="L140" s="39">
        <v>20</v>
      </c>
      <c r="M140" s="39">
        <v>1</v>
      </c>
      <c r="N140" s="263">
        <v>0.9803077124528462</v>
      </c>
      <c r="Q140" s="39">
        <v>56</v>
      </c>
      <c r="R140" s="263">
        <v>0.9803077124528462</v>
      </c>
      <c r="AA140" s="39">
        <v>55</v>
      </c>
      <c r="AB140" s="35">
        <v>3</v>
      </c>
      <c r="AC140" s="36">
        <v>7</v>
      </c>
      <c r="AD140" s="36">
        <v>1</v>
      </c>
      <c r="AE140" s="36">
        <v>3</v>
      </c>
      <c r="AF140" s="36">
        <v>3</v>
      </c>
      <c r="AG140" s="288">
        <v>1.4887012275805E-11</v>
      </c>
      <c r="AI140" s="39">
        <v>55</v>
      </c>
      <c r="AJ140" s="35">
        <v>7</v>
      </c>
      <c r="AK140" s="36">
        <v>4</v>
      </c>
      <c r="AL140" s="36">
        <v>4</v>
      </c>
      <c r="AM140" s="36">
        <v>13</v>
      </c>
      <c r="AN140" s="36">
        <v>4</v>
      </c>
      <c r="AO140" s="288">
        <v>0.68621976623269099</v>
      </c>
      <c r="AQ140" s="39">
        <v>55</v>
      </c>
      <c r="AR140" s="35">
        <v>7</v>
      </c>
      <c r="AS140" s="36">
        <v>4</v>
      </c>
      <c r="AT140" s="36">
        <v>4</v>
      </c>
      <c r="AU140" s="36">
        <v>13</v>
      </c>
      <c r="AV140" s="36">
        <v>4</v>
      </c>
      <c r="AW140" s="287">
        <v>0.69962155953584404</v>
      </c>
      <c r="AX140" s="288">
        <v>5.3817043041218697E-2</v>
      </c>
      <c r="AZ140" s="39">
        <v>55</v>
      </c>
      <c r="BA140" s="105">
        <v>6</v>
      </c>
      <c r="BB140" s="100">
        <v>4</v>
      </c>
      <c r="BC140" s="100">
        <v>2</v>
      </c>
      <c r="BD140" s="100">
        <v>3</v>
      </c>
      <c r="BE140" s="100">
        <v>1</v>
      </c>
      <c r="BF140" s="100">
        <v>3</v>
      </c>
      <c r="BG140" s="100">
        <v>3</v>
      </c>
      <c r="BH140" s="341">
        <v>0.76561136472145697</v>
      </c>
      <c r="BI140" s="341">
        <v>0.25520378824048601</v>
      </c>
      <c r="BJ140" s="342">
        <v>0.25520378824048601</v>
      </c>
    </row>
    <row r="141" spans="3:62" s="3" customFormat="1" ht="18" customHeight="1" x14ac:dyDescent="0.2">
      <c r="F141" s="39">
        <v>57</v>
      </c>
      <c r="G141" s="39">
        <v>20</v>
      </c>
      <c r="H141" s="39">
        <v>2</v>
      </c>
      <c r="I141" s="39">
        <v>1</v>
      </c>
      <c r="K141" s="39">
        <v>57</v>
      </c>
      <c r="L141" s="39">
        <v>20</v>
      </c>
      <c r="M141" s="39">
        <v>2</v>
      </c>
      <c r="N141" s="263">
        <v>0.25228376818285497</v>
      </c>
      <c r="Q141" s="39">
        <v>57</v>
      </c>
      <c r="R141" s="263">
        <v>0.25228376818285497</v>
      </c>
      <c r="AA141" s="39">
        <v>56</v>
      </c>
      <c r="AB141" s="35">
        <v>3</v>
      </c>
      <c r="AC141" s="36">
        <v>7</v>
      </c>
      <c r="AD141" s="36">
        <v>1</v>
      </c>
      <c r="AE141" s="36">
        <v>3</v>
      </c>
      <c r="AF141" s="36">
        <v>4</v>
      </c>
      <c r="AG141" s="288">
        <v>1.4316087743517E-11</v>
      </c>
      <c r="AI141" s="39">
        <v>56</v>
      </c>
      <c r="AJ141" s="35">
        <v>7</v>
      </c>
      <c r="AK141" s="36">
        <v>5</v>
      </c>
      <c r="AL141" s="36">
        <v>4</v>
      </c>
      <c r="AM141" s="36">
        <v>13</v>
      </c>
      <c r="AN141" s="36">
        <v>3</v>
      </c>
      <c r="AO141" s="288">
        <v>0.70395216396211913</v>
      </c>
      <c r="AQ141" s="39">
        <v>56</v>
      </c>
      <c r="AR141" s="35">
        <v>7</v>
      </c>
      <c r="AS141" s="36">
        <v>5</v>
      </c>
      <c r="AT141" s="36">
        <v>4</v>
      </c>
      <c r="AU141" s="36">
        <v>13</v>
      </c>
      <c r="AV141" s="36">
        <v>3</v>
      </c>
      <c r="AW141" s="287">
        <v>0.73589202014033306</v>
      </c>
      <c r="AX141" s="288">
        <v>5.6607078472333303E-2</v>
      </c>
      <c r="AZ141" s="39">
        <v>56</v>
      </c>
      <c r="BA141" s="105">
        <v>6</v>
      </c>
      <c r="BB141" s="100">
        <v>6</v>
      </c>
      <c r="BC141" s="100">
        <v>2</v>
      </c>
      <c r="BD141" s="100">
        <v>3</v>
      </c>
      <c r="BE141" s="100">
        <v>1</v>
      </c>
      <c r="BF141" s="100">
        <v>3</v>
      </c>
      <c r="BG141" s="100">
        <v>3</v>
      </c>
      <c r="BH141" s="341">
        <v>0.76502080312954102</v>
      </c>
      <c r="BI141" s="341">
        <v>0.25500693437651401</v>
      </c>
      <c r="BJ141" s="342">
        <v>0.25500693437651401</v>
      </c>
    </row>
    <row r="142" spans="3:62" s="3" customFormat="1" ht="18.5" customHeight="1" x14ac:dyDescent="0.2">
      <c r="F142" s="39">
        <v>58</v>
      </c>
      <c r="G142" s="39">
        <v>20</v>
      </c>
      <c r="H142" s="39">
        <v>3</v>
      </c>
      <c r="I142" s="39">
        <v>1</v>
      </c>
      <c r="K142" s="39">
        <v>58</v>
      </c>
      <c r="L142" s="39">
        <v>20</v>
      </c>
      <c r="M142" s="39">
        <v>3</v>
      </c>
      <c r="N142" s="263">
        <v>1.60339610750615E-11</v>
      </c>
      <c r="Q142" s="39">
        <v>58</v>
      </c>
      <c r="R142" s="263">
        <v>1.60339610750615E-11</v>
      </c>
      <c r="AA142" s="39">
        <v>57</v>
      </c>
      <c r="AB142" s="35">
        <v>3</v>
      </c>
      <c r="AC142" s="36">
        <v>9</v>
      </c>
      <c r="AD142" s="36">
        <v>1</v>
      </c>
      <c r="AE142" s="36">
        <v>3</v>
      </c>
      <c r="AF142" s="36">
        <v>1</v>
      </c>
      <c r="AG142" s="288">
        <v>0</v>
      </c>
      <c r="AI142" s="39">
        <v>57</v>
      </c>
      <c r="AJ142" s="35">
        <v>7</v>
      </c>
      <c r="AK142" s="36">
        <v>5</v>
      </c>
      <c r="AL142" s="36">
        <v>4</v>
      </c>
      <c r="AM142" s="36">
        <v>13</v>
      </c>
      <c r="AN142" s="36">
        <v>4</v>
      </c>
      <c r="AO142" s="288">
        <v>0.68702500405195299</v>
      </c>
      <c r="AQ142" s="39">
        <v>57</v>
      </c>
      <c r="AR142" s="35">
        <v>7</v>
      </c>
      <c r="AS142" s="36">
        <v>5</v>
      </c>
      <c r="AT142" s="36">
        <v>4</v>
      </c>
      <c r="AU142" s="36">
        <v>13</v>
      </c>
      <c r="AV142" s="36">
        <v>4</v>
      </c>
      <c r="AW142" s="287">
        <v>0.70052004174469007</v>
      </c>
      <c r="AX142" s="288">
        <v>5.3886157057283807E-2</v>
      </c>
      <c r="AZ142" s="39">
        <v>57</v>
      </c>
      <c r="BA142" s="105">
        <v>6</v>
      </c>
      <c r="BB142" s="100">
        <v>7</v>
      </c>
      <c r="BC142" s="100">
        <v>2</v>
      </c>
      <c r="BD142" s="100">
        <v>3</v>
      </c>
      <c r="BE142" s="100">
        <v>1</v>
      </c>
      <c r="BF142" s="100">
        <v>3</v>
      </c>
      <c r="BG142" s="100">
        <v>3</v>
      </c>
      <c r="BH142" s="341">
        <v>0.76604625992245701</v>
      </c>
      <c r="BI142" s="341">
        <v>0.25534875330748602</v>
      </c>
      <c r="BJ142" s="342">
        <v>0.25534875330748602</v>
      </c>
    </row>
    <row r="143" spans="3:62" s="3" customFormat="1" ht="19" customHeight="1" x14ac:dyDescent="0.2">
      <c r="C143" s="17" t="s">
        <v>94</v>
      </c>
      <c r="D143" s="19" t="s">
        <v>103</v>
      </c>
      <c r="F143" s="39">
        <v>59</v>
      </c>
      <c r="G143" s="39">
        <v>20</v>
      </c>
      <c r="H143" s="39">
        <v>4</v>
      </c>
      <c r="I143" s="39">
        <v>1</v>
      </c>
      <c r="K143" s="39">
        <v>59</v>
      </c>
      <c r="L143" s="39">
        <v>20</v>
      </c>
      <c r="M143" s="39">
        <v>4</v>
      </c>
      <c r="N143" s="263">
        <v>1.88986911489923E-11</v>
      </c>
      <c r="Q143" s="39">
        <v>59</v>
      </c>
      <c r="R143" s="263">
        <v>1.88986911489923E-11</v>
      </c>
      <c r="AA143" s="39">
        <v>58</v>
      </c>
      <c r="AB143" s="35">
        <v>3</v>
      </c>
      <c r="AC143" s="36">
        <v>9</v>
      </c>
      <c r="AD143" s="36">
        <v>1</v>
      </c>
      <c r="AE143" s="36">
        <v>3</v>
      </c>
      <c r="AF143" s="36">
        <v>2</v>
      </c>
      <c r="AG143" s="288">
        <v>0.76333304271554314</v>
      </c>
      <c r="AI143" s="39">
        <v>58</v>
      </c>
      <c r="AJ143" s="35">
        <v>7</v>
      </c>
      <c r="AK143" s="36">
        <v>6</v>
      </c>
      <c r="AL143" s="36">
        <v>4</v>
      </c>
      <c r="AM143" s="36">
        <v>13</v>
      </c>
      <c r="AN143" s="36">
        <v>3</v>
      </c>
      <c r="AO143" s="288">
        <v>0.70436300085635706</v>
      </c>
      <c r="AQ143" s="39">
        <v>58</v>
      </c>
      <c r="AR143" s="35">
        <v>7</v>
      </c>
      <c r="AS143" s="36">
        <v>6</v>
      </c>
      <c r="AT143" s="36">
        <v>4</v>
      </c>
      <c r="AU143" s="36">
        <v>13</v>
      </c>
      <c r="AV143" s="36">
        <v>3</v>
      </c>
      <c r="AW143" s="287">
        <v>0.73340764643548695</v>
      </c>
      <c r="AX143" s="288">
        <v>5.6415972802729697E-2</v>
      </c>
      <c r="AZ143" s="39">
        <v>58</v>
      </c>
      <c r="BA143" s="105">
        <v>6</v>
      </c>
      <c r="BB143" s="100">
        <v>9</v>
      </c>
      <c r="BC143" s="100">
        <v>2</v>
      </c>
      <c r="BD143" s="100">
        <v>3</v>
      </c>
      <c r="BE143" s="100">
        <v>1</v>
      </c>
      <c r="BF143" s="100">
        <v>3</v>
      </c>
      <c r="BG143" s="100">
        <v>3</v>
      </c>
      <c r="BH143" s="341">
        <v>0.76333304271554314</v>
      </c>
      <c r="BI143" s="341">
        <v>0.25444434757184797</v>
      </c>
      <c r="BJ143" s="342">
        <v>0.25444434757184797</v>
      </c>
    </row>
    <row r="144" spans="3:62" s="3" customFormat="1" ht="18.5" customHeight="1" x14ac:dyDescent="0.2">
      <c r="C144" s="23">
        <v>1</v>
      </c>
      <c r="D144" s="25">
        <v>15</v>
      </c>
      <c r="F144" s="39">
        <v>60</v>
      </c>
      <c r="G144" s="39">
        <v>21</v>
      </c>
      <c r="H144" s="39">
        <v>1</v>
      </c>
      <c r="I144" s="39">
        <v>1</v>
      </c>
      <c r="K144" s="39">
        <v>60</v>
      </c>
      <c r="L144" s="39">
        <v>21</v>
      </c>
      <c r="M144" s="39">
        <v>1</v>
      </c>
      <c r="N144" s="263">
        <v>0.98046559180968684</v>
      </c>
      <c r="Q144" s="39">
        <v>60</v>
      </c>
      <c r="R144" s="263">
        <v>0.98046559180968684</v>
      </c>
      <c r="AA144" s="39">
        <v>59</v>
      </c>
      <c r="AB144" s="35">
        <v>3</v>
      </c>
      <c r="AC144" s="36">
        <v>9</v>
      </c>
      <c r="AD144" s="36">
        <v>1</v>
      </c>
      <c r="AE144" s="36">
        <v>3</v>
      </c>
      <c r="AF144" s="36">
        <v>3</v>
      </c>
      <c r="AG144" s="288">
        <v>1.23909851652853E-11</v>
      </c>
      <c r="AI144" s="39">
        <v>59</v>
      </c>
      <c r="AJ144" s="35">
        <v>7</v>
      </c>
      <c r="AK144" s="36">
        <v>6</v>
      </c>
      <c r="AL144" s="36">
        <v>4</v>
      </c>
      <c r="AM144" s="36">
        <v>13</v>
      </c>
      <c r="AN144" s="36">
        <v>4</v>
      </c>
      <c r="AO144" s="288">
        <v>0.68742088573721116</v>
      </c>
      <c r="AQ144" s="39">
        <v>59</v>
      </c>
      <c r="AR144" s="35">
        <v>7</v>
      </c>
      <c r="AS144" s="36">
        <v>6</v>
      </c>
      <c r="AT144" s="36">
        <v>4</v>
      </c>
      <c r="AU144" s="36">
        <v>13</v>
      </c>
      <c r="AV144" s="36">
        <v>4</v>
      </c>
      <c r="AW144" s="287">
        <v>0.69821426740710313</v>
      </c>
      <c r="AX144" s="288">
        <v>5.3708789800546407E-2</v>
      </c>
      <c r="AZ144" s="39">
        <v>59</v>
      </c>
      <c r="BA144" s="105">
        <v>7</v>
      </c>
      <c r="BB144" s="100">
        <v>1</v>
      </c>
      <c r="BC144" s="100">
        <v>2</v>
      </c>
      <c r="BD144" s="100">
        <v>3</v>
      </c>
      <c r="BE144" s="100">
        <v>1</v>
      </c>
      <c r="BF144" s="100">
        <v>3</v>
      </c>
      <c r="BG144" s="100">
        <v>3</v>
      </c>
      <c r="BH144" s="341">
        <v>0.76625788750836121</v>
      </c>
      <c r="BI144" s="341">
        <v>0.25541929583612</v>
      </c>
      <c r="BJ144" s="342">
        <v>0.25541929583612</v>
      </c>
    </row>
    <row r="145" spans="3:62" s="3" customFormat="1" ht="18" customHeight="1" x14ac:dyDescent="0.2">
      <c r="C145" s="35">
        <v>2</v>
      </c>
      <c r="D145" s="37">
        <v>10</v>
      </c>
      <c r="F145" s="39">
        <v>61</v>
      </c>
      <c r="G145" s="39">
        <v>21</v>
      </c>
      <c r="H145" s="39">
        <v>2</v>
      </c>
      <c r="I145" s="39">
        <v>1</v>
      </c>
      <c r="K145" s="39">
        <v>61</v>
      </c>
      <c r="L145" s="39">
        <v>21</v>
      </c>
      <c r="M145" s="39">
        <v>2</v>
      </c>
      <c r="N145" s="263">
        <v>0.25229948466874708</v>
      </c>
      <c r="Q145" s="39">
        <v>61</v>
      </c>
      <c r="R145" s="263">
        <v>0.25229948466874708</v>
      </c>
      <c r="AA145" s="39">
        <v>60</v>
      </c>
      <c r="AB145" s="35">
        <v>3</v>
      </c>
      <c r="AC145" s="36">
        <v>9</v>
      </c>
      <c r="AD145" s="36">
        <v>1</v>
      </c>
      <c r="AE145" s="36">
        <v>3</v>
      </c>
      <c r="AF145" s="36">
        <v>4</v>
      </c>
      <c r="AG145" s="288">
        <v>1.13022112381575E-11</v>
      </c>
      <c r="AI145" s="39">
        <v>60</v>
      </c>
      <c r="AJ145" s="35">
        <v>7</v>
      </c>
      <c r="AK145" s="36">
        <v>7</v>
      </c>
      <c r="AL145" s="36">
        <v>4</v>
      </c>
      <c r="AM145" s="36">
        <v>13</v>
      </c>
      <c r="AN145" s="36">
        <v>3</v>
      </c>
      <c r="AO145" s="288">
        <v>0.70309797141529007</v>
      </c>
      <c r="AQ145" s="39">
        <v>60</v>
      </c>
      <c r="AR145" s="35">
        <v>7</v>
      </c>
      <c r="AS145" s="36">
        <v>7</v>
      </c>
      <c r="AT145" s="36">
        <v>4</v>
      </c>
      <c r="AU145" s="36">
        <v>13</v>
      </c>
      <c r="AV145" s="36">
        <v>3</v>
      </c>
      <c r="AW145" s="287">
        <v>0.7360402314212231</v>
      </c>
      <c r="AX145" s="288">
        <v>5.6618479340094098E-2</v>
      </c>
      <c r="AZ145" s="39">
        <v>60</v>
      </c>
      <c r="BA145" s="105">
        <v>7</v>
      </c>
      <c r="BB145" s="100">
        <v>2</v>
      </c>
      <c r="BC145" s="100">
        <v>2</v>
      </c>
      <c r="BD145" s="100">
        <v>3</v>
      </c>
      <c r="BE145" s="100">
        <v>1</v>
      </c>
      <c r="BF145" s="100">
        <v>3</v>
      </c>
      <c r="BG145" s="100">
        <v>3</v>
      </c>
      <c r="BH145" s="341">
        <v>0.76509442406556405</v>
      </c>
      <c r="BI145" s="341">
        <v>0.255031474688521</v>
      </c>
      <c r="BJ145" s="342">
        <v>0.255031474688521</v>
      </c>
    </row>
    <row r="146" spans="3:62" s="3" customFormat="1" ht="18" customHeight="1" x14ac:dyDescent="0.2">
      <c r="C146" s="35">
        <v>3</v>
      </c>
      <c r="D146" s="37">
        <v>5</v>
      </c>
      <c r="F146" s="39">
        <v>62</v>
      </c>
      <c r="G146" s="39">
        <v>21</v>
      </c>
      <c r="H146" s="39">
        <v>3</v>
      </c>
      <c r="I146" s="39">
        <v>1</v>
      </c>
      <c r="K146" s="39">
        <v>62</v>
      </c>
      <c r="L146" s="39">
        <v>21</v>
      </c>
      <c r="M146" s="39">
        <v>3</v>
      </c>
      <c r="N146" s="263">
        <v>1.220673172567E-11</v>
      </c>
      <c r="Q146" s="39">
        <v>62</v>
      </c>
      <c r="R146" s="263">
        <v>1.220673172567E-11</v>
      </c>
      <c r="AA146" s="39">
        <v>61</v>
      </c>
      <c r="AB146" s="35">
        <v>4</v>
      </c>
      <c r="AC146" s="36">
        <v>1</v>
      </c>
      <c r="AD146" s="36">
        <v>37</v>
      </c>
      <c r="AE146" s="36">
        <v>1</v>
      </c>
      <c r="AF146" s="36">
        <v>1</v>
      </c>
      <c r="AG146" s="288">
        <v>0.98049828467440403</v>
      </c>
      <c r="AI146" s="39">
        <v>61</v>
      </c>
      <c r="AJ146" s="35">
        <v>7</v>
      </c>
      <c r="AK146" s="36">
        <v>7</v>
      </c>
      <c r="AL146" s="36">
        <v>4</v>
      </c>
      <c r="AM146" s="36">
        <v>13</v>
      </c>
      <c r="AN146" s="36">
        <v>4</v>
      </c>
      <c r="AO146" s="288">
        <v>0.68620189494750106</v>
      </c>
      <c r="AQ146" s="39">
        <v>61</v>
      </c>
      <c r="AR146" s="35">
        <v>7</v>
      </c>
      <c r="AS146" s="36">
        <v>7</v>
      </c>
      <c r="AT146" s="36">
        <v>4</v>
      </c>
      <c r="AU146" s="36">
        <v>13</v>
      </c>
      <c r="AV146" s="36">
        <v>4</v>
      </c>
      <c r="AW146" s="287">
        <v>0.70065759283893603</v>
      </c>
      <c r="AX146" s="288">
        <v>5.3896737910687408E-2</v>
      </c>
      <c r="AZ146" s="39">
        <v>61</v>
      </c>
      <c r="BA146" s="105">
        <v>7</v>
      </c>
      <c r="BB146" s="100">
        <v>4</v>
      </c>
      <c r="BC146" s="100">
        <v>2</v>
      </c>
      <c r="BD146" s="100">
        <v>3</v>
      </c>
      <c r="BE146" s="100">
        <v>1</v>
      </c>
      <c r="BF146" s="100">
        <v>3</v>
      </c>
      <c r="BG146" s="100">
        <v>3</v>
      </c>
      <c r="BH146" s="341">
        <v>0.76561136472145697</v>
      </c>
      <c r="BI146" s="341">
        <v>0.25520378824048601</v>
      </c>
      <c r="BJ146" s="342">
        <v>0.25520378824048601</v>
      </c>
    </row>
    <row r="147" spans="3:62" s="3" customFormat="1" ht="18.5" customHeight="1" x14ac:dyDescent="0.2">
      <c r="C147" s="32">
        <v>4</v>
      </c>
      <c r="D147" s="34">
        <v>3</v>
      </c>
      <c r="F147" s="39">
        <v>63</v>
      </c>
      <c r="G147" s="39">
        <v>21</v>
      </c>
      <c r="H147" s="39">
        <v>4</v>
      </c>
      <c r="I147" s="39">
        <v>1</v>
      </c>
      <c r="K147" s="39">
        <v>63</v>
      </c>
      <c r="L147" s="39">
        <v>21</v>
      </c>
      <c r="M147" s="39">
        <v>4</v>
      </c>
      <c r="N147" s="263">
        <v>1.32068052525088E-11</v>
      </c>
      <c r="Q147" s="39">
        <v>63</v>
      </c>
      <c r="R147" s="263">
        <v>1.32068052525088E-11</v>
      </c>
      <c r="AA147" s="39">
        <v>62</v>
      </c>
      <c r="AB147" s="35">
        <v>4</v>
      </c>
      <c r="AC147" s="36">
        <v>1</v>
      </c>
      <c r="AD147" s="36">
        <v>37</v>
      </c>
      <c r="AE147" s="36">
        <v>1</v>
      </c>
      <c r="AF147" s="36">
        <v>2</v>
      </c>
      <c r="AG147" s="288">
        <v>0.25230264681138898</v>
      </c>
      <c r="AI147" s="39">
        <v>62</v>
      </c>
      <c r="AJ147" s="35">
        <v>7</v>
      </c>
      <c r="AK147" s="36">
        <v>8</v>
      </c>
      <c r="AL147" s="36">
        <v>4</v>
      </c>
      <c r="AM147" s="36">
        <v>13</v>
      </c>
      <c r="AN147" s="36">
        <v>3</v>
      </c>
      <c r="AO147" s="288">
        <v>0.7037558484400821</v>
      </c>
      <c r="AQ147" s="39">
        <v>62</v>
      </c>
      <c r="AR147" s="35">
        <v>7</v>
      </c>
      <c r="AS147" s="36">
        <v>8</v>
      </c>
      <c r="AT147" s="36">
        <v>4</v>
      </c>
      <c r="AU147" s="36">
        <v>13</v>
      </c>
      <c r="AV147" s="36">
        <v>3</v>
      </c>
      <c r="AW147" s="287">
        <v>0.73669611407569913</v>
      </c>
      <c r="AX147" s="288">
        <v>5.6668931851976898E-2</v>
      </c>
      <c r="AZ147" s="39">
        <v>62</v>
      </c>
      <c r="BA147" s="105">
        <v>7</v>
      </c>
      <c r="BB147" s="100">
        <v>6</v>
      </c>
      <c r="BC147" s="100">
        <v>2</v>
      </c>
      <c r="BD147" s="100">
        <v>3</v>
      </c>
      <c r="BE147" s="100">
        <v>1</v>
      </c>
      <c r="BF147" s="100">
        <v>3</v>
      </c>
      <c r="BG147" s="100">
        <v>3</v>
      </c>
      <c r="BH147" s="341">
        <v>0.76502080312954102</v>
      </c>
      <c r="BI147" s="341">
        <v>0.25500693437651401</v>
      </c>
      <c r="BJ147" s="342">
        <v>0.25500693437651401</v>
      </c>
    </row>
    <row r="148" spans="3:62" s="3" customFormat="1" ht="18.5" customHeight="1" x14ac:dyDescent="0.2">
      <c r="F148" s="39">
        <v>64</v>
      </c>
      <c r="G148" s="39">
        <v>22</v>
      </c>
      <c r="H148" s="39">
        <v>1</v>
      </c>
      <c r="I148" s="39">
        <v>1</v>
      </c>
      <c r="K148" s="39">
        <v>64</v>
      </c>
      <c r="L148" s="39">
        <v>22</v>
      </c>
      <c r="M148" s="39">
        <v>1</v>
      </c>
      <c r="N148" s="263">
        <v>0.98004789554221206</v>
      </c>
      <c r="Q148" s="39">
        <v>64</v>
      </c>
      <c r="R148" s="263">
        <v>0.98004789554221206</v>
      </c>
      <c r="AA148" s="39">
        <v>63</v>
      </c>
      <c r="AB148" s="35">
        <v>4</v>
      </c>
      <c r="AC148" s="36">
        <v>1</v>
      </c>
      <c r="AD148" s="36">
        <v>37</v>
      </c>
      <c r="AE148" s="36">
        <v>1</v>
      </c>
      <c r="AF148" s="36">
        <v>3</v>
      </c>
      <c r="AG148" s="288">
        <v>1.13890727523535E-11</v>
      </c>
      <c r="AI148" s="39">
        <v>63</v>
      </c>
      <c r="AJ148" s="35">
        <v>7</v>
      </c>
      <c r="AK148" s="36">
        <v>8</v>
      </c>
      <c r="AL148" s="36">
        <v>4</v>
      </c>
      <c r="AM148" s="36">
        <v>13</v>
      </c>
      <c r="AN148" s="36">
        <v>4</v>
      </c>
      <c r="AO148" s="288">
        <v>0.68683583387948</v>
      </c>
      <c r="AQ148" s="39">
        <v>63</v>
      </c>
      <c r="AR148" s="35">
        <v>7</v>
      </c>
      <c r="AS148" s="36">
        <v>8</v>
      </c>
      <c r="AT148" s="36">
        <v>4</v>
      </c>
      <c r="AU148" s="36">
        <v>13</v>
      </c>
      <c r="AV148" s="36">
        <v>4</v>
      </c>
      <c r="AW148" s="287">
        <v>0.70126629353121916</v>
      </c>
      <c r="AX148" s="288">
        <v>5.3943561040863001E-2</v>
      </c>
      <c r="AZ148" s="39">
        <v>63</v>
      </c>
      <c r="BA148" s="105">
        <v>7</v>
      </c>
      <c r="BB148" s="100">
        <v>7</v>
      </c>
      <c r="BC148" s="100">
        <v>2</v>
      </c>
      <c r="BD148" s="100">
        <v>3</v>
      </c>
      <c r="BE148" s="100">
        <v>1</v>
      </c>
      <c r="BF148" s="100">
        <v>3</v>
      </c>
      <c r="BG148" s="100">
        <v>3</v>
      </c>
      <c r="BH148" s="341">
        <v>0.76604625992245701</v>
      </c>
      <c r="BI148" s="341">
        <v>0.25534875330748602</v>
      </c>
      <c r="BJ148" s="342">
        <v>0.25534875330748602</v>
      </c>
    </row>
    <row r="149" spans="3:62" s="3" customFormat="1" ht="18" customHeight="1" x14ac:dyDescent="0.2">
      <c r="F149" s="39">
        <v>65</v>
      </c>
      <c r="G149" s="39">
        <v>22</v>
      </c>
      <c r="H149" s="39">
        <v>2</v>
      </c>
      <c r="I149" s="39">
        <v>1</v>
      </c>
      <c r="K149" s="39">
        <v>65</v>
      </c>
      <c r="L149" s="39">
        <v>22</v>
      </c>
      <c r="M149" s="39">
        <v>2</v>
      </c>
      <c r="N149" s="263">
        <v>0.25225808973959801</v>
      </c>
      <c r="Q149" s="39">
        <v>65</v>
      </c>
      <c r="R149" s="263">
        <v>0.25225808973959801</v>
      </c>
      <c r="AA149" s="39">
        <v>64</v>
      </c>
      <c r="AB149" s="35">
        <v>4</v>
      </c>
      <c r="AC149" s="36">
        <v>1</v>
      </c>
      <c r="AD149" s="36">
        <v>37</v>
      </c>
      <c r="AE149" s="36">
        <v>1</v>
      </c>
      <c r="AF149" s="36">
        <v>4</v>
      </c>
      <c r="AG149" s="288">
        <v>1.1870165420889099E-11</v>
      </c>
      <c r="AI149" s="39">
        <v>64</v>
      </c>
      <c r="AJ149" s="35">
        <v>7</v>
      </c>
      <c r="AK149" s="36">
        <v>9</v>
      </c>
      <c r="AL149" s="36">
        <v>4</v>
      </c>
      <c r="AM149" s="36">
        <v>13</v>
      </c>
      <c r="AN149" s="36">
        <v>3</v>
      </c>
      <c r="AO149" s="288">
        <v>0.70290386630270008</v>
      </c>
      <c r="AQ149" s="39">
        <v>64</v>
      </c>
      <c r="AR149" s="35">
        <v>7</v>
      </c>
      <c r="AS149" s="36">
        <v>9</v>
      </c>
      <c r="AT149" s="36">
        <v>4</v>
      </c>
      <c r="AU149" s="36">
        <v>13</v>
      </c>
      <c r="AV149" s="36">
        <v>3</v>
      </c>
      <c r="AW149" s="287">
        <v>0.72907176720963707</v>
      </c>
      <c r="AX149" s="288">
        <v>5.6082443631510499E-2</v>
      </c>
      <c r="AZ149" s="39">
        <v>64</v>
      </c>
      <c r="BA149" s="105">
        <v>7</v>
      </c>
      <c r="BB149" s="100">
        <v>9</v>
      </c>
      <c r="BC149" s="100">
        <v>2</v>
      </c>
      <c r="BD149" s="100">
        <v>3</v>
      </c>
      <c r="BE149" s="100">
        <v>1</v>
      </c>
      <c r="BF149" s="100">
        <v>3</v>
      </c>
      <c r="BG149" s="100">
        <v>3</v>
      </c>
      <c r="BH149" s="341">
        <v>0.76333304271554314</v>
      </c>
      <c r="BI149" s="341">
        <v>0.25444434757184797</v>
      </c>
      <c r="BJ149" s="342">
        <v>0.25444434757184797</v>
      </c>
    </row>
    <row r="150" spans="3:62" s="3" customFormat="1" ht="18" customHeight="1" x14ac:dyDescent="0.2">
      <c r="F150" s="39">
        <v>66</v>
      </c>
      <c r="G150" s="39">
        <v>22</v>
      </c>
      <c r="H150" s="39">
        <v>3</v>
      </c>
      <c r="I150" s="39">
        <v>1</v>
      </c>
      <c r="K150" s="39">
        <v>66</v>
      </c>
      <c r="L150" s="39">
        <v>22</v>
      </c>
      <c r="M150" s="39">
        <v>3</v>
      </c>
      <c r="N150" s="263">
        <v>2.0742617707249101E-11</v>
      </c>
      <c r="Q150" s="39">
        <v>66</v>
      </c>
      <c r="R150" s="263">
        <v>2.0742617707249101E-11</v>
      </c>
      <c r="AA150" s="39">
        <v>65</v>
      </c>
      <c r="AB150" s="35">
        <v>4</v>
      </c>
      <c r="AC150" s="36">
        <v>2</v>
      </c>
      <c r="AD150" s="36">
        <v>37</v>
      </c>
      <c r="AE150" s="36">
        <v>1</v>
      </c>
      <c r="AF150" s="36">
        <v>1</v>
      </c>
      <c r="AG150" s="288">
        <v>0.98031905363266003</v>
      </c>
      <c r="AI150" s="39">
        <v>65</v>
      </c>
      <c r="AJ150" s="35">
        <v>7</v>
      </c>
      <c r="AK150" s="36">
        <v>9</v>
      </c>
      <c r="AL150" s="36">
        <v>4</v>
      </c>
      <c r="AM150" s="36">
        <v>13</v>
      </c>
      <c r="AN150" s="36">
        <v>4</v>
      </c>
      <c r="AO150" s="288">
        <v>0.68601485228201409</v>
      </c>
      <c r="AQ150" s="39">
        <v>65</v>
      </c>
      <c r="AR150" s="35">
        <v>7</v>
      </c>
      <c r="AS150" s="36">
        <v>9</v>
      </c>
      <c r="AT150" s="36">
        <v>4</v>
      </c>
      <c r="AU150" s="36">
        <v>13</v>
      </c>
      <c r="AV150" s="36">
        <v>4</v>
      </c>
      <c r="AW150" s="287">
        <v>0.69418967983088498</v>
      </c>
      <c r="AX150" s="288">
        <v>5.3399206140837298E-2</v>
      </c>
      <c r="AZ150" s="39">
        <v>65</v>
      </c>
      <c r="BA150" s="105">
        <v>8</v>
      </c>
      <c r="BB150" s="100">
        <v>1</v>
      </c>
      <c r="BC150" s="100">
        <v>2</v>
      </c>
      <c r="BD150" s="100">
        <v>3</v>
      </c>
      <c r="BE150" s="100">
        <v>1</v>
      </c>
      <c r="BF150" s="100">
        <v>3</v>
      </c>
      <c r="BG150" s="100">
        <v>3</v>
      </c>
      <c r="BH150" s="341">
        <v>0.76625788750836121</v>
      </c>
      <c r="BI150" s="341">
        <v>0.25541929583612</v>
      </c>
      <c r="BJ150" s="342">
        <v>0.25541929583612</v>
      </c>
    </row>
    <row r="151" spans="3:62" s="3" customFormat="1" ht="18" customHeight="1" x14ac:dyDescent="0.2">
      <c r="F151" s="39">
        <v>67</v>
      </c>
      <c r="G151" s="39">
        <v>22</v>
      </c>
      <c r="H151" s="39">
        <v>4</v>
      </c>
      <c r="I151" s="39">
        <v>1</v>
      </c>
      <c r="K151" s="39">
        <v>67</v>
      </c>
      <c r="L151" s="39">
        <v>22</v>
      </c>
      <c r="M151" s="39">
        <v>4</v>
      </c>
      <c r="N151" s="263">
        <v>2.2558246499414101E-11</v>
      </c>
      <c r="Q151" s="39">
        <v>67</v>
      </c>
      <c r="R151" s="263">
        <v>2.2558246499414101E-11</v>
      </c>
      <c r="AA151" s="39">
        <v>66</v>
      </c>
      <c r="AB151" s="35">
        <v>4</v>
      </c>
      <c r="AC151" s="36">
        <v>2</v>
      </c>
      <c r="AD151" s="36">
        <v>37</v>
      </c>
      <c r="AE151" s="36">
        <v>1</v>
      </c>
      <c r="AF151" s="36">
        <v>2</v>
      </c>
      <c r="AG151" s="288">
        <v>0.25228489901564499</v>
      </c>
      <c r="AI151" s="39">
        <v>66</v>
      </c>
      <c r="AJ151" s="35">
        <v>7</v>
      </c>
      <c r="AK151" s="36">
        <v>10</v>
      </c>
      <c r="AL151" s="36">
        <v>4</v>
      </c>
      <c r="AM151" s="36">
        <v>13</v>
      </c>
      <c r="AN151" s="36">
        <v>3</v>
      </c>
      <c r="AO151" s="288">
        <v>0.70417955502236906</v>
      </c>
      <c r="AQ151" s="39">
        <v>66</v>
      </c>
      <c r="AR151" s="35">
        <v>7</v>
      </c>
      <c r="AS151" s="36">
        <v>10</v>
      </c>
      <c r="AT151" s="36">
        <v>4</v>
      </c>
      <c r="AU151" s="36">
        <v>13</v>
      </c>
      <c r="AV151" s="36">
        <v>3</v>
      </c>
      <c r="AW151" s="287">
        <v>0.73370916011677412</v>
      </c>
      <c r="AX151" s="288">
        <v>5.6439166162828798E-2</v>
      </c>
      <c r="AZ151" s="39">
        <v>66</v>
      </c>
      <c r="BA151" s="105">
        <v>8</v>
      </c>
      <c r="BB151" s="100">
        <v>2</v>
      </c>
      <c r="BC151" s="100">
        <v>2</v>
      </c>
      <c r="BD151" s="100">
        <v>3</v>
      </c>
      <c r="BE151" s="100">
        <v>1</v>
      </c>
      <c r="BF151" s="100">
        <v>3</v>
      </c>
      <c r="BG151" s="100">
        <v>3</v>
      </c>
      <c r="BH151" s="341">
        <v>0.76509442406556405</v>
      </c>
      <c r="BI151" s="341">
        <v>0.255031474688521</v>
      </c>
      <c r="BJ151" s="342">
        <v>0.255031474688521</v>
      </c>
    </row>
    <row r="152" spans="3:62" s="3" customFormat="1" ht="18" customHeight="1" x14ac:dyDescent="0.2">
      <c r="F152" s="39">
        <v>68</v>
      </c>
      <c r="G152" s="39">
        <v>23</v>
      </c>
      <c r="H152" s="39">
        <v>1</v>
      </c>
      <c r="I152" s="39">
        <v>1</v>
      </c>
      <c r="K152" s="39">
        <v>68</v>
      </c>
      <c r="L152" s="39">
        <v>23</v>
      </c>
      <c r="M152" s="39">
        <v>1</v>
      </c>
      <c r="N152" s="263">
        <v>1.1561708859108999</v>
      </c>
      <c r="Q152" s="39">
        <v>68</v>
      </c>
      <c r="R152" s="263">
        <v>1.1561708859108999</v>
      </c>
      <c r="AA152" s="39">
        <v>67</v>
      </c>
      <c r="AB152" s="35">
        <v>4</v>
      </c>
      <c r="AC152" s="36">
        <v>2</v>
      </c>
      <c r="AD152" s="36">
        <v>37</v>
      </c>
      <c r="AE152" s="36">
        <v>1</v>
      </c>
      <c r="AF152" s="36">
        <v>3</v>
      </c>
      <c r="AG152" s="288">
        <v>1.5774443291739099E-11</v>
      </c>
      <c r="AI152" s="39">
        <v>67</v>
      </c>
      <c r="AJ152" s="35">
        <v>7</v>
      </c>
      <c r="AK152" s="36">
        <v>10</v>
      </c>
      <c r="AL152" s="36">
        <v>4</v>
      </c>
      <c r="AM152" s="36">
        <v>13</v>
      </c>
      <c r="AN152" s="36">
        <v>4</v>
      </c>
      <c r="AO152" s="288">
        <v>0.68724411798047114</v>
      </c>
      <c r="AQ152" s="39">
        <v>67</v>
      </c>
      <c r="AR152" s="35">
        <v>7</v>
      </c>
      <c r="AS152" s="36">
        <v>10</v>
      </c>
      <c r="AT152" s="36">
        <v>4</v>
      </c>
      <c r="AU152" s="36">
        <v>13</v>
      </c>
      <c r="AV152" s="36">
        <v>4</v>
      </c>
      <c r="AW152" s="287">
        <v>0.69849411464925204</v>
      </c>
      <c r="AX152" s="288">
        <v>5.3730316511480913E-2</v>
      </c>
      <c r="AZ152" s="39">
        <v>67</v>
      </c>
      <c r="BA152" s="105">
        <v>8</v>
      </c>
      <c r="BB152" s="100">
        <v>4</v>
      </c>
      <c r="BC152" s="100">
        <v>2</v>
      </c>
      <c r="BD152" s="100">
        <v>3</v>
      </c>
      <c r="BE152" s="100">
        <v>1</v>
      </c>
      <c r="BF152" s="100">
        <v>3</v>
      </c>
      <c r="BG152" s="100">
        <v>3</v>
      </c>
      <c r="BH152" s="341">
        <v>0.76561136472145697</v>
      </c>
      <c r="BI152" s="341">
        <v>0.25520378824048601</v>
      </c>
      <c r="BJ152" s="342">
        <v>0.25520378824048601</v>
      </c>
    </row>
    <row r="153" spans="3:62" s="3" customFormat="1" ht="18" customHeight="1" x14ac:dyDescent="0.2">
      <c r="F153" s="39">
        <v>69</v>
      </c>
      <c r="G153" s="39">
        <v>23</v>
      </c>
      <c r="H153" s="39">
        <v>2</v>
      </c>
      <c r="I153" s="39">
        <v>1</v>
      </c>
      <c r="K153" s="39">
        <v>69</v>
      </c>
      <c r="L153" s="39">
        <v>23</v>
      </c>
      <c r="M153" s="39">
        <v>2</v>
      </c>
      <c r="N153" s="263">
        <v>0.26792270686531999</v>
      </c>
      <c r="Q153" s="39">
        <v>69</v>
      </c>
      <c r="R153" s="263">
        <v>0.26792270686531999</v>
      </c>
      <c r="AA153" s="39">
        <v>68</v>
      </c>
      <c r="AB153" s="35">
        <v>4</v>
      </c>
      <c r="AC153" s="36">
        <v>2</v>
      </c>
      <c r="AD153" s="36">
        <v>37</v>
      </c>
      <c r="AE153" s="36">
        <v>1</v>
      </c>
      <c r="AF153" s="36">
        <v>4</v>
      </c>
      <c r="AG153" s="288">
        <v>1.8561387311031502E-11</v>
      </c>
      <c r="AI153" s="39">
        <v>68</v>
      </c>
      <c r="AJ153" s="35">
        <v>16</v>
      </c>
      <c r="AK153" s="36">
        <v>1</v>
      </c>
      <c r="AL153" s="36">
        <v>4</v>
      </c>
      <c r="AM153" s="36">
        <v>1</v>
      </c>
      <c r="AN153" s="36">
        <v>3</v>
      </c>
      <c r="AO153" s="288">
        <v>9.8129149951763597E-2</v>
      </c>
      <c r="AQ153" s="39">
        <v>68</v>
      </c>
      <c r="AR153" s="35">
        <v>16</v>
      </c>
      <c r="AS153" s="36">
        <v>1</v>
      </c>
      <c r="AT153" s="36">
        <v>4</v>
      </c>
      <c r="AU153" s="36">
        <v>1</v>
      </c>
      <c r="AV153" s="36">
        <v>3</v>
      </c>
      <c r="AW153" s="287">
        <v>0.10134435252495499</v>
      </c>
      <c r="AX153" s="288">
        <v>0.10134435252495499</v>
      </c>
      <c r="AZ153" s="39">
        <v>68</v>
      </c>
      <c r="BA153" s="105">
        <v>8</v>
      </c>
      <c r="BB153" s="100">
        <v>6</v>
      </c>
      <c r="BC153" s="100">
        <v>2</v>
      </c>
      <c r="BD153" s="100">
        <v>3</v>
      </c>
      <c r="BE153" s="100">
        <v>1</v>
      </c>
      <c r="BF153" s="100">
        <v>3</v>
      </c>
      <c r="BG153" s="100">
        <v>3</v>
      </c>
      <c r="BH153" s="341">
        <v>0.76502080312954102</v>
      </c>
      <c r="BI153" s="341">
        <v>0.25500693437651401</v>
      </c>
      <c r="BJ153" s="342">
        <v>0.25500693437651401</v>
      </c>
    </row>
    <row r="154" spans="3:62" s="3" customFormat="1" ht="18" customHeight="1" x14ac:dyDescent="0.2">
      <c r="F154" s="39">
        <v>70</v>
      </c>
      <c r="G154" s="39">
        <v>23</v>
      </c>
      <c r="H154" s="39">
        <v>3</v>
      </c>
      <c r="I154" s="39">
        <v>1</v>
      </c>
      <c r="K154" s="39">
        <v>70</v>
      </c>
      <c r="L154" s="39">
        <v>23</v>
      </c>
      <c r="M154" s="39">
        <v>3</v>
      </c>
      <c r="N154" s="263">
        <v>9.0414060426273902E-12</v>
      </c>
      <c r="Q154" s="39">
        <v>70</v>
      </c>
      <c r="R154" s="263">
        <v>9.0414060426273902E-12</v>
      </c>
      <c r="AA154" s="39">
        <v>69</v>
      </c>
      <c r="AB154" s="35">
        <v>4</v>
      </c>
      <c r="AC154" s="36">
        <v>4</v>
      </c>
      <c r="AD154" s="36">
        <v>37</v>
      </c>
      <c r="AE154" s="36">
        <v>1</v>
      </c>
      <c r="AF154" s="36">
        <v>1</v>
      </c>
      <c r="AG154" s="288">
        <v>0.98039631933014404</v>
      </c>
      <c r="AI154" s="39">
        <v>69</v>
      </c>
      <c r="AJ154" s="35">
        <v>16</v>
      </c>
      <c r="AK154" s="36">
        <v>1</v>
      </c>
      <c r="AL154" s="36">
        <v>4</v>
      </c>
      <c r="AM154" s="36">
        <v>1</v>
      </c>
      <c r="AN154" s="36">
        <v>4</v>
      </c>
      <c r="AO154" s="288">
        <v>9.8070826336385516E-2</v>
      </c>
      <c r="AQ154" s="39">
        <v>69</v>
      </c>
      <c r="AR154" s="35">
        <v>16</v>
      </c>
      <c r="AS154" s="36">
        <v>1</v>
      </c>
      <c r="AT154" s="36">
        <v>4</v>
      </c>
      <c r="AU154" s="36">
        <v>1</v>
      </c>
      <c r="AV154" s="36">
        <v>4</v>
      </c>
      <c r="AW154" s="287">
        <v>0.10119688790586499</v>
      </c>
      <c r="AX154" s="288">
        <v>0.10119688790586499</v>
      </c>
      <c r="AZ154" s="39">
        <v>69</v>
      </c>
      <c r="BA154" s="105">
        <v>8</v>
      </c>
      <c r="BB154" s="100">
        <v>7</v>
      </c>
      <c r="BC154" s="100">
        <v>2</v>
      </c>
      <c r="BD154" s="100">
        <v>3</v>
      </c>
      <c r="BE154" s="100">
        <v>1</v>
      </c>
      <c r="BF154" s="100">
        <v>3</v>
      </c>
      <c r="BG154" s="100">
        <v>3</v>
      </c>
      <c r="BH154" s="341">
        <v>0.76604625992245701</v>
      </c>
      <c r="BI154" s="341">
        <v>0.25534875330748602</v>
      </c>
      <c r="BJ154" s="342">
        <v>0.25534875330748602</v>
      </c>
    </row>
    <row r="155" spans="3:62" s="3" customFormat="1" ht="18" customHeight="1" x14ac:dyDescent="0.2">
      <c r="F155" s="39">
        <v>71</v>
      </c>
      <c r="G155" s="39">
        <v>23</v>
      </c>
      <c r="H155" s="39">
        <v>4</v>
      </c>
      <c r="I155" s="39">
        <v>1</v>
      </c>
      <c r="K155" s="39">
        <v>71</v>
      </c>
      <c r="L155" s="39">
        <v>23</v>
      </c>
      <c r="M155" s="39">
        <v>4</v>
      </c>
      <c r="N155" s="263">
        <v>4.5563802634982E-12</v>
      </c>
      <c r="Q155" s="39">
        <v>71</v>
      </c>
      <c r="R155" s="263">
        <v>4.5563802634982E-12</v>
      </c>
      <c r="AA155" s="39">
        <v>70</v>
      </c>
      <c r="AB155" s="35">
        <v>4</v>
      </c>
      <c r="AC155" s="36">
        <v>4</v>
      </c>
      <c r="AD155" s="36">
        <v>37</v>
      </c>
      <c r="AE155" s="36">
        <v>1</v>
      </c>
      <c r="AF155" s="36">
        <v>2</v>
      </c>
      <c r="AG155" s="288">
        <v>0.25229277655773802</v>
      </c>
      <c r="AI155" s="39">
        <v>70</v>
      </c>
      <c r="AJ155" s="35">
        <v>16</v>
      </c>
      <c r="AK155" s="36">
        <v>2</v>
      </c>
      <c r="AL155" s="36">
        <v>4</v>
      </c>
      <c r="AM155" s="36">
        <v>1</v>
      </c>
      <c r="AN155" s="36">
        <v>3</v>
      </c>
      <c r="AO155" s="288">
        <v>9.7996192443411304E-2</v>
      </c>
      <c r="AQ155" s="39">
        <v>70</v>
      </c>
      <c r="AR155" s="35">
        <v>16</v>
      </c>
      <c r="AS155" s="36">
        <v>2</v>
      </c>
      <c r="AT155" s="36">
        <v>4</v>
      </c>
      <c r="AU155" s="36">
        <v>1</v>
      </c>
      <c r="AV155" s="36">
        <v>3</v>
      </c>
      <c r="AW155" s="287">
        <v>0.101121408916805</v>
      </c>
      <c r="AX155" s="288">
        <v>0.101121408916805</v>
      </c>
      <c r="AZ155" s="39">
        <v>70</v>
      </c>
      <c r="BA155" s="105">
        <v>8</v>
      </c>
      <c r="BB155" s="100">
        <v>9</v>
      </c>
      <c r="BC155" s="100">
        <v>2</v>
      </c>
      <c r="BD155" s="100">
        <v>3</v>
      </c>
      <c r="BE155" s="100">
        <v>1</v>
      </c>
      <c r="BF155" s="100">
        <v>3</v>
      </c>
      <c r="BG155" s="100">
        <v>3</v>
      </c>
      <c r="BH155" s="341">
        <v>0.76333304271554314</v>
      </c>
      <c r="BI155" s="341">
        <v>0.25444434757184797</v>
      </c>
      <c r="BJ155" s="342">
        <v>0.25444434757184797</v>
      </c>
    </row>
    <row r="156" spans="3:62" s="3" customFormat="1" ht="18" customHeight="1" x14ac:dyDescent="0.2">
      <c r="F156" s="39">
        <v>72</v>
      </c>
      <c r="G156" s="39">
        <v>24</v>
      </c>
      <c r="H156" s="39">
        <v>1</v>
      </c>
      <c r="I156" s="39">
        <v>1</v>
      </c>
      <c r="K156" s="39">
        <v>72</v>
      </c>
      <c r="L156" s="39">
        <v>24</v>
      </c>
      <c r="M156" s="39">
        <v>1</v>
      </c>
      <c r="N156" s="263">
        <v>1.15544411216623</v>
      </c>
      <c r="Q156" s="39">
        <v>72</v>
      </c>
      <c r="R156" s="263">
        <v>1.15544411216623</v>
      </c>
      <c r="AA156" s="39">
        <v>71</v>
      </c>
      <c r="AB156" s="35">
        <v>4</v>
      </c>
      <c r="AC156" s="36">
        <v>4</v>
      </c>
      <c r="AD156" s="36">
        <v>37</v>
      </c>
      <c r="AE156" s="36">
        <v>1</v>
      </c>
      <c r="AF156" s="36">
        <v>3</v>
      </c>
      <c r="AG156" s="288">
        <v>1.3873514104179E-11</v>
      </c>
      <c r="AI156" s="39">
        <v>71</v>
      </c>
      <c r="AJ156" s="35">
        <v>16</v>
      </c>
      <c r="AK156" s="36">
        <v>2</v>
      </c>
      <c r="AL156" s="36">
        <v>4</v>
      </c>
      <c r="AM156" s="36">
        <v>1</v>
      </c>
      <c r="AN156" s="36">
        <v>4</v>
      </c>
      <c r="AO156" s="288">
        <v>9.7938659208892803E-2</v>
      </c>
      <c r="AQ156" s="39">
        <v>71</v>
      </c>
      <c r="AR156" s="35">
        <v>16</v>
      </c>
      <c r="AS156" s="36">
        <v>2</v>
      </c>
      <c r="AT156" s="36">
        <v>4</v>
      </c>
      <c r="AU156" s="36">
        <v>1</v>
      </c>
      <c r="AV156" s="36">
        <v>4</v>
      </c>
      <c r="AW156" s="287">
        <v>0.100976864887819</v>
      </c>
      <c r="AX156" s="288">
        <v>0.100976864887819</v>
      </c>
      <c r="AZ156" s="39">
        <v>71</v>
      </c>
      <c r="BA156" s="105">
        <v>9</v>
      </c>
      <c r="BB156" s="100">
        <v>4</v>
      </c>
      <c r="BC156" s="100">
        <v>2</v>
      </c>
      <c r="BD156" s="100">
        <v>2</v>
      </c>
      <c r="BE156" s="100">
        <v>1</v>
      </c>
      <c r="BF156" s="100">
        <v>3</v>
      </c>
      <c r="BG156" s="100">
        <v>1</v>
      </c>
      <c r="BH156" s="341">
        <v>0.58807242538184712</v>
      </c>
      <c r="BI156" s="341">
        <v>0.58807242538184712</v>
      </c>
      <c r="BJ156" s="342">
        <v>0.196024141793949</v>
      </c>
    </row>
    <row r="157" spans="3:62" s="3" customFormat="1" ht="18" customHeight="1" x14ac:dyDescent="0.2">
      <c r="F157" s="39">
        <v>73</v>
      </c>
      <c r="G157" s="39">
        <v>24</v>
      </c>
      <c r="H157" s="39">
        <v>2</v>
      </c>
      <c r="I157" s="39">
        <v>1</v>
      </c>
      <c r="K157" s="39">
        <v>73</v>
      </c>
      <c r="L157" s="39">
        <v>24</v>
      </c>
      <c r="M157" s="39">
        <v>2</v>
      </c>
      <c r="N157" s="263">
        <v>0.26786428426466402</v>
      </c>
      <c r="Q157" s="39">
        <v>73</v>
      </c>
      <c r="R157" s="263">
        <v>0.26786428426466402</v>
      </c>
      <c r="AA157" s="39">
        <v>72</v>
      </c>
      <c r="AB157" s="35">
        <v>4</v>
      </c>
      <c r="AC157" s="36">
        <v>4</v>
      </c>
      <c r="AD157" s="36">
        <v>37</v>
      </c>
      <c r="AE157" s="36">
        <v>1</v>
      </c>
      <c r="AF157" s="36">
        <v>4</v>
      </c>
      <c r="AG157" s="288">
        <v>1.58418719767558E-11</v>
      </c>
      <c r="AI157" s="39">
        <v>72</v>
      </c>
      <c r="AJ157" s="35">
        <v>16</v>
      </c>
      <c r="AK157" s="36">
        <v>4</v>
      </c>
      <c r="AL157" s="36">
        <v>4</v>
      </c>
      <c r="AM157" s="36">
        <v>1</v>
      </c>
      <c r="AN157" s="36">
        <v>3</v>
      </c>
      <c r="AO157" s="288">
        <v>9.8042586546449095E-2</v>
      </c>
      <c r="AQ157" s="39">
        <v>72</v>
      </c>
      <c r="AR157" s="35">
        <v>16</v>
      </c>
      <c r="AS157" s="36">
        <v>4</v>
      </c>
      <c r="AT157" s="36">
        <v>4</v>
      </c>
      <c r="AU157" s="36">
        <v>1</v>
      </c>
      <c r="AV157" s="36">
        <v>3</v>
      </c>
      <c r="AW157" s="287">
        <v>0.101220481091555</v>
      </c>
      <c r="AX157" s="288">
        <v>0.101220481091555</v>
      </c>
      <c r="AZ157" s="39">
        <v>72</v>
      </c>
      <c r="BA157" s="105">
        <v>9</v>
      </c>
      <c r="BB157" s="100">
        <v>7</v>
      </c>
      <c r="BC157" s="100">
        <v>2</v>
      </c>
      <c r="BD157" s="100">
        <v>2</v>
      </c>
      <c r="BE157" s="100">
        <v>1</v>
      </c>
      <c r="BF157" s="100">
        <v>3</v>
      </c>
      <c r="BG157" s="100">
        <v>1</v>
      </c>
      <c r="BH157" s="341">
        <v>0.58819645715616897</v>
      </c>
      <c r="BI157" s="341">
        <v>0.58819645715616897</v>
      </c>
      <c r="BJ157" s="342">
        <v>0.19606548571872301</v>
      </c>
    </row>
    <row r="158" spans="3:62" s="3" customFormat="1" ht="18" customHeight="1" x14ac:dyDescent="0.2">
      <c r="F158" s="39">
        <v>74</v>
      </c>
      <c r="G158" s="39">
        <v>24</v>
      </c>
      <c r="H158" s="39">
        <v>3</v>
      </c>
      <c r="I158" s="39">
        <v>1</v>
      </c>
      <c r="K158" s="39">
        <v>74</v>
      </c>
      <c r="L158" s="39">
        <v>24</v>
      </c>
      <c r="M158" s="39">
        <v>3</v>
      </c>
      <c r="N158" s="263">
        <v>2.2125402056987E-11</v>
      </c>
      <c r="Q158" s="39">
        <v>74</v>
      </c>
      <c r="R158" s="263">
        <v>2.2125402056987E-11</v>
      </c>
      <c r="AA158" s="39">
        <v>73</v>
      </c>
      <c r="AB158" s="35">
        <v>4</v>
      </c>
      <c r="AC158" s="36">
        <v>5</v>
      </c>
      <c r="AD158" s="36">
        <v>37</v>
      </c>
      <c r="AE158" s="36">
        <v>1</v>
      </c>
      <c r="AF158" s="36">
        <v>1</v>
      </c>
      <c r="AG158" s="288">
        <v>0.9804543417674062</v>
      </c>
      <c r="AI158" s="39">
        <v>73</v>
      </c>
      <c r="AJ158" s="35">
        <v>16</v>
      </c>
      <c r="AK158" s="36">
        <v>4</v>
      </c>
      <c r="AL158" s="36">
        <v>4</v>
      </c>
      <c r="AM158" s="36">
        <v>1</v>
      </c>
      <c r="AN158" s="36">
        <v>4</v>
      </c>
      <c r="AO158" s="288">
        <v>9.7984777996275293E-2</v>
      </c>
      <c r="AQ158" s="39">
        <v>73</v>
      </c>
      <c r="AR158" s="35">
        <v>16</v>
      </c>
      <c r="AS158" s="36">
        <v>4</v>
      </c>
      <c r="AT158" s="36">
        <v>4</v>
      </c>
      <c r="AU158" s="36">
        <v>1</v>
      </c>
      <c r="AV158" s="36">
        <v>4</v>
      </c>
      <c r="AW158" s="287">
        <v>0.101074641970145</v>
      </c>
      <c r="AX158" s="288">
        <v>0.101074641970145</v>
      </c>
      <c r="AZ158" s="39">
        <v>73</v>
      </c>
      <c r="BA158" s="105">
        <v>9</v>
      </c>
      <c r="BB158" s="100">
        <v>9</v>
      </c>
      <c r="BC158" s="100">
        <v>2</v>
      </c>
      <c r="BD158" s="100">
        <v>2</v>
      </c>
      <c r="BE158" s="100">
        <v>1</v>
      </c>
      <c r="BF158" s="100">
        <v>3</v>
      </c>
      <c r="BG158" s="100">
        <v>1</v>
      </c>
      <c r="BH158" s="341">
        <v>0.58742251526476696</v>
      </c>
      <c r="BI158" s="341">
        <v>0.58742251526476696</v>
      </c>
      <c r="BJ158" s="342">
        <v>0.19580750508825601</v>
      </c>
    </row>
    <row r="159" spans="3:62" s="3" customFormat="1" ht="18" customHeight="1" x14ac:dyDescent="0.2">
      <c r="F159" s="39">
        <v>75</v>
      </c>
      <c r="G159" s="39">
        <v>24</v>
      </c>
      <c r="H159" s="39">
        <v>4</v>
      </c>
      <c r="I159" s="39">
        <v>1</v>
      </c>
      <c r="K159" s="39">
        <v>75</v>
      </c>
      <c r="L159" s="39">
        <v>24</v>
      </c>
      <c r="M159" s="39">
        <v>4</v>
      </c>
      <c r="N159" s="263">
        <v>2.0776655081091601E-11</v>
      </c>
      <c r="Q159" s="39">
        <v>75</v>
      </c>
      <c r="R159" s="263">
        <v>2.0776655081091601E-11</v>
      </c>
      <c r="AA159" s="39">
        <v>74</v>
      </c>
      <c r="AB159" s="35">
        <v>4</v>
      </c>
      <c r="AC159" s="36">
        <v>5</v>
      </c>
      <c r="AD159" s="36">
        <v>37</v>
      </c>
      <c r="AE159" s="36">
        <v>1</v>
      </c>
      <c r="AF159" s="36">
        <v>2</v>
      </c>
      <c r="AG159" s="288">
        <v>0.252298528408337</v>
      </c>
      <c r="AI159" s="39">
        <v>74</v>
      </c>
      <c r="AJ159" s="35">
        <v>16</v>
      </c>
      <c r="AK159" s="36">
        <v>7</v>
      </c>
      <c r="AL159" s="36">
        <v>4</v>
      </c>
      <c r="AM159" s="36">
        <v>1</v>
      </c>
      <c r="AN159" s="36">
        <v>3</v>
      </c>
      <c r="AO159" s="288">
        <v>9.8041181683577394E-2</v>
      </c>
      <c r="AQ159" s="39">
        <v>74</v>
      </c>
      <c r="AR159" s="35">
        <v>16</v>
      </c>
      <c r="AS159" s="36">
        <v>7</v>
      </c>
      <c r="AT159" s="36">
        <v>4</v>
      </c>
      <c r="AU159" s="36">
        <v>1</v>
      </c>
      <c r="AV159" s="36">
        <v>3</v>
      </c>
      <c r="AW159" s="287">
        <v>0.101303810126881</v>
      </c>
      <c r="AX159" s="288">
        <v>0.101303810126881</v>
      </c>
      <c r="AZ159" s="39">
        <v>74</v>
      </c>
      <c r="BA159" s="105">
        <v>10</v>
      </c>
      <c r="BB159" s="100">
        <v>4</v>
      </c>
      <c r="BC159" s="100">
        <v>3</v>
      </c>
      <c r="BD159" s="100">
        <v>82</v>
      </c>
      <c r="BE159" s="100">
        <v>4</v>
      </c>
      <c r="BF159" s="100">
        <v>2</v>
      </c>
      <c r="BG159" s="100">
        <v>3</v>
      </c>
      <c r="BH159" s="341">
        <v>0.93493784254936618</v>
      </c>
      <c r="BI159" s="341">
        <v>0.31164594751645508</v>
      </c>
      <c r="BJ159" s="342">
        <v>0.46746892127468298</v>
      </c>
    </row>
    <row r="160" spans="3:62" s="3" customFormat="1" ht="18" customHeight="1" x14ac:dyDescent="0.2">
      <c r="F160" s="39">
        <v>76</v>
      </c>
      <c r="G160" s="39">
        <v>25</v>
      </c>
      <c r="H160" s="39">
        <v>1</v>
      </c>
      <c r="I160" s="39">
        <v>1</v>
      </c>
      <c r="K160" s="39">
        <v>76</v>
      </c>
      <c r="L160" s="39">
        <v>25</v>
      </c>
      <c r="M160" s="39">
        <v>1</v>
      </c>
      <c r="N160" s="263">
        <v>1.1557667807034799</v>
      </c>
      <c r="Q160" s="39">
        <v>76</v>
      </c>
      <c r="R160" s="263">
        <v>1.1557667807034799</v>
      </c>
      <c r="AA160" s="39">
        <v>75</v>
      </c>
      <c r="AB160" s="35">
        <v>4</v>
      </c>
      <c r="AC160" s="36">
        <v>5</v>
      </c>
      <c r="AD160" s="36">
        <v>37</v>
      </c>
      <c r="AE160" s="36">
        <v>1</v>
      </c>
      <c r="AF160" s="36">
        <v>3</v>
      </c>
      <c r="AG160" s="288">
        <v>1.2429699352082999E-11</v>
      </c>
      <c r="AI160" s="39">
        <v>75</v>
      </c>
      <c r="AJ160" s="35">
        <v>16</v>
      </c>
      <c r="AK160" s="36">
        <v>7</v>
      </c>
      <c r="AL160" s="36">
        <v>4</v>
      </c>
      <c r="AM160" s="36">
        <v>1</v>
      </c>
      <c r="AN160" s="36">
        <v>4</v>
      </c>
      <c r="AO160" s="288">
        <v>9.7983381477692297E-2</v>
      </c>
      <c r="AQ160" s="39">
        <v>75</v>
      </c>
      <c r="AR160" s="35">
        <v>16</v>
      </c>
      <c r="AS160" s="36">
        <v>7</v>
      </c>
      <c r="AT160" s="36">
        <v>4</v>
      </c>
      <c r="AU160" s="36">
        <v>1</v>
      </c>
      <c r="AV160" s="36">
        <v>4</v>
      </c>
      <c r="AW160" s="287">
        <v>0.10115687828879801</v>
      </c>
      <c r="AX160" s="288">
        <v>0.10115687828879801</v>
      </c>
      <c r="AZ160" s="39">
        <v>75</v>
      </c>
      <c r="BA160" s="105">
        <v>10</v>
      </c>
      <c r="BB160" s="100">
        <v>4</v>
      </c>
      <c r="BC160" s="100">
        <v>4</v>
      </c>
      <c r="BD160" s="100">
        <v>82</v>
      </c>
      <c r="BE160" s="100">
        <v>4</v>
      </c>
      <c r="BF160" s="100">
        <v>2</v>
      </c>
      <c r="BG160" s="100">
        <v>3</v>
      </c>
      <c r="BH160" s="341">
        <v>0.88473849466178411</v>
      </c>
      <c r="BI160" s="341">
        <v>0.294912831553928</v>
      </c>
      <c r="BJ160" s="342">
        <v>0.44236924733089211</v>
      </c>
    </row>
    <row r="161" spans="6:62" s="3" customFormat="1" ht="18" customHeight="1" x14ac:dyDescent="0.2">
      <c r="F161" s="39">
        <v>77</v>
      </c>
      <c r="G161" s="39">
        <v>25</v>
      </c>
      <c r="H161" s="39">
        <v>2</v>
      </c>
      <c r="I161" s="39">
        <v>1</v>
      </c>
      <c r="K161" s="39">
        <v>77</v>
      </c>
      <c r="L161" s="39">
        <v>25</v>
      </c>
      <c r="M161" s="39">
        <v>2</v>
      </c>
      <c r="N161" s="263">
        <v>0.26789024601560107</v>
      </c>
      <c r="Q161" s="39">
        <v>77</v>
      </c>
      <c r="R161" s="263">
        <v>0.26789024601560107</v>
      </c>
      <c r="AA161" s="39">
        <v>76</v>
      </c>
      <c r="AB161" s="35">
        <v>4</v>
      </c>
      <c r="AC161" s="36">
        <v>5</v>
      </c>
      <c r="AD161" s="36">
        <v>37</v>
      </c>
      <c r="AE161" s="36">
        <v>1</v>
      </c>
      <c r="AF161" s="36">
        <v>4</v>
      </c>
      <c r="AG161" s="288">
        <v>1.35678440387506E-11</v>
      </c>
      <c r="AI161" s="39">
        <v>76</v>
      </c>
      <c r="AJ161" s="35">
        <v>16</v>
      </c>
      <c r="AK161" s="36">
        <v>9</v>
      </c>
      <c r="AL161" s="36">
        <v>4</v>
      </c>
      <c r="AM161" s="36">
        <v>1</v>
      </c>
      <c r="AN161" s="36">
        <v>3</v>
      </c>
      <c r="AO161" s="288">
        <v>9.8026478543159906E-2</v>
      </c>
      <c r="AQ161" s="39">
        <v>76</v>
      </c>
      <c r="AR161" s="35">
        <v>16</v>
      </c>
      <c r="AS161" s="36">
        <v>9</v>
      </c>
      <c r="AT161" s="36">
        <v>4</v>
      </c>
      <c r="AU161" s="36">
        <v>1</v>
      </c>
      <c r="AV161" s="36">
        <v>3</v>
      </c>
      <c r="AW161" s="287">
        <v>0.10078363944635001</v>
      </c>
      <c r="AX161" s="288">
        <v>0.10078363944635001</v>
      </c>
      <c r="AZ161" s="39">
        <v>76</v>
      </c>
      <c r="BA161" s="105">
        <v>11</v>
      </c>
      <c r="BB161" s="100">
        <v>1</v>
      </c>
      <c r="BC161" s="100">
        <v>3</v>
      </c>
      <c r="BD161" s="100">
        <v>7</v>
      </c>
      <c r="BE161" s="100">
        <v>4</v>
      </c>
      <c r="BF161" s="100">
        <v>2</v>
      </c>
      <c r="BG161" s="100">
        <v>13</v>
      </c>
      <c r="BH161" s="341">
        <v>0.73658335852302004</v>
      </c>
      <c r="BI161" s="341">
        <v>5.6660258347924597E-2</v>
      </c>
      <c r="BJ161" s="342">
        <v>0.36829167926151002</v>
      </c>
    </row>
    <row r="162" spans="6:62" s="3" customFormat="1" ht="18" customHeight="1" x14ac:dyDescent="0.2">
      <c r="F162" s="39">
        <v>78</v>
      </c>
      <c r="G162" s="39">
        <v>25</v>
      </c>
      <c r="H162" s="39">
        <v>3</v>
      </c>
      <c r="I162" s="39">
        <v>1</v>
      </c>
      <c r="K162" s="39">
        <v>78</v>
      </c>
      <c r="L162" s="39">
        <v>25</v>
      </c>
      <c r="M162" s="39">
        <v>3</v>
      </c>
      <c r="N162" s="263">
        <v>1.5458717657490601E-11</v>
      </c>
      <c r="Q162" s="39">
        <v>78</v>
      </c>
      <c r="R162" s="263">
        <v>1.5458717657490601E-11</v>
      </c>
      <c r="AA162" s="39">
        <v>77</v>
      </c>
      <c r="AB162" s="35">
        <v>4</v>
      </c>
      <c r="AC162" s="36">
        <v>6</v>
      </c>
      <c r="AD162" s="36">
        <v>37</v>
      </c>
      <c r="AE162" s="36">
        <v>1</v>
      </c>
      <c r="AF162" s="36">
        <v>1</v>
      </c>
      <c r="AG162" s="288">
        <v>0.9803077124528462</v>
      </c>
      <c r="AI162" s="39">
        <v>77</v>
      </c>
      <c r="AJ162" s="35">
        <v>16</v>
      </c>
      <c r="AK162" s="36">
        <v>9</v>
      </c>
      <c r="AL162" s="36">
        <v>4</v>
      </c>
      <c r="AM162" s="36">
        <v>1</v>
      </c>
      <c r="AN162" s="36">
        <v>4</v>
      </c>
      <c r="AO162" s="288">
        <v>9.7968765640010114E-2</v>
      </c>
      <c r="AQ162" s="39">
        <v>77</v>
      </c>
      <c r="AR162" s="35">
        <v>16</v>
      </c>
      <c r="AS162" s="36">
        <v>9</v>
      </c>
      <c r="AT162" s="36">
        <v>4</v>
      </c>
      <c r="AU162" s="36">
        <v>1</v>
      </c>
      <c r="AV162" s="36">
        <v>4</v>
      </c>
      <c r="AW162" s="287">
        <v>0.100643477382482</v>
      </c>
      <c r="AX162" s="288">
        <v>0.100643477382482</v>
      </c>
      <c r="AZ162" s="39">
        <v>77</v>
      </c>
      <c r="BA162" s="105">
        <v>11</v>
      </c>
      <c r="BB162" s="100">
        <v>1</v>
      </c>
      <c r="BC162" s="100">
        <v>4</v>
      </c>
      <c r="BD162" s="100">
        <v>7</v>
      </c>
      <c r="BE162" s="100">
        <v>4</v>
      </c>
      <c r="BF162" s="100">
        <v>2</v>
      </c>
      <c r="BG162" s="100">
        <v>13</v>
      </c>
      <c r="BH162" s="341">
        <v>0.70116165005735698</v>
      </c>
      <c r="BI162" s="341">
        <v>5.3935511542873613E-2</v>
      </c>
      <c r="BJ162" s="342">
        <v>0.35058082502867799</v>
      </c>
    </row>
    <row r="163" spans="6:62" s="3" customFormat="1" ht="18" customHeight="1" x14ac:dyDescent="0.2">
      <c r="F163" s="39">
        <v>79</v>
      </c>
      <c r="G163" s="39">
        <v>25</v>
      </c>
      <c r="H163" s="39">
        <v>4</v>
      </c>
      <c r="I163" s="39">
        <v>1</v>
      </c>
      <c r="K163" s="39">
        <v>79</v>
      </c>
      <c r="L163" s="39">
        <v>25</v>
      </c>
      <c r="M163" s="39">
        <v>4</v>
      </c>
      <c r="N163" s="263">
        <v>1.32082725780158E-11</v>
      </c>
      <c r="Q163" s="39">
        <v>79</v>
      </c>
      <c r="R163" s="263">
        <v>1.32082725780158E-11</v>
      </c>
      <c r="AA163" s="39">
        <v>78</v>
      </c>
      <c r="AB163" s="35">
        <v>4</v>
      </c>
      <c r="AC163" s="36">
        <v>6</v>
      </c>
      <c r="AD163" s="36">
        <v>37</v>
      </c>
      <c r="AE163" s="36">
        <v>1</v>
      </c>
      <c r="AF163" s="36">
        <v>2</v>
      </c>
      <c r="AG163" s="288">
        <v>0.25228376818285497</v>
      </c>
      <c r="AI163" s="39">
        <v>78</v>
      </c>
      <c r="AJ163" s="35">
        <v>25</v>
      </c>
      <c r="AK163" s="36">
        <v>4</v>
      </c>
      <c r="AL163" s="36">
        <v>37</v>
      </c>
      <c r="AM163" s="36">
        <v>1</v>
      </c>
      <c r="AN163" s="36">
        <v>1</v>
      </c>
      <c r="AO163" s="288">
        <v>1.1983418584288199</v>
      </c>
      <c r="AQ163" s="39">
        <v>78</v>
      </c>
      <c r="AR163" s="35">
        <v>25</v>
      </c>
      <c r="AS163" s="36">
        <v>4</v>
      </c>
      <c r="AT163" s="36">
        <v>37</v>
      </c>
      <c r="AU163" s="36">
        <v>1</v>
      </c>
      <c r="AV163" s="36">
        <v>1</v>
      </c>
      <c r="AW163" s="287">
        <v>1.20436643395915</v>
      </c>
      <c r="AX163" s="288">
        <v>1.20436643395915</v>
      </c>
      <c r="AZ163" s="39">
        <v>78</v>
      </c>
      <c r="BA163" s="105">
        <v>11</v>
      </c>
      <c r="BB163" s="100">
        <v>10</v>
      </c>
      <c r="BC163" s="100">
        <v>3</v>
      </c>
      <c r="BD163" s="100">
        <v>7</v>
      </c>
      <c r="BE163" s="100">
        <v>4</v>
      </c>
      <c r="BF163" s="100">
        <v>2</v>
      </c>
      <c r="BG163" s="100">
        <v>13</v>
      </c>
      <c r="BH163" s="341">
        <v>0.73370916011677412</v>
      </c>
      <c r="BI163" s="341">
        <v>5.6439166162828798E-2</v>
      </c>
      <c r="BJ163" s="342">
        <v>0.366854580058387</v>
      </c>
    </row>
    <row r="164" spans="6:62" s="3" customFormat="1" ht="18" customHeight="1" x14ac:dyDescent="0.2">
      <c r="F164" s="39">
        <v>80</v>
      </c>
      <c r="G164" s="39">
        <v>26</v>
      </c>
      <c r="H164" s="39">
        <v>1</v>
      </c>
      <c r="I164" s="39">
        <v>1</v>
      </c>
      <c r="K164" s="39">
        <v>80</v>
      </c>
      <c r="L164" s="39">
        <v>26</v>
      </c>
      <c r="M164" s="39">
        <v>1</v>
      </c>
      <c r="N164" s="263">
        <v>1.1553976955596601</v>
      </c>
      <c r="Q164" s="39">
        <v>80</v>
      </c>
      <c r="R164" s="263">
        <v>1.1553976955596601</v>
      </c>
      <c r="AA164" s="39">
        <v>79</v>
      </c>
      <c r="AB164" s="35">
        <v>4</v>
      </c>
      <c r="AC164" s="36">
        <v>6</v>
      </c>
      <c r="AD164" s="36">
        <v>37</v>
      </c>
      <c r="AE164" s="36">
        <v>1</v>
      </c>
      <c r="AF164" s="36">
        <v>3</v>
      </c>
      <c r="AG164" s="288">
        <v>1.60339610750615E-11</v>
      </c>
      <c r="AI164" s="39">
        <v>79</v>
      </c>
      <c r="AJ164" s="35">
        <v>25</v>
      </c>
      <c r="AK164" s="36">
        <v>4</v>
      </c>
      <c r="AL164" s="36">
        <v>37</v>
      </c>
      <c r="AM164" s="36">
        <v>1</v>
      </c>
      <c r="AN164" s="36">
        <v>2</v>
      </c>
      <c r="AO164" s="288">
        <v>0.27519974433931699</v>
      </c>
      <c r="AQ164" s="39">
        <v>79</v>
      </c>
      <c r="AR164" s="35">
        <v>25</v>
      </c>
      <c r="AS164" s="36">
        <v>4</v>
      </c>
      <c r="AT164" s="36">
        <v>37</v>
      </c>
      <c r="AU164" s="36">
        <v>1</v>
      </c>
      <c r="AV164" s="36">
        <v>2</v>
      </c>
      <c r="AW164" s="287">
        <v>0.27169814701199801</v>
      </c>
      <c r="AX164" s="288">
        <v>0.27169814701199801</v>
      </c>
      <c r="AZ164" s="39">
        <v>79</v>
      </c>
      <c r="BA164" s="105">
        <v>11</v>
      </c>
      <c r="BB164" s="100">
        <v>10</v>
      </c>
      <c r="BC164" s="100">
        <v>4</v>
      </c>
      <c r="BD164" s="100">
        <v>7</v>
      </c>
      <c r="BE164" s="100">
        <v>4</v>
      </c>
      <c r="BF164" s="100">
        <v>2</v>
      </c>
      <c r="BG164" s="100">
        <v>13</v>
      </c>
      <c r="BH164" s="341">
        <v>0.69849411464925204</v>
      </c>
      <c r="BI164" s="341">
        <v>5.3730316511480913E-2</v>
      </c>
      <c r="BJ164" s="342">
        <v>0.34924705732462602</v>
      </c>
    </row>
    <row r="165" spans="6:62" s="3" customFormat="1" ht="18" customHeight="1" x14ac:dyDescent="0.2">
      <c r="F165" s="39">
        <v>81</v>
      </c>
      <c r="G165" s="39">
        <v>26</v>
      </c>
      <c r="H165" s="39">
        <v>2</v>
      </c>
      <c r="I165" s="39">
        <v>1</v>
      </c>
      <c r="K165" s="39">
        <v>81</v>
      </c>
      <c r="L165" s="39">
        <v>26</v>
      </c>
      <c r="M165" s="39">
        <v>2</v>
      </c>
      <c r="N165" s="263">
        <v>0.26786058692055098</v>
      </c>
      <c r="Q165" s="39">
        <v>81</v>
      </c>
      <c r="R165" s="263">
        <v>0.26786058692055098</v>
      </c>
      <c r="AA165" s="39">
        <v>80</v>
      </c>
      <c r="AB165" s="35">
        <v>4</v>
      </c>
      <c r="AC165" s="36">
        <v>6</v>
      </c>
      <c r="AD165" s="36">
        <v>37</v>
      </c>
      <c r="AE165" s="36">
        <v>1</v>
      </c>
      <c r="AF165" s="36">
        <v>4</v>
      </c>
      <c r="AG165" s="288">
        <v>1.88986911489923E-11</v>
      </c>
      <c r="AI165" s="39">
        <v>80</v>
      </c>
      <c r="AJ165" s="35">
        <v>34</v>
      </c>
      <c r="AK165" s="36">
        <v>4</v>
      </c>
      <c r="AL165" s="36">
        <v>4</v>
      </c>
      <c r="AM165" s="36">
        <v>2</v>
      </c>
      <c r="AN165" s="36">
        <v>3</v>
      </c>
      <c r="AO165" s="288">
        <v>0.295954436067485</v>
      </c>
      <c r="AQ165" s="39">
        <v>80</v>
      </c>
      <c r="AR165" s="35">
        <v>34</v>
      </c>
      <c r="AS165" s="36">
        <v>4</v>
      </c>
      <c r="AT165" s="36">
        <v>4</v>
      </c>
      <c r="AU165" s="36">
        <v>2</v>
      </c>
      <c r="AV165" s="36">
        <v>3</v>
      </c>
      <c r="AW165" s="287">
        <v>0.30746432894154901</v>
      </c>
      <c r="AX165" s="288">
        <v>0.15373216447077401</v>
      </c>
      <c r="AZ165" s="39">
        <v>80</v>
      </c>
      <c r="BA165" s="105">
        <v>11</v>
      </c>
      <c r="BB165" s="100">
        <v>2</v>
      </c>
      <c r="BC165" s="100">
        <v>3</v>
      </c>
      <c r="BD165" s="100">
        <v>7</v>
      </c>
      <c r="BE165" s="100">
        <v>4</v>
      </c>
      <c r="BF165" s="100">
        <v>2</v>
      </c>
      <c r="BG165" s="100">
        <v>13</v>
      </c>
      <c r="BH165" s="341">
        <v>0.73359669514078096</v>
      </c>
      <c r="BI165" s="341">
        <v>5.6430515010829303E-2</v>
      </c>
      <c r="BJ165" s="342">
        <v>0.36679834757038998</v>
      </c>
    </row>
    <row r="166" spans="6:62" s="3" customFormat="1" ht="18" customHeight="1" x14ac:dyDescent="0.2">
      <c r="F166" s="39">
        <v>82</v>
      </c>
      <c r="G166" s="39">
        <v>26</v>
      </c>
      <c r="H166" s="39">
        <v>3</v>
      </c>
      <c r="I166" s="39">
        <v>1</v>
      </c>
      <c r="K166" s="39">
        <v>82</v>
      </c>
      <c r="L166" s="39">
        <v>26</v>
      </c>
      <c r="M166" s="39">
        <v>3</v>
      </c>
      <c r="N166" s="263">
        <v>2.2461341496236501E-11</v>
      </c>
      <c r="Q166" s="39">
        <v>82</v>
      </c>
      <c r="R166" s="263">
        <v>2.2461341496236501E-11</v>
      </c>
      <c r="AA166" s="39">
        <v>81</v>
      </c>
      <c r="AB166" s="35">
        <v>4</v>
      </c>
      <c r="AC166" s="36">
        <v>7</v>
      </c>
      <c r="AD166" s="36">
        <v>37</v>
      </c>
      <c r="AE166" s="36">
        <v>1</v>
      </c>
      <c r="AF166" s="36">
        <v>1</v>
      </c>
      <c r="AG166" s="288">
        <v>0.98046559180968684</v>
      </c>
      <c r="AI166" s="39">
        <v>81</v>
      </c>
      <c r="AJ166" s="35">
        <v>34</v>
      </c>
      <c r="AK166" s="36">
        <v>4</v>
      </c>
      <c r="AL166" s="36">
        <v>4</v>
      </c>
      <c r="AM166" s="36">
        <v>2</v>
      </c>
      <c r="AN166" s="36">
        <v>4</v>
      </c>
      <c r="AO166" s="288">
        <v>0.29216770814909498</v>
      </c>
      <c r="AQ166" s="39">
        <v>81</v>
      </c>
      <c r="AR166" s="35">
        <v>34</v>
      </c>
      <c r="AS166" s="36">
        <v>4</v>
      </c>
      <c r="AT166" s="36">
        <v>4</v>
      </c>
      <c r="AU166" s="36">
        <v>2</v>
      </c>
      <c r="AV166" s="36">
        <v>4</v>
      </c>
      <c r="AW166" s="287">
        <v>0.29944567452314402</v>
      </c>
      <c r="AX166" s="288">
        <v>0.14972283726157201</v>
      </c>
      <c r="AZ166" s="39">
        <v>81</v>
      </c>
      <c r="BA166" s="105">
        <v>11</v>
      </c>
      <c r="BB166" s="100">
        <v>2</v>
      </c>
      <c r="BC166" s="100">
        <v>4</v>
      </c>
      <c r="BD166" s="100">
        <v>7</v>
      </c>
      <c r="BE166" s="100">
        <v>4</v>
      </c>
      <c r="BF166" s="100">
        <v>2</v>
      </c>
      <c r="BG166" s="100">
        <v>13</v>
      </c>
      <c r="BH166" s="341">
        <v>0.69838973156980211</v>
      </c>
      <c r="BI166" s="341">
        <v>5.3722287043830898E-2</v>
      </c>
      <c r="BJ166" s="342">
        <v>0.34919486578490111</v>
      </c>
    </row>
    <row r="167" spans="6:62" s="3" customFormat="1" ht="18" customHeight="1" x14ac:dyDescent="0.2">
      <c r="F167" s="39">
        <v>83</v>
      </c>
      <c r="G167" s="39">
        <v>26</v>
      </c>
      <c r="H167" s="39">
        <v>4</v>
      </c>
      <c r="I167" s="39">
        <v>1</v>
      </c>
      <c r="K167" s="39">
        <v>83</v>
      </c>
      <c r="L167" s="39">
        <v>26</v>
      </c>
      <c r="M167" s="39">
        <v>4</v>
      </c>
      <c r="N167" s="263">
        <v>2.1461235099005501E-11</v>
      </c>
      <c r="Q167" s="39">
        <v>83</v>
      </c>
      <c r="R167" s="263">
        <v>2.1461235099005501E-11</v>
      </c>
      <c r="AA167" s="39">
        <v>82</v>
      </c>
      <c r="AB167" s="35">
        <v>4</v>
      </c>
      <c r="AC167" s="36">
        <v>7</v>
      </c>
      <c r="AD167" s="36">
        <v>37</v>
      </c>
      <c r="AE167" s="36">
        <v>1</v>
      </c>
      <c r="AF167" s="36">
        <v>2</v>
      </c>
      <c r="AG167" s="288">
        <v>0.25229948466874708</v>
      </c>
      <c r="AI167" s="39">
        <v>82</v>
      </c>
      <c r="AJ167" s="35">
        <v>34</v>
      </c>
      <c r="AK167" s="36">
        <v>7</v>
      </c>
      <c r="AL167" s="36">
        <v>4</v>
      </c>
      <c r="AM167" s="36">
        <v>2</v>
      </c>
      <c r="AN167" s="36">
        <v>3</v>
      </c>
      <c r="AO167" s="288">
        <v>0.295951597632168</v>
      </c>
      <c r="AQ167" s="39">
        <v>82</v>
      </c>
      <c r="AR167" s="35">
        <v>34</v>
      </c>
      <c r="AS167" s="36">
        <v>7</v>
      </c>
      <c r="AT167" s="36">
        <v>4</v>
      </c>
      <c r="AU167" s="36">
        <v>2</v>
      </c>
      <c r="AV167" s="36">
        <v>3</v>
      </c>
      <c r="AW167" s="287">
        <v>0.30763432751750208</v>
      </c>
      <c r="AX167" s="288">
        <v>0.15381716375875101</v>
      </c>
      <c r="AZ167" s="39">
        <v>82</v>
      </c>
      <c r="BA167" s="105">
        <v>11</v>
      </c>
      <c r="BB167" s="100">
        <v>3</v>
      </c>
      <c r="BC167" s="100">
        <v>3</v>
      </c>
      <c r="BD167" s="100">
        <v>7</v>
      </c>
      <c r="BE167" s="100">
        <v>4</v>
      </c>
      <c r="BF167" s="100">
        <v>2</v>
      </c>
      <c r="BG167" s="100">
        <v>13</v>
      </c>
      <c r="BH167" s="341">
        <v>0.73440610522350103</v>
      </c>
      <c r="BI167" s="341">
        <v>5.6492777324884703E-2</v>
      </c>
      <c r="BJ167" s="342">
        <v>0.36720305261175001</v>
      </c>
    </row>
    <row r="168" spans="6:62" s="3" customFormat="1" ht="18" customHeight="1" x14ac:dyDescent="0.2">
      <c r="F168" s="39">
        <v>84</v>
      </c>
      <c r="G168" s="39">
        <v>27</v>
      </c>
      <c r="H168" s="39">
        <v>1</v>
      </c>
      <c r="I168" s="39">
        <v>1</v>
      </c>
      <c r="K168" s="39">
        <v>84</v>
      </c>
      <c r="L168" s="39">
        <v>27</v>
      </c>
      <c r="M168" s="39">
        <v>1</v>
      </c>
      <c r="N168" s="263">
        <v>1.15603861153507</v>
      </c>
      <c r="Q168" s="39">
        <v>84</v>
      </c>
      <c r="R168" s="263">
        <v>1.15603861153507</v>
      </c>
      <c r="AA168" s="39">
        <v>83</v>
      </c>
      <c r="AB168" s="35">
        <v>4</v>
      </c>
      <c r="AC168" s="36">
        <v>7</v>
      </c>
      <c r="AD168" s="36">
        <v>37</v>
      </c>
      <c r="AE168" s="36">
        <v>1</v>
      </c>
      <c r="AF168" s="36">
        <v>3</v>
      </c>
      <c r="AG168" s="288">
        <v>1.220673172567E-11</v>
      </c>
      <c r="AI168" s="39">
        <v>83</v>
      </c>
      <c r="AJ168" s="35">
        <v>34</v>
      </c>
      <c r="AK168" s="36">
        <v>7</v>
      </c>
      <c r="AL168" s="36">
        <v>4</v>
      </c>
      <c r="AM168" s="36">
        <v>2</v>
      </c>
      <c r="AN168" s="36">
        <v>4</v>
      </c>
      <c r="AO168" s="288">
        <v>0.29216494389828501</v>
      </c>
      <c r="AQ168" s="39">
        <v>83</v>
      </c>
      <c r="AR168" s="35">
        <v>34</v>
      </c>
      <c r="AS168" s="36">
        <v>7</v>
      </c>
      <c r="AT168" s="36">
        <v>4</v>
      </c>
      <c r="AU168" s="36">
        <v>2</v>
      </c>
      <c r="AV168" s="36">
        <v>4</v>
      </c>
      <c r="AW168" s="287">
        <v>0.29960680765313707</v>
      </c>
      <c r="AX168" s="288">
        <v>0.14980340382656901</v>
      </c>
      <c r="AZ168" s="39">
        <v>83</v>
      </c>
      <c r="BA168" s="105">
        <v>11</v>
      </c>
      <c r="BB168" s="100">
        <v>3</v>
      </c>
      <c r="BC168" s="100">
        <v>4</v>
      </c>
      <c r="BD168" s="100">
        <v>7</v>
      </c>
      <c r="BE168" s="100">
        <v>4</v>
      </c>
      <c r="BF168" s="100">
        <v>2</v>
      </c>
      <c r="BG168" s="100">
        <v>13</v>
      </c>
      <c r="BH168" s="341">
        <v>0.69914096842863416</v>
      </c>
      <c r="BI168" s="341">
        <v>5.3780074494510298E-2</v>
      </c>
      <c r="BJ168" s="342">
        <v>0.34957048421431708</v>
      </c>
    </row>
    <row r="169" spans="6:62" s="3" customFormat="1" ht="18" customHeight="1" x14ac:dyDescent="0.2">
      <c r="F169" s="39">
        <v>85</v>
      </c>
      <c r="G169" s="39">
        <v>27</v>
      </c>
      <c r="H169" s="39">
        <v>2</v>
      </c>
      <c r="I169" s="39">
        <v>1</v>
      </c>
      <c r="K169" s="39">
        <v>85</v>
      </c>
      <c r="L169" s="39">
        <v>27</v>
      </c>
      <c r="M169" s="39">
        <v>2</v>
      </c>
      <c r="N169" s="263">
        <v>0.26791208259459098</v>
      </c>
      <c r="Q169" s="39">
        <v>85</v>
      </c>
      <c r="R169" s="263">
        <v>0.26791208259459098</v>
      </c>
      <c r="AA169" s="39">
        <v>84</v>
      </c>
      <c r="AB169" s="35">
        <v>4</v>
      </c>
      <c r="AC169" s="36">
        <v>7</v>
      </c>
      <c r="AD169" s="36">
        <v>37</v>
      </c>
      <c r="AE169" s="36">
        <v>1</v>
      </c>
      <c r="AF169" s="36">
        <v>4</v>
      </c>
      <c r="AG169" s="288">
        <v>1.32068052525088E-11</v>
      </c>
      <c r="AI169" s="39">
        <v>84</v>
      </c>
      <c r="AJ169" s="35">
        <v>34</v>
      </c>
      <c r="AK169" s="36">
        <v>9</v>
      </c>
      <c r="AL169" s="36">
        <v>4</v>
      </c>
      <c r="AM169" s="36">
        <v>2</v>
      </c>
      <c r="AN169" s="36">
        <v>3</v>
      </c>
      <c r="AO169" s="288">
        <v>0.29592189072407898</v>
      </c>
      <c r="AQ169" s="39">
        <v>84</v>
      </c>
      <c r="AR169" s="35">
        <v>34</v>
      </c>
      <c r="AS169" s="36">
        <v>9</v>
      </c>
      <c r="AT169" s="36">
        <v>4</v>
      </c>
      <c r="AU169" s="36">
        <v>2</v>
      </c>
      <c r="AV169" s="36">
        <v>3</v>
      </c>
      <c r="AW169" s="287">
        <v>0.30657310631109908</v>
      </c>
      <c r="AX169" s="288">
        <v>0.15328655315554901</v>
      </c>
      <c r="AZ169" s="39">
        <v>84</v>
      </c>
      <c r="BA169" s="105">
        <v>11</v>
      </c>
      <c r="BB169" s="100">
        <v>4</v>
      </c>
      <c r="BC169" s="100">
        <v>3</v>
      </c>
      <c r="BD169" s="100">
        <v>7</v>
      </c>
      <c r="BE169" s="100">
        <v>4</v>
      </c>
      <c r="BF169" s="100">
        <v>2</v>
      </c>
      <c r="BG169" s="100">
        <v>13</v>
      </c>
      <c r="BH169" s="341">
        <v>0.73492392189682698</v>
      </c>
      <c r="BI169" s="341">
        <v>5.6532609376678998E-2</v>
      </c>
      <c r="BJ169" s="342">
        <v>0.36746196094841299</v>
      </c>
    </row>
    <row r="170" spans="6:62" s="3" customFormat="1" ht="18" customHeight="1" x14ac:dyDescent="0.2">
      <c r="F170" s="39">
        <v>86</v>
      </c>
      <c r="G170" s="39">
        <v>27</v>
      </c>
      <c r="H170" s="39">
        <v>3</v>
      </c>
      <c r="I170" s="39">
        <v>1</v>
      </c>
      <c r="K170" s="39">
        <v>86</v>
      </c>
      <c r="L170" s="39">
        <v>27</v>
      </c>
      <c r="M170" s="39">
        <v>3</v>
      </c>
      <c r="N170" s="263">
        <v>9.9916267899971194E-12</v>
      </c>
      <c r="Q170" s="39">
        <v>86</v>
      </c>
      <c r="R170" s="263">
        <v>9.9916267899971194E-12</v>
      </c>
      <c r="AA170" s="39">
        <v>85</v>
      </c>
      <c r="AB170" s="35">
        <v>4</v>
      </c>
      <c r="AC170" s="36">
        <v>9</v>
      </c>
      <c r="AD170" s="36">
        <v>37</v>
      </c>
      <c r="AE170" s="36">
        <v>1</v>
      </c>
      <c r="AF170" s="36">
        <v>1</v>
      </c>
      <c r="AG170" s="288">
        <v>0.98004789554221206</v>
      </c>
      <c r="AI170" s="39">
        <v>85</v>
      </c>
      <c r="AJ170" s="35">
        <v>34</v>
      </c>
      <c r="AK170" s="36">
        <v>9</v>
      </c>
      <c r="AL170" s="36">
        <v>4</v>
      </c>
      <c r="AM170" s="36">
        <v>2</v>
      </c>
      <c r="AN170" s="36">
        <v>4</v>
      </c>
      <c r="AO170" s="288">
        <v>0.292136013379593</v>
      </c>
      <c r="AQ170" s="39">
        <v>85</v>
      </c>
      <c r="AR170" s="35">
        <v>34</v>
      </c>
      <c r="AS170" s="36">
        <v>9</v>
      </c>
      <c r="AT170" s="36">
        <v>4</v>
      </c>
      <c r="AU170" s="36">
        <v>2</v>
      </c>
      <c r="AV170" s="36">
        <v>4</v>
      </c>
      <c r="AW170" s="287">
        <v>0.298600890315595</v>
      </c>
      <c r="AX170" s="288">
        <v>0.149300445157798</v>
      </c>
      <c r="AZ170" s="39">
        <v>85</v>
      </c>
      <c r="BA170" s="105">
        <v>11</v>
      </c>
      <c r="BB170" s="100">
        <v>4</v>
      </c>
      <c r="BC170" s="100">
        <v>4</v>
      </c>
      <c r="BD170" s="100">
        <v>7</v>
      </c>
      <c r="BE170" s="100">
        <v>4</v>
      </c>
      <c r="BF170" s="100">
        <v>2</v>
      </c>
      <c r="BG170" s="100">
        <v>13</v>
      </c>
      <c r="BH170" s="341">
        <v>0.69962155953584404</v>
      </c>
      <c r="BI170" s="341">
        <v>5.3817043041218697E-2</v>
      </c>
      <c r="BJ170" s="342">
        <v>0.34981077976792202</v>
      </c>
    </row>
    <row r="171" spans="6:62" s="3" customFormat="1" ht="18" customHeight="1" x14ac:dyDescent="0.2">
      <c r="F171" s="39">
        <v>87</v>
      </c>
      <c r="G171" s="39">
        <v>27</v>
      </c>
      <c r="H171" s="39">
        <v>4</v>
      </c>
      <c r="I171" s="39">
        <v>1</v>
      </c>
      <c r="K171" s="39">
        <v>87</v>
      </c>
      <c r="L171" s="39">
        <v>27</v>
      </c>
      <c r="M171" s="39">
        <v>4</v>
      </c>
      <c r="N171" s="263">
        <v>6.7248703331193698E-12</v>
      </c>
      <c r="Q171" s="39">
        <v>87</v>
      </c>
      <c r="R171" s="263">
        <v>6.7248703331193698E-12</v>
      </c>
      <c r="AA171" s="39">
        <v>86</v>
      </c>
      <c r="AB171" s="35">
        <v>4</v>
      </c>
      <c r="AC171" s="36">
        <v>9</v>
      </c>
      <c r="AD171" s="36">
        <v>37</v>
      </c>
      <c r="AE171" s="36">
        <v>1</v>
      </c>
      <c r="AF171" s="36">
        <v>2</v>
      </c>
      <c r="AG171" s="288">
        <v>0.25225808973959801</v>
      </c>
      <c r="AI171" s="39">
        <v>86</v>
      </c>
      <c r="AJ171" s="35">
        <v>82</v>
      </c>
      <c r="AK171" s="36">
        <v>4</v>
      </c>
      <c r="AL171" s="36">
        <v>4</v>
      </c>
      <c r="AM171" s="36">
        <v>3</v>
      </c>
      <c r="AN171" s="36">
        <v>3</v>
      </c>
      <c r="AO171" s="288">
        <v>0.89420895699305702</v>
      </c>
      <c r="AQ171" s="39">
        <v>86</v>
      </c>
      <c r="AR171" s="35">
        <v>82</v>
      </c>
      <c r="AS171" s="36">
        <v>4</v>
      </c>
      <c r="AT171" s="36">
        <v>4</v>
      </c>
      <c r="AU171" s="36">
        <v>3</v>
      </c>
      <c r="AV171" s="36">
        <v>3</v>
      </c>
      <c r="AW171" s="287">
        <v>0.93493784254936618</v>
      </c>
      <c r="AX171" s="288">
        <v>0.31164594751645508</v>
      </c>
      <c r="AZ171" s="39">
        <v>86</v>
      </c>
      <c r="BA171" s="105">
        <v>11</v>
      </c>
      <c r="BB171" s="100">
        <v>5</v>
      </c>
      <c r="BC171" s="100">
        <v>3</v>
      </c>
      <c r="BD171" s="100">
        <v>7</v>
      </c>
      <c r="BE171" s="100">
        <v>4</v>
      </c>
      <c r="BF171" s="100">
        <v>2</v>
      </c>
      <c r="BG171" s="100">
        <v>13</v>
      </c>
      <c r="BH171" s="341">
        <v>0.73589202014033306</v>
      </c>
      <c r="BI171" s="341">
        <v>5.6607078472333303E-2</v>
      </c>
      <c r="BJ171" s="342">
        <v>0.36794601007016697</v>
      </c>
    </row>
    <row r="172" spans="6:62" s="3" customFormat="1" ht="18.5" customHeight="1" x14ac:dyDescent="0.2">
      <c r="F172" s="39">
        <v>88</v>
      </c>
      <c r="G172" s="39">
        <v>28</v>
      </c>
      <c r="H172" s="39">
        <v>1</v>
      </c>
      <c r="I172" s="39">
        <v>1</v>
      </c>
      <c r="K172" s="39">
        <v>88</v>
      </c>
      <c r="L172" s="39">
        <v>28</v>
      </c>
      <c r="M172" s="39">
        <v>1</v>
      </c>
      <c r="N172" s="263">
        <v>1.1543403098235401</v>
      </c>
      <c r="Q172" s="39">
        <v>88</v>
      </c>
      <c r="R172" s="263">
        <v>1.1543403098235401</v>
      </c>
      <c r="AA172" s="39">
        <v>87</v>
      </c>
      <c r="AB172" s="35">
        <v>4</v>
      </c>
      <c r="AC172" s="36">
        <v>9</v>
      </c>
      <c r="AD172" s="36">
        <v>37</v>
      </c>
      <c r="AE172" s="36">
        <v>1</v>
      </c>
      <c r="AF172" s="36">
        <v>3</v>
      </c>
      <c r="AG172" s="288">
        <v>2.0742617707249101E-11</v>
      </c>
      <c r="AI172" s="56">
        <v>87</v>
      </c>
      <c r="AJ172" s="32">
        <v>82</v>
      </c>
      <c r="AK172" s="33">
        <v>4</v>
      </c>
      <c r="AL172" s="33">
        <v>4</v>
      </c>
      <c r="AM172" s="33">
        <v>3</v>
      </c>
      <c r="AN172" s="33">
        <v>4</v>
      </c>
      <c r="AO172" s="291">
        <v>0.87010509079914511</v>
      </c>
      <c r="AQ172" s="56">
        <v>87</v>
      </c>
      <c r="AR172" s="32">
        <v>82</v>
      </c>
      <c r="AS172" s="33">
        <v>4</v>
      </c>
      <c r="AT172" s="33">
        <v>4</v>
      </c>
      <c r="AU172" s="33">
        <v>3</v>
      </c>
      <c r="AV172" s="33">
        <v>4</v>
      </c>
      <c r="AW172" s="290">
        <v>0.88473849466178411</v>
      </c>
      <c r="AX172" s="291">
        <v>0.294912831553928</v>
      </c>
      <c r="AZ172" s="39">
        <v>87</v>
      </c>
      <c r="BA172" s="105">
        <v>11</v>
      </c>
      <c r="BB172" s="100">
        <v>5</v>
      </c>
      <c r="BC172" s="100">
        <v>4</v>
      </c>
      <c r="BD172" s="100">
        <v>7</v>
      </c>
      <c r="BE172" s="100">
        <v>4</v>
      </c>
      <c r="BF172" s="100">
        <v>2</v>
      </c>
      <c r="BG172" s="100">
        <v>13</v>
      </c>
      <c r="BH172" s="341">
        <v>0.70052004174469007</v>
      </c>
      <c r="BI172" s="341">
        <v>5.3886157057283807E-2</v>
      </c>
      <c r="BJ172" s="342">
        <v>0.35026002087234498</v>
      </c>
    </row>
    <row r="173" spans="6:62" s="3" customFormat="1" ht="18.5" customHeight="1" x14ac:dyDescent="0.2">
      <c r="F173" s="39">
        <v>89</v>
      </c>
      <c r="G173" s="39">
        <v>28</v>
      </c>
      <c r="H173" s="39">
        <v>2</v>
      </c>
      <c r="I173" s="39">
        <v>1</v>
      </c>
      <c r="K173" s="39">
        <v>89</v>
      </c>
      <c r="L173" s="39">
        <v>28</v>
      </c>
      <c r="M173" s="39">
        <v>2</v>
      </c>
      <c r="N173" s="263">
        <v>0.267775695335289</v>
      </c>
      <c r="Q173" s="39">
        <v>89</v>
      </c>
      <c r="R173" s="263">
        <v>0.267775695335289</v>
      </c>
      <c r="AA173" s="39">
        <v>88</v>
      </c>
      <c r="AB173" s="35">
        <v>4</v>
      </c>
      <c r="AC173" s="36">
        <v>9</v>
      </c>
      <c r="AD173" s="36">
        <v>37</v>
      </c>
      <c r="AE173" s="36">
        <v>1</v>
      </c>
      <c r="AF173" s="36">
        <v>4</v>
      </c>
      <c r="AG173" s="288">
        <v>2.2558246499414101E-11</v>
      </c>
      <c r="AZ173" s="39">
        <v>88</v>
      </c>
      <c r="BA173" s="105">
        <v>11</v>
      </c>
      <c r="BB173" s="100">
        <v>6</v>
      </c>
      <c r="BC173" s="100">
        <v>3</v>
      </c>
      <c r="BD173" s="100">
        <v>7</v>
      </c>
      <c r="BE173" s="100">
        <v>4</v>
      </c>
      <c r="BF173" s="100">
        <v>2</v>
      </c>
      <c r="BG173" s="100">
        <v>13</v>
      </c>
      <c r="BH173" s="341">
        <v>0.73340764643548695</v>
      </c>
      <c r="BI173" s="341">
        <v>5.6415972802729697E-2</v>
      </c>
      <c r="BJ173" s="342">
        <v>0.36670382321774297</v>
      </c>
    </row>
    <row r="174" spans="6:62" s="3" customFormat="1" ht="18" customHeight="1" x14ac:dyDescent="0.2">
      <c r="F174" s="39">
        <v>90</v>
      </c>
      <c r="G174" s="39">
        <v>28</v>
      </c>
      <c r="H174" s="39">
        <v>3</v>
      </c>
      <c r="I174" s="39">
        <v>1</v>
      </c>
      <c r="K174" s="39">
        <v>90</v>
      </c>
      <c r="L174" s="39">
        <v>28</v>
      </c>
      <c r="M174" s="39">
        <v>3</v>
      </c>
      <c r="N174" s="263">
        <v>5.3105914221952797E-12</v>
      </c>
      <c r="Q174" s="39">
        <v>90</v>
      </c>
      <c r="R174" s="263">
        <v>5.3105914221952797E-12</v>
      </c>
      <c r="AA174" s="39">
        <v>89</v>
      </c>
      <c r="AB174" s="35">
        <v>6</v>
      </c>
      <c r="AC174" s="36">
        <v>1</v>
      </c>
      <c r="AD174" s="36">
        <v>37</v>
      </c>
      <c r="AE174" s="36">
        <v>3</v>
      </c>
      <c r="AF174" s="36">
        <v>1</v>
      </c>
      <c r="AG174" s="288">
        <v>1.1561708859108999</v>
      </c>
      <c r="AZ174" s="39">
        <v>89</v>
      </c>
      <c r="BA174" s="105">
        <v>11</v>
      </c>
      <c r="BB174" s="100">
        <v>6</v>
      </c>
      <c r="BC174" s="100">
        <v>4</v>
      </c>
      <c r="BD174" s="100">
        <v>7</v>
      </c>
      <c r="BE174" s="100">
        <v>4</v>
      </c>
      <c r="BF174" s="100">
        <v>2</v>
      </c>
      <c r="BG174" s="100">
        <v>13</v>
      </c>
      <c r="BH174" s="341">
        <v>0.69821426740710313</v>
      </c>
      <c r="BI174" s="341">
        <v>5.3708789800546407E-2</v>
      </c>
      <c r="BJ174" s="342">
        <v>0.34910713370355201</v>
      </c>
    </row>
    <row r="175" spans="6:62" s="3" customFormat="1" ht="18" customHeight="1" x14ac:dyDescent="0.2">
      <c r="F175" s="39">
        <v>91</v>
      </c>
      <c r="G175" s="39">
        <v>28</v>
      </c>
      <c r="H175" s="39">
        <v>4</v>
      </c>
      <c r="I175" s="39">
        <v>1</v>
      </c>
      <c r="K175" s="39">
        <v>91</v>
      </c>
      <c r="L175" s="39">
        <v>28</v>
      </c>
      <c r="M175" s="39">
        <v>4</v>
      </c>
      <c r="N175" s="263">
        <v>9.1368050559770077E-12</v>
      </c>
      <c r="Q175" s="39">
        <v>91</v>
      </c>
      <c r="R175" s="263">
        <v>9.1368050559770077E-12</v>
      </c>
      <c r="AA175" s="39">
        <v>90</v>
      </c>
      <c r="AB175" s="35">
        <v>6</v>
      </c>
      <c r="AC175" s="36">
        <v>1</v>
      </c>
      <c r="AD175" s="36">
        <v>37</v>
      </c>
      <c r="AE175" s="36">
        <v>3</v>
      </c>
      <c r="AF175" s="36">
        <v>2</v>
      </c>
      <c r="AG175" s="288">
        <v>0.26792270686531999</v>
      </c>
      <c r="AI175" s="61"/>
      <c r="AZ175" s="39">
        <v>90</v>
      </c>
      <c r="BA175" s="105">
        <v>11</v>
      </c>
      <c r="BB175" s="100">
        <v>7</v>
      </c>
      <c r="BC175" s="100">
        <v>3</v>
      </c>
      <c r="BD175" s="100">
        <v>7</v>
      </c>
      <c r="BE175" s="100">
        <v>4</v>
      </c>
      <c r="BF175" s="100">
        <v>2</v>
      </c>
      <c r="BG175" s="100">
        <v>13</v>
      </c>
      <c r="BH175" s="341">
        <v>0.7360402314212231</v>
      </c>
      <c r="BI175" s="341">
        <v>5.6618479340094098E-2</v>
      </c>
      <c r="BJ175" s="342">
        <v>0.36802011571061211</v>
      </c>
    </row>
    <row r="176" spans="6:62" s="3" customFormat="1" ht="18" customHeight="1" x14ac:dyDescent="0.2">
      <c r="F176" s="39">
        <v>92</v>
      </c>
      <c r="G176" s="39">
        <v>29</v>
      </c>
      <c r="H176" s="39">
        <v>3</v>
      </c>
      <c r="I176" s="39">
        <v>1</v>
      </c>
      <c r="K176" s="39">
        <v>92</v>
      </c>
      <c r="L176" s="39">
        <v>29</v>
      </c>
      <c r="M176" s="39">
        <v>3</v>
      </c>
      <c r="N176" s="263">
        <v>0.73658335852302004</v>
      </c>
      <c r="Q176" s="39">
        <v>92</v>
      </c>
      <c r="R176" s="263">
        <v>0.73658335852302004</v>
      </c>
      <c r="AA176" s="39">
        <v>91</v>
      </c>
      <c r="AB176" s="35">
        <v>6</v>
      </c>
      <c r="AC176" s="36">
        <v>1</v>
      </c>
      <c r="AD176" s="36">
        <v>37</v>
      </c>
      <c r="AE176" s="36">
        <v>3</v>
      </c>
      <c r="AF176" s="36">
        <v>3</v>
      </c>
      <c r="AG176" s="288">
        <v>9.0414060426273902E-12</v>
      </c>
      <c r="AZ176" s="39">
        <v>91</v>
      </c>
      <c r="BA176" s="105">
        <v>11</v>
      </c>
      <c r="BB176" s="100">
        <v>7</v>
      </c>
      <c r="BC176" s="100">
        <v>4</v>
      </c>
      <c r="BD176" s="100">
        <v>7</v>
      </c>
      <c r="BE176" s="100">
        <v>4</v>
      </c>
      <c r="BF176" s="100">
        <v>2</v>
      </c>
      <c r="BG176" s="100">
        <v>13</v>
      </c>
      <c r="BH176" s="341">
        <v>0.70065759283893603</v>
      </c>
      <c r="BI176" s="341">
        <v>5.3896737910687408E-2</v>
      </c>
      <c r="BJ176" s="342">
        <v>0.35032879641946801</v>
      </c>
    </row>
    <row r="177" spans="6:62" s="3" customFormat="1" ht="18" customHeight="1" x14ac:dyDescent="0.2">
      <c r="F177" s="39">
        <v>93</v>
      </c>
      <c r="G177" s="39">
        <v>29</v>
      </c>
      <c r="H177" s="39">
        <v>4</v>
      </c>
      <c r="I177" s="39">
        <v>1</v>
      </c>
      <c r="K177" s="39">
        <v>93</v>
      </c>
      <c r="L177" s="39">
        <v>29</v>
      </c>
      <c r="M177" s="39">
        <v>4</v>
      </c>
      <c r="N177" s="263">
        <v>0.70116165005735698</v>
      </c>
      <c r="Q177" s="39">
        <v>93</v>
      </c>
      <c r="R177" s="263">
        <v>0.70116165005735698</v>
      </c>
      <c r="AA177" s="39">
        <v>92</v>
      </c>
      <c r="AB177" s="35">
        <v>6</v>
      </c>
      <c r="AC177" s="36">
        <v>1</v>
      </c>
      <c r="AD177" s="36">
        <v>37</v>
      </c>
      <c r="AE177" s="36">
        <v>3</v>
      </c>
      <c r="AF177" s="36">
        <v>4</v>
      </c>
      <c r="AG177" s="288">
        <v>4.5563802634982E-12</v>
      </c>
      <c r="AZ177" s="39">
        <v>92</v>
      </c>
      <c r="BA177" s="105">
        <v>11</v>
      </c>
      <c r="BB177" s="100">
        <v>8</v>
      </c>
      <c r="BC177" s="100">
        <v>3</v>
      </c>
      <c r="BD177" s="100">
        <v>7</v>
      </c>
      <c r="BE177" s="100">
        <v>4</v>
      </c>
      <c r="BF177" s="100">
        <v>2</v>
      </c>
      <c r="BG177" s="100">
        <v>13</v>
      </c>
      <c r="BH177" s="341">
        <v>0.73669611407569913</v>
      </c>
      <c r="BI177" s="341">
        <v>5.6668931851976898E-2</v>
      </c>
      <c r="BJ177" s="342">
        <v>0.36834805703785001</v>
      </c>
    </row>
    <row r="178" spans="6:62" s="3" customFormat="1" ht="18" customHeight="1" x14ac:dyDescent="0.2">
      <c r="F178" s="39">
        <v>94</v>
      </c>
      <c r="G178" s="39">
        <v>30</v>
      </c>
      <c r="H178" s="39">
        <v>3</v>
      </c>
      <c r="I178" s="39">
        <v>1</v>
      </c>
      <c r="K178" s="39">
        <v>94</v>
      </c>
      <c r="L178" s="39">
        <v>30</v>
      </c>
      <c r="M178" s="39">
        <v>3</v>
      </c>
      <c r="N178" s="263">
        <v>0.73359669514078096</v>
      </c>
      <c r="Q178" s="39">
        <v>94</v>
      </c>
      <c r="R178" s="263">
        <v>0.73359669514078096</v>
      </c>
      <c r="AA178" s="39">
        <v>93</v>
      </c>
      <c r="AB178" s="35">
        <v>6</v>
      </c>
      <c r="AC178" s="36">
        <v>2</v>
      </c>
      <c r="AD178" s="36">
        <v>37</v>
      </c>
      <c r="AE178" s="36">
        <v>3</v>
      </c>
      <c r="AF178" s="36">
        <v>1</v>
      </c>
      <c r="AG178" s="288">
        <v>1.15544411216623</v>
      </c>
      <c r="AZ178" s="39">
        <v>93</v>
      </c>
      <c r="BA178" s="105">
        <v>11</v>
      </c>
      <c r="BB178" s="100">
        <v>8</v>
      </c>
      <c r="BC178" s="100">
        <v>4</v>
      </c>
      <c r="BD178" s="100">
        <v>7</v>
      </c>
      <c r="BE178" s="100">
        <v>4</v>
      </c>
      <c r="BF178" s="100">
        <v>2</v>
      </c>
      <c r="BG178" s="100">
        <v>13</v>
      </c>
      <c r="BH178" s="341">
        <v>0.70126629353121916</v>
      </c>
      <c r="BI178" s="341">
        <v>5.3943561040863001E-2</v>
      </c>
      <c r="BJ178" s="342">
        <v>0.35063314676561008</v>
      </c>
    </row>
    <row r="179" spans="6:62" s="3" customFormat="1" ht="18" customHeight="1" x14ac:dyDescent="0.2">
      <c r="F179" s="39">
        <v>95</v>
      </c>
      <c r="G179" s="39">
        <v>30</v>
      </c>
      <c r="H179" s="39">
        <v>4</v>
      </c>
      <c r="I179" s="39">
        <v>1</v>
      </c>
      <c r="K179" s="39">
        <v>95</v>
      </c>
      <c r="L179" s="39">
        <v>30</v>
      </c>
      <c r="M179" s="39">
        <v>4</v>
      </c>
      <c r="N179" s="263">
        <v>0.69838973156980211</v>
      </c>
      <c r="Q179" s="39">
        <v>95</v>
      </c>
      <c r="R179" s="263">
        <v>0.69838973156980211</v>
      </c>
      <c r="AA179" s="39">
        <v>94</v>
      </c>
      <c r="AB179" s="35">
        <v>6</v>
      </c>
      <c r="AC179" s="36">
        <v>2</v>
      </c>
      <c r="AD179" s="36">
        <v>37</v>
      </c>
      <c r="AE179" s="36">
        <v>3</v>
      </c>
      <c r="AF179" s="36">
        <v>2</v>
      </c>
      <c r="AG179" s="288">
        <v>0.26786428426466402</v>
      </c>
      <c r="AZ179" s="39">
        <v>94</v>
      </c>
      <c r="BA179" s="105">
        <v>11</v>
      </c>
      <c r="BB179" s="100">
        <v>9</v>
      </c>
      <c r="BC179" s="100">
        <v>3</v>
      </c>
      <c r="BD179" s="100">
        <v>7</v>
      </c>
      <c r="BE179" s="100">
        <v>4</v>
      </c>
      <c r="BF179" s="100">
        <v>2</v>
      </c>
      <c r="BG179" s="100">
        <v>13</v>
      </c>
      <c r="BH179" s="341">
        <v>0.72907176720963707</v>
      </c>
      <c r="BI179" s="341">
        <v>5.6082443631510499E-2</v>
      </c>
      <c r="BJ179" s="342">
        <v>0.36453588360481798</v>
      </c>
    </row>
    <row r="180" spans="6:62" s="3" customFormat="1" ht="18" customHeight="1" x14ac:dyDescent="0.2">
      <c r="F180" s="39">
        <v>96</v>
      </c>
      <c r="G180" s="39">
        <v>31</v>
      </c>
      <c r="H180" s="39">
        <v>3</v>
      </c>
      <c r="I180" s="39">
        <v>1</v>
      </c>
      <c r="K180" s="39">
        <v>96</v>
      </c>
      <c r="L180" s="39">
        <v>31</v>
      </c>
      <c r="M180" s="39">
        <v>3</v>
      </c>
      <c r="N180" s="263">
        <v>0.73440610522350103</v>
      </c>
      <c r="Q180" s="39">
        <v>96</v>
      </c>
      <c r="R180" s="263">
        <v>0.73440610522350103</v>
      </c>
      <c r="AA180" s="39">
        <v>95</v>
      </c>
      <c r="AB180" s="35">
        <v>6</v>
      </c>
      <c r="AC180" s="36">
        <v>2</v>
      </c>
      <c r="AD180" s="36">
        <v>37</v>
      </c>
      <c r="AE180" s="36">
        <v>3</v>
      </c>
      <c r="AF180" s="36">
        <v>3</v>
      </c>
      <c r="AG180" s="288">
        <v>2.2125402056987E-11</v>
      </c>
      <c r="AZ180" s="39">
        <v>95</v>
      </c>
      <c r="BA180" s="105">
        <v>11</v>
      </c>
      <c r="BB180" s="100">
        <v>9</v>
      </c>
      <c r="BC180" s="100">
        <v>4</v>
      </c>
      <c r="BD180" s="100">
        <v>7</v>
      </c>
      <c r="BE180" s="100">
        <v>4</v>
      </c>
      <c r="BF180" s="100">
        <v>2</v>
      </c>
      <c r="BG180" s="100">
        <v>13</v>
      </c>
      <c r="BH180" s="341">
        <v>0.69418967983088498</v>
      </c>
      <c r="BI180" s="341">
        <v>5.3399206140837298E-2</v>
      </c>
      <c r="BJ180" s="342">
        <v>0.34709483991544299</v>
      </c>
    </row>
    <row r="181" spans="6:62" s="3" customFormat="1" ht="18" customHeight="1" x14ac:dyDescent="0.2">
      <c r="F181" s="39">
        <v>97</v>
      </c>
      <c r="G181" s="39">
        <v>31</v>
      </c>
      <c r="H181" s="39">
        <v>4</v>
      </c>
      <c r="I181" s="39">
        <v>1</v>
      </c>
      <c r="K181" s="39">
        <v>97</v>
      </c>
      <c r="L181" s="39">
        <v>31</v>
      </c>
      <c r="M181" s="39">
        <v>4</v>
      </c>
      <c r="N181" s="263">
        <v>0.69914096842863416</v>
      </c>
      <c r="Q181" s="39">
        <v>97</v>
      </c>
      <c r="R181" s="263">
        <v>0.69914096842863416</v>
      </c>
      <c r="AA181" s="39">
        <v>96</v>
      </c>
      <c r="AB181" s="35">
        <v>6</v>
      </c>
      <c r="AC181" s="36">
        <v>2</v>
      </c>
      <c r="AD181" s="36">
        <v>37</v>
      </c>
      <c r="AE181" s="36">
        <v>3</v>
      </c>
      <c r="AF181" s="36">
        <v>4</v>
      </c>
      <c r="AG181" s="288">
        <v>2.0776655081091601E-11</v>
      </c>
      <c r="AZ181" s="39">
        <v>96</v>
      </c>
      <c r="BA181" s="105">
        <v>12</v>
      </c>
      <c r="BB181" s="100">
        <v>4</v>
      </c>
      <c r="BC181" s="100">
        <v>3</v>
      </c>
      <c r="BD181" s="100">
        <v>82</v>
      </c>
      <c r="BE181" s="100">
        <v>4</v>
      </c>
      <c r="BF181" s="100">
        <v>2</v>
      </c>
      <c r="BG181" s="100">
        <v>3</v>
      </c>
      <c r="BH181" s="341">
        <v>0.93493784254936618</v>
      </c>
      <c r="BI181" s="341">
        <v>0.31164594751645508</v>
      </c>
      <c r="BJ181" s="342">
        <v>0.46746892127468298</v>
      </c>
    </row>
    <row r="182" spans="6:62" s="3" customFormat="1" ht="18" customHeight="1" x14ac:dyDescent="0.2">
      <c r="F182" s="39">
        <v>98</v>
      </c>
      <c r="G182" s="39">
        <v>32</v>
      </c>
      <c r="H182" s="39">
        <v>3</v>
      </c>
      <c r="I182" s="39">
        <v>1</v>
      </c>
      <c r="K182" s="39">
        <v>98</v>
      </c>
      <c r="L182" s="39">
        <v>32</v>
      </c>
      <c r="M182" s="39">
        <v>3</v>
      </c>
      <c r="N182" s="263">
        <v>0.73492392189682698</v>
      </c>
      <c r="Q182" s="39">
        <v>98</v>
      </c>
      <c r="R182" s="263">
        <v>0.73492392189682698</v>
      </c>
      <c r="AA182" s="39">
        <v>97</v>
      </c>
      <c r="AB182" s="35">
        <v>6</v>
      </c>
      <c r="AC182" s="36">
        <v>4</v>
      </c>
      <c r="AD182" s="36">
        <v>37</v>
      </c>
      <c r="AE182" s="36">
        <v>3</v>
      </c>
      <c r="AF182" s="36">
        <v>1</v>
      </c>
      <c r="AG182" s="288">
        <v>1.1557667807034799</v>
      </c>
      <c r="AZ182" s="39">
        <v>97</v>
      </c>
      <c r="BA182" s="105">
        <v>12</v>
      </c>
      <c r="BB182" s="100">
        <v>4</v>
      </c>
      <c r="BC182" s="100">
        <v>4</v>
      </c>
      <c r="BD182" s="100">
        <v>82</v>
      </c>
      <c r="BE182" s="100">
        <v>4</v>
      </c>
      <c r="BF182" s="100">
        <v>2</v>
      </c>
      <c r="BG182" s="100">
        <v>3</v>
      </c>
      <c r="BH182" s="341">
        <v>0.88473849466178411</v>
      </c>
      <c r="BI182" s="341">
        <v>0.294912831553928</v>
      </c>
      <c r="BJ182" s="342">
        <v>0.44236924733089211</v>
      </c>
    </row>
    <row r="183" spans="6:62" s="3" customFormat="1" ht="18" customHeight="1" x14ac:dyDescent="0.2">
      <c r="F183" s="39">
        <v>99</v>
      </c>
      <c r="G183" s="39">
        <v>32</v>
      </c>
      <c r="H183" s="39">
        <v>4</v>
      </c>
      <c r="I183" s="39">
        <v>1</v>
      </c>
      <c r="K183" s="39">
        <v>99</v>
      </c>
      <c r="L183" s="39">
        <v>32</v>
      </c>
      <c r="M183" s="39">
        <v>4</v>
      </c>
      <c r="N183" s="263">
        <v>0.69962155953584404</v>
      </c>
      <c r="Q183" s="39">
        <v>99</v>
      </c>
      <c r="R183" s="263">
        <v>0.69962155953584404</v>
      </c>
      <c r="AA183" s="39">
        <v>98</v>
      </c>
      <c r="AB183" s="35">
        <v>6</v>
      </c>
      <c r="AC183" s="36">
        <v>4</v>
      </c>
      <c r="AD183" s="36">
        <v>37</v>
      </c>
      <c r="AE183" s="36">
        <v>3</v>
      </c>
      <c r="AF183" s="36">
        <v>2</v>
      </c>
      <c r="AG183" s="288">
        <v>0.26789024601560107</v>
      </c>
      <c r="AZ183" s="39">
        <v>98</v>
      </c>
      <c r="BA183" s="105">
        <v>13</v>
      </c>
      <c r="BB183" s="100">
        <v>1</v>
      </c>
      <c r="BC183" s="100">
        <v>3</v>
      </c>
      <c r="BD183" s="100">
        <v>7</v>
      </c>
      <c r="BE183" s="100">
        <v>4</v>
      </c>
      <c r="BF183" s="100">
        <v>2</v>
      </c>
      <c r="BG183" s="100">
        <v>13</v>
      </c>
      <c r="BH183" s="341">
        <v>0.73658335852302004</v>
      </c>
      <c r="BI183" s="341">
        <v>5.6660258347924597E-2</v>
      </c>
      <c r="BJ183" s="342">
        <v>0.36829167926151002</v>
      </c>
    </row>
    <row r="184" spans="6:62" s="3" customFormat="1" ht="18" customHeight="1" x14ac:dyDescent="0.2">
      <c r="F184" s="39">
        <v>100</v>
      </c>
      <c r="G184" s="39">
        <v>33</v>
      </c>
      <c r="H184" s="39">
        <v>3</v>
      </c>
      <c r="I184" s="39">
        <v>1</v>
      </c>
      <c r="K184" s="39">
        <v>100</v>
      </c>
      <c r="L184" s="39">
        <v>33</v>
      </c>
      <c r="M184" s="39">
        <v>3</v>
      </c>
      <c r="N184" s="263">
        <v>0.73589202014033306</v>
      </c>
      <c r="Q184" s="39">
        <v>100</v>
      </c>
      <c r="R184" s="263">
        <v>0.73589202014033306</v>
      </c>
      <c r="AA184" s="39">
        <v>99</v>
      </c>
      <c r="AB184" s="35">
        <v>6</v>
      </c>
      <c r="AC184" s="36">
        <v>4</v>
      </c>
      <c r="AD184" s="36">
        <v>37</v>
      </c>
      <c r="AE184" s="36">
        <v>3</v>
      </c>
      <c r="AF184" s="36">
        <v>3</v>
      </c>
      <c r="AG184" s="288">
        <v>1.5458717657490601E-11</v>
      </c>
      <c r="AZ184" s="39">
        <v>99</v>
      </c>
      <c r="BA184" s="105">
        <v>13</v>
      </c>
      <c r="BB184" s="100">
        <v>1</v>
      </c>
      <c r="BC184" s="100">
        <v>4</v>
      </c>
      <c r="BD184" s="100">
        <v>7</v>
      </c>
      <c r="BE184" s="100">
        <v>4</v>
      </c>
      <c r="BF184" s="100">
        <v>2</v>
      </c>
      <c r="BG184" s="100">
        <v>13</v>
      </c>
      <c r="BH184" s="341">
        <v>0.70116165005735698</v>
      </c>
      <c r="BI184" s="341">
        <v>5.3935511542873613E-2</v>
      </c>
      <c r="BJ184" s="342">
        <v>0.35058082502867799</v>
      </c>
    </row>
    <row r="185" spans="6:62" s="3" customFormat="1" ht="18" customHeight="1" x14ac:dyDescent="0.2">
      <c r="F185" s="39">
        <v>101</v>
      </c>
      <c r="G185" s="39">
        <v>33</v>
      </c>
      <c r="H185" s="39">
        <v>4</v>
      </c>
      <c r="I185" s="39">
        <v>1</v>
      </c>
      <c r="K185" s="39">
        <v>101</v>
      </c>
      <c r="L185" s="39">
        <v>33</v>
      </c>
      <c r="M185" s="39">
        <v>4</v>
      </c>
      <c r="N185" s="263">
        <v>0.70052004174469007</v>
      </c>
      <c r="Q185" s="39">
        <v>101</v>
      </c>
      <c r="R185" s="263">
        <v>0.70052004174469007</v>
      </c>
      <c r="AA185" s="39">
        <v>100</v>
      </c>
      <c r="AB185" s="35">
        <v>6</v>
      </c>
      <c r="AC185" s="36">
        <v>4</v>
      </c>
      <c r="AD185" s="36">
        <v>37</v>
      </c>
      <c r="AE185" s="36">
        <v>3</v>
      </c>
      <c r="AF185" s="36">
        <v>4</v>
      </c>
      <c r="AG185" s="288">
        <v>1.32082725780158E-11</v>
      </c>
      <c r="AZ185" s="39">
        <v>100</v>
      </c>
      <c r="BA185" s="105">
        <v>13</v>
      </c>
      <c r="BB185" s="100">
        <v>10</v>
      </c>
      <c r="BC185" s="100">
        <v>3</v>
      </c>
      <c r="BD185" s="100">
        <v>7</v>
      </c>
      <c r="BE185" s="100">
        <v>4</v>
      </c>
      <c r="BF185" s="100">
        <v>2</v>
      </c>
      <c r="BG185" s="100">
        <v>13</v>
      </c>
      <c r="BH185" s="341">
        <v>0.73370916011677412</v>
      </c>
      <c r="BI185" s="341">
        <v>5.6439166162828798E-2</v>
      </c>
      <c r="BJ185" s="342">
        <v>0.366854580058387</v>
      </c>
    </row>
    <row r="186" spans="6:62" s="3" customFormat="1" ht="18" customHeight="1" x14ac:dyDescent="0.2">
      <c r="F186" s="39">
        <v>102</v>
      </c>
      <c r="G186" s="39">
        <v>34</v>
      </c>
      <c r="H186" s="39">
        <v>3</v>
      </c>
      <c r="I186" s="39">
        <v>1</v>
      </c>
      <c r="K186" s="39">
        <v>102</v>
      </c>
      <c r="L186" s="39">
        <v>34</v>
      </c>
      <c r="M186" s="39">
        <v>3</v>
      </c>
      <c r="N186" s="263">
        <v>0.73340764643548695</v>
      </c>
      <c r="Q186" s="39">
        <v>102</v>
      </c>
      <c r="R186" s="263">
        <v>0.73340764643548695</v>
      </c>
      <c r="AA186" s="39">
        <v>101</v>
      </c>
      <c r="AB186" s="35">
        <v>6</v>
      </c>
      <c r="AC186" s="36">
        <v>6</v>
      </c>
      <c r="AD186" s="36">
        <v>37</v>
      </c>
      <c r="AE186" s="36">
        <v>3</v>
      </c>
      <c r="AF186" s="36">
        <v>1</v>
      </c>
      <c r="AG186" s="288">
        <v>1.1553976955596601</v>
      </c>
      <c r="AZ186" s="39">
        <v>101</v>
      </c>
      <c r="BA186" s="105">
        <v>13</v>
      </c>
      <c r="BB186" s="100">
        <v>10</v>
      </c>
      <c r="BC186" s="100">
        <v>4</v>
      </c>
      <c r="BD186" s="100">
        <v>7</v>
      </c>
      <c r="BE186" s="100">
        <v>4</v>
      </c>
      <c r="BF186" s="100">
        <v>2</v>
      </c>
      <c r="BG186" s="100">
        <v>13</v>
      </c>
      <c r="BH186" s="341">
        <v>0.69849411464925204</v>
      </c>
      <c r="BI186" s="341">
        <v>5.3730316511480913E-2</v>
      </c>
      <c r="BJ186" s="342">
        <v>0.34924705732462602</v>
      </c>
    </row>
    <row r="187" spans="6:62" s="3" customFormat="1" ht="18" customHeight="1" x14ac:dyDescent="0.2">
      <c r="F187" s="39">
        <v>103</v>
      </c>
      <c r="G187" s="39">
        <v>34</v>
      </c>
      <c r="H187" s="39">
        <v>4</v>
      </c>
      <c r="I187" s="39">
        <v>1</v>
      </c>
      <c r="K187" s="39">
        <v>103</v>
      </c>
      <c r="L187" s="39">
        <v>34</v>
      </c>
      <c r="M187" s="39">
        <v>4</v>
      </c>
      <c r="N187" s="263">
        <v>0.69821426740710313</v>
      </c>
      <c r="Q187" s="39">
        <v>103</v>
      </c>
      <c r="R187" s="263">
        <v>0.69821426740710313</v>
      </c>
      <c r="AA187" s="39">
        <v>102</v>
      </c>
      <c r="AB187" s="35">
        <v>6</v>
      </c>
      <c r="AC187" s="36">
        <v>6</v>
      </c>
      <c r="AD187" s="36">
        <v>37</v>
      </c>
      <c r="AE187" s="36">
        <v>3</v>
      </c>
      <c r="AF187" s="36">
        <v>2</v>
      </c>
      <c r="AG187" s="288">
        <v>0.26786058692055098</v>
      </c>
      <c r="AZ187" s="39">
        <v>102</v>
      </c>
      <c r="BA187" s="105">
        <v>13</v>
      </c>
      <c r="BB187" s="100">
        <v>2</v>
      </c>
      <c r="BC187" s="100">
        <v>3</v>
      </c>
      <c r="BD187" s="100">
        <v>7</v>
      </c>
      <c r="BE187" s="100">
        <v>4</v>
      </c>
      <c r="BF187" s="100">
        <v>2</v>
      </c>
      <c r="BG187" s="100">
        <v>13</v>
      </c>
      <c r="BH187" s="341">
        <v>0.73359669514078096</v>
      </c>
      <c r="BI187" s="341">
        <v>5.6430515010829303E-2</v>
      </c>
      <c r="BJ187" s="342">
        <v>0.36679834757038998</v>
      </c>
    </row>
    <row r="188" spans="6:62" s="3" customFormat="1" ht="18" customHeight="1" x14ac:dyDescent="0.2">
      <c r="F188" s="39">
        <v>104</v>
      </c>
      <c r="G188" s="39">
        <v>35</v>
      </c>
      <c r="H188" s="39">
        <v>3</v>
      </c>
      <c r="I188" s="39">
        <v>1</v>
      </c>
      <c r="K188" s="39">
        <v>104</v>
      </c>
      <c r="L188" s="39">
        <v>35</v>
      </c>
      <c r="M188" s="39">
        <v>3</v>
      </c>
      <c r="N188" s="263">
        <v>0.7360402314212231</v>
      </c>
      <c r="Q188" s="39">
        <v>104</v>
      </c>
      <c r="R188" s="263">
        <v>0.7360402314212231</v>
      </c>
      <c r="AA188" s="39">
        <v>103</v>
      </c>
      <c r="AB188" s="35">
        <v>6</v>
      </c>
      <c r="AC188" s="36">
        <v>6</v>
      </c>
      <c r="AD188" s="36">
        <v>37</v>
      </c>
      <c r="AE188" s="36">
        <v>3</v>
      </c>
      <c r="AF188" s="36">
        <v>3</v>
      </c>
      <c r="AG188" s="288">
        <v>2.2461341496236501E-11</v>
      </c>
      <c r="AZ188" s="39">
        <v>103</v>
      </c>
      <c r="BA188" s="105">
        <v>13</v>
      </c>
      <c r="BB188" s="100">
        <v>2</v>
      </c>
      <c r="BC188" s="100">
        <v>4</v>
      </c>
      <c r="BD188" s="100">
        <v>7</v>
      </c>
      <c r="BE188" s="100">
        <v>4</v>
      </c>
      <c r="BF188" s="100">
        <v>2</v>
      </c>
      <c r="BG188" s="100">
        <v>13</v>
      </c>
      <c r="BH188" s="341">
        <v>0.69838973156980211</v>
      </c>
      <c r="BI188" s="341">
        <v>5.3722287043830898E-2</v>
      </c>
      <c r="BJ188" s="342">
        <v>0.34919486578490111</v>
      </c>
    </row>
    <row r="189" spans="6:62" s="3" customFormat="1" ht="18" customHeight="1" x14ac:dyDescent="0.2">
      <c r="F189" s="39">
        <v>105</v>
      </c>
      <c r="G189" s="39">
        <v>35</v>
      </c>
      <c r="H189" s="39">
        <v>4</v>
      </c>
      <c r="I189" s="39">
        <v>1</v>
      </c>
      <c r="K189" s="39">
        <v>105</v>
      </c>
      <c r="L189" s="39">
        <v>35</v>
      </c>
      <c r="M189" s="39">
        <v>4</v>
      </c>
      <c r="N189" s="263">
        <v>0.70065759283893603</v>
      </c>
      <c r="Q189" s="39">
        <v>105</v>
      </c>
      <c r="R189" s="263">
        <v>0.70065759283893603</v>
      </c>
      <c r="AA189" s="39">
        <v>104</v>
      </c>
      <c r="AB189" s="35">
        <v>6</v>
      </c>
      <c r="AC189" s="36">
        <v>6</v>
      </c>
      <c r="AD189" s="36">
        <v>37</v>
      </c>
      <c r="AE189" s="36">
        <v>3</v>
      </c>
      <c r="AF189" s="36">
        <v>4</v>
      </c>
      <c r="AG189" s="288">
        <v>2.1461235099005501E-11</v>
      </c>
      <c r="AZ189" s="39">
        <v>104</v>
      </c>
      <c r="BA189" s="105">
        <v>13</v>
      </c>
      <c r="BB189" s="100">
        <v>3</v>
      </c>
      <c r="BC189" s="100">
        <v>3</v>
      </c>
      <c r="BD189" s="100">
        <v>7</v>
      </c>
      <c r="BE189" s="100">
        <v>4</v>
      </c>
      <c r="BF189" s="100">
        <v>2</v>
      </c>
      <c r="BG189" s="100">
        <v>13</v>
      </c>
      <c r="BH189" s="341">
        <v>0.73440610522350103</v>
      </c>
      <c r="BI189" s="341">
        <v>5.6492777324884703E-2</v>
      </c>
      <c r="BJ189" s="342">
        <v>0.36720305261175001</v>
      </c>
    </row>
    <row r="190" spans="6:62" s="3" customFormat="1" ht="18" customHeight="1" x14ac:dyDescent="0.2">
      <c r="F190" s="39">
        <v>106</v>
      </c>
      <c r="G190" s="39">
        <v>36</v>
      </c>
      <c r="H190" s="39">
        <v>3</v>
      </c>
      <c r="I190" s="39">
        <v>1</v>
      </c>
      <c r="K190" s="39">
        <v>106</v>
      </c>
      <c r="L190" s="39">
        <v>36</v>
      </c>
      <c r="M190" s="39">
        <v>3</v>
      </c>
      <c r="N190" s="263">
        <v>0.73669611407569913</v>
      </c>
      <c r="Q190" s="39">
        <v>106</v>
      </c>
      <c r="R190" s="263">
        <v>0.73669611407569913</v>
      </c>
      <c r="AA190" s="39">
        <v>105</v>
      </c>
      <c r="AB190" s="35">
        <v>6</v>
      </c>
      <c r="AC190" s="36">
        <v>7</v>
      </c>
      <c r="AD190" s="36">
        <v>37</v>
      </c>
      <c r="AE190" s="36">
        <v>3</v>
      </c>
      <c r="AF190" s="36">
        <v>1</v>
      </c>
      <c r="AG190" s="288">
        <v>1.15603861153507</v>
      </c>
      <c r="AZ190" s="39">
        <v>105</v>
      </c>
      <c r="BA190" s="105">
        <v>13</v>
      </c>
      <c r="BB190" s="100">
        <v>3</v>
      </c>
      <c r="BC190" s="100">
        <v>4</v>
      </c>
      <c r="BD190" s="100">
        <v>7</v>
      </c>
      <c r="BE190" s="100">
        <v>4</v>
      </c>
      <c r="BF190" s="100">
        <v>2</v>
      </c>
      <c r="BG190" s="100">
        <v>13</v>
      </c>
      <c r="BH190" s="341">
        <v>0.69914096842863416</v>
      </c>
      <c r="BI190" s="341">
        <v>5.3780074494510298E-2</v>
      </c>
      <c r="BJ190" s="342">
        <v>0.34957048421431708</v>
      </c>
    </row>
    <row r="191" spans="6:62" s="3" customFormat="1" ht="18" customHeight="1" x14ac:dyDescent="0.2">
      <c r="F191" s="39">
        <v>107</v>
      </c>
      <c r="G191" s="39">
        <v>36</v>
      </c>
      <c r="H191" s="39">
        <v>4</v>
      </c>
      <c r="I191" s="39">
        <v>1</v>
      </c>
      <c r="K191" s="39">
        <v>107</v>
      </c>
      <c r="L191" s="39">
        <v>36</v>
      </c>
      <c r="M191" s="39">
        <v>4</v>
      </c>
      <c r="N191" s="263">
        <v>0.70126629353121916</v>
      </c>
      <c r="Q191" s="39">
        <v>107</v>
      </c>
      <c r="R191" s="263">
        <v>0.70126629353121916</v>
      </c>
      <c r="AA191" s="39">
        <v>106</v>
      </c>
      <c r="AB191" s="35">
        <v>6</v>
      </c>
      <c r="AC191" s="36">
        <v>7</v>
      </c>
      <c r="AD191" s="36">
        <v>37</v>
      </c>
      <c r="AE191" s="36">
        <v>3</v>
      </c>
      <c r="AF191" s="36">
        <v>2</v>
      </c>
      <c r="AG191" s="288">
        <v>0.26791208259459098</v>
      </c>
      <c r="AZ191" s="39">
        <v>106</v>
      </c>
      <c r="BA191" s="105">
        <v>13</v>
      </c>
      <c r="BB191" s="100">
        <v>4</v>
      </c>
      <c r="BC191" s="100">
        <v>3</v>
      </c>
      <c r="BD191" s="100">
        <v>7</v>
      </c>
      <c r="BE191" s="100">
        <v>4</v>
      </c>
      <c r="BF191" s="100">
        <v>2</v>
      </c>
      <c r="BG191" s="100">
        <v>13</v>
      </c>
      <c r="BH191" s="341">
        <v>0.73492392189682698</v>
      </c>
      <c r="BI191" s="341">
        <v>5.6532609376678998E-2</v>
      </c>
      <c r="BJ191" s="342">
        <v>0.36746196094841299</v>
      </c>
    </row>
    <row r="192" spans="6:62" s="3" customFormat="1" ht="18" customHeight="1" x14ac:dyDescent="0.2">
      <c r="F192" s="39">
        <v>108</v>
      </c>
      <c r="G192" s="39">
        <v>37</v>
      </c>
      <c r="H192" s="39">
        <v>3</v>
      </c>
      <c r="I192" s="39">
        <v>1</v>
      </c>
      <c r="K192" s="39">
        <v>108</v>
      </c>
      <c r="L192" s="39">
        <v>37</v>
      </c>
      <c r="M192" s="39">
        <v>3</v>
      </c>
      <c r="N192" s="263">
        <v>0.72907176720963707</v>
      </c>
      <c r="Q192" s="39">
        <v>108</v>
      </c>
      <c r="R192" s="263">
        <v>0.72907176720963707</v>
      </c>
      <c r="AA192" s="39">
        <v>107</v>
      </c>
      <c r="AB192" s="35">
        <v>6</v>
      </c>
      <c r="AC192" s="36">
        <v>7</v>
      </c>
      <c r="AD192" s="36">
        <v>37</v>
      </c>
      <c r="AE192" s="36">
        <v>3</v>
      </c>
      <c r="AF192" s="36">
        <v>3</v>
      </c>
      <c r="AG192" s="288">
        <v>9.9916267899971194E-12</v>
      </c>
      <c r="AZ192" s="39">
        <v>107</v>
      </c>
      <c r="BA192" s="105">
        <v>13</v>
      </c>
      <c r="BB192" s="100">
        <v>4</v>
      </c>
      <c r="BC192" s="100">
        <v>4</v>
      </c>
      <c r="BD192" s="100">
        <v>7</v>
      </c>
      <c r="BE192" s="100">
        <v>4</v>
      </c>
      <c r="BF192" s="100">
        <v>2</v>
      </c>
      <c r="BG192" s="100">
        <v>13</v>
      </c>
      <c r="BH192" s="341">
        <v>0.69962155953584404</v>
      </c>
      <c r="BI192" s="341">
        <v>5.3817043041218697E-2</v>
      </c>
      <c r="BJ192" s="342">
        <v>0.34981077976792202</v>
      </c>
    </row>
    <row r="193" spans="6:62" s="3" customFormat="1" ht="18" customHeight="1" x14ac:dyDescent="0.2">
      <c r="F193" s="39">
        <v>109</v>
      </c>
      <c r="G193" s="39">
        <v>37</v>
      </c>
      <c r="H193" s="39">
        <v>4</v>
      </c>
      <c r="I193" s="39">
        <v>1</v>
      </c>
      <c r="K193" s="39">
        <v>109</v>
      </c>
      <c r="L193" s="39">
        <v>37</v>
      </c>
      <c r="M193" s="39">
        <v>4</v>
      </c>
      <c r="N193" s="263">
        <v>0.69418967983088498</v>
      </c>
      <c r="Q193" s="39">
        <v>109</v>
      </c>
      <c r="R193" s="263">
        <v>0.69418967983088498</v>
      </c>
      <c r="AA193" s="39">
        <v>108</v>
      </c>
      <c r="AB193" s="35">
        <v>6</v>
      </c>
      <c r="AC193" s="36">
        <v>7</v>
      </c>
      <c r="AD193" s="36">
        <v>37</v>
      </c>
      <c r="AE193" s="36">
        <v>3</v>
      </c>
      <c r="AF193" s="36">
        <v>4</v>
      </c>
      <c r="AG193" s="288">
        <v>6.7248703331193698E-12</v>
      </c>
      <c r="AZ193" s="39">
        <v>108</v>
      </c>
      <c r="BA193" s="105">
        <v>13</v>
      </c>
      <c r="BB193" s="100">
        <v>5</v>
      </c>
      <c r="BC193" s="100">
        <v>3</v>
      </c>
      <c r="BD193" s="100">
        <v>7</v>
      </c>
      <c r="BE193" s="100">
        <v>4</v>
      </c>
      <c r="BF193" s="100">
        <v>2</v>
      </c>
      <c r="BG193" s="100">
        <v>13</v>
      </c>
      <c r="BH193" s="341">
        <v>0.73589202014033306</v>
      </c>
      <c r="BI193" s="341">
        <v>5.6607078472333303E-2</v>
      </c>
      <c r="BJ193" s="342">
        <v>0.36794601007016697</v>
      </c>
    </row>
    <row r="194" spans="6:62" s="3" customFormat="1" ht="18" customHeight="1" x14ac:dyDescent="0.2">
      <c r="F194" s="39">
        <v>110</v>
      </c>
      <c r="G194" s="39">
        <v>38</v>
      </c>
      <c r="H194" s="39">
        <v>3</v>
      </c>
      <c r="I194" s="39">
        <v>1</v>
      </c>
      <c r="K194" s="39">
        <v>110</v>
      </c>
      <c r="L194" s="39">
        <v>38</v>
      </c>
      <c r="M194" s="39">
        <v>3</v>
      </c>
      <c r="N194" s="263">
        <v>0.73370916011677412</v>
      </c>
      <c r="Q194" s="39">
        <v>110</v>
      </c>
      <c r="R194" s="263">
        <v>0.73370916011677412</v>
      </c>
      <c r="AA194" s="39">
        <v>109</v>
      </c>
      <c r="AB194" s="35">
        <v>6</v>
      </c>
      <c r="AC194" s="36">
        <v>9</v>
      </c>
      <c r="AD194" s="36">
        <v>37</v>
      </c>
      <c r="AE194" s="36">
        <v>3</v>
      </c>
      <c r="AF194" s="36">
        <v>1</v>
      </c>
      <c r="AG194" s="288">
        <v>1.1543403098235401</v>
      </c>
      <c r="AZ194" s="39">
        <v>109</v>
      </c>
      <c r="BA194" s="105">
        <v>13</v>
      </c>
      <c r="BB194" s="100">
        <v>5</v>
      </c>
      <c r="BC194" s="100">
        <v>4</v>
      </c>
      <c r="BD194" s="100">
        <v>7</v>
      </c>
      <c r="BE194" s="100">
        <v>4</v>
      </c>
      <c r="BF194" s="100">
        <v>2</v>
      </c>
      <c r="BG194" s="100">
        <v>13</v>
      </c>
      <c r="BH194" s="341">
        <v>0.70052004174469007</v>
      </c>
      <c r="BI194" s="341">
        <v>5.3886157057283807E-2</v>
      </c>
      <c r="BJ194" s="342">
        <v>0.35026002087234498</v>
      </c>
    </row>
    <row r="195" spans="6:62" s="3" customFormat="1" ht="18" customHeight="1" x14ac:dyDescent="0.2">
      <c r="F195" s="39">
        <v>111</v>
      </c>
      <c r="G195" s="39">
        <v>38</v>
      </c>
      <c r="H195" s="39">
        <v>4</v>
      </c>
      <c r="I195" s="39">
        <v>1</v>
      </c>
      <c r="K195" s="39">
        <v>111</v>
      </c>
      <c r="L195" s="39">
        <v>38</v>
      </c>
      <c r="M195" s="39">
        <v>4</v>
      </c>
      <c r="N195" s="263">
        <v>0.69849411464925204</v>
      </c>
      <c r="Q195" s="39">
        <v>111</v>
      </c>
      <c r="R195" s="263">
        <v>0.69849411464925204</v>
      </c>
      <c r="AA195" s="39">
        <v>110</v>
      </c>
      <c r="AB195" s="35">
        <v>6</v>
      </c>
      <c r="AC195" s="36">
        <v>9</v>
      </c>
      <c r="AD195" s="36">
        <v>37</v>
      </c>
      <c r="AE195" s="36">
        <v>3</v>
      </c>
      <c r="AF195" s="36">
        <v>2</v>
      </c>
      <c r="AG195" s="288">
        <v>0.267775695335289</v>
      </c>
      <c r="AZ195" s="39">
        <v>110</v>
      </c>
      <c r="BA195" s="105">
        <v>13</v>
      </c>
      <c r="BB195" s="100">
        <v>6</v>
      </c>
      <c r="BC195" s="100">
        <v>3</v>
      </c>
      <c r="BD195" s="100">
        <v>7</v>
      </c>
      <c r="BE195" s="100">
        <v>4</v>
      </c>
      <c r="BF195" s="100">
        <v>2</v>
      </c>
      <c r="BG195" s="100">
        <v>13</v>
      </c>
      <c r="BH195" s="341">
        <v>0.73340764643548695</v>
      </c>
      <c r="BI195" s="341">
        <v>5.6415972802729697E-2</v>
      </c>
      <c r="BJ195" s="342">
        <v>0.36670382321774297</v>
      </c>
    </row>
    <row r="196" spans="6:62" s="3" customFormat="1" ht="18" customHeight="1" x14ac:dyDescent="0.2">
      <c r="F196" s="39">
        <v>112</v>
      </c>
      <c r="G196" s="39">
        <v>39</v>
      </c>
      <c r="H196" s="39">
        <v>3</v>
      </c>
      <c r="I196" s="39">
        <v>1</v>
      </c>
      <c r="K196" s="39">
        <v>112</v>
      </c>
      <c r="L196" s="39">
        <v>39</v>
      </c>
      <c r="M196" s="39">
        <v>3</v>
      </c>
      <c r="N196" s="263">
        <v>0.10134435252495499</v>
      </c>
      <c r="Q196" s="39">
        <v>112</v>
      </c>
      <c r="R196" s="263">
        <v>0.10134435252495499</v>
      </c>
      <c r="AA196" s="39">
        <v>111</v>
      </c>
      <c r="AB196" s="35">
        <v>6</v>
      </c>
      <c r="AC196" s="36">
        <v>9</v>
      </c>
      <c r="AD196" s="36">
        <v>37</v>
      </c>
      <c r="AE196" s="36">
        <v>3</v>
      </c>
      <c r="AF196" s="36">
        <v>3</v>
      </c>
      <c r="AG196" s="288">
        <v>5.3105914221952797E-12</v>
      </c>
      <c r="AZ196" s="39">
        <v>111</v>
      </c>
      <c r="BA196" s="105">
        <v>13</v>
      </c>
      <c r="BB196" s="100">
        <v>6</v>
      </c>
      <c r="BC196" s="100">
        <v>4</v>
      </c>
      <c r="BD196" s="100">
        <v>7</v>
      </c>
      <c r="BE196" s="100">
        <v>4</v>
      </c>
      <c r="BF196" s="100">
        <v>2</v>
      </c>
      <c r="BG196" s="100">
        <v>13</v>
      </c>
      <c r="BH196" s="341">
        <v>0.69821426740710313</v>
      </c>
      <c r="BI196" s="341">
        <v>5.3708789800546407E-2</v>
      </c>
      <c r="BJ196" s="342">
        <v>0.34910713370355201</v>
      </c>
    </row>
    <row r="197" spans="6:62" s="3" customFormat="1" ht="18" customHeight="1" x14ac:dyDescent="0.2">
      <c r="F197" s="39">
        <v>113</v>
      </c>
      <c r="G197" s="39">
        <v>39</v>
      </c>
      <c r="H197" s="39">
        <v>4</v>
      </c>
      <c r="I197" s="39">
        <v>1</v>
      </c>
      <c r="K197" s="39">
        <v>113</v>
      </c>
      <c r="L197" s="39">
        <v>39</v>
      </c>
      <c r="M197" s="39">
        <v>4</v>
      </c>
      <c r="N197" s="263">
        <v>0.10119688790586499</v>
      </c>
      <c r="Q197" s="39">
        <v>113</v>
      </c>
      <c r="R197" s="263">
        <v>0.10119688790586499</v>
      </c>
      <c r="AA197" s="39">
        <v>112</v>
      </c>
      <c r="AB197" s="35">
        <v>6</v>
      </c>
      <c r="AC197" s="36">
        <v>9</v>
      </c>
      <c r="AD197" s="36">
        <v>37</v>
      </c>
      <c r="AE197" s="36">
        <v>3</v>
      </c>
      <c r="AF197" s="36">
        <v>4</v>
      </c>
      <c r="AG197" s="288">
        <v>9.1368050559770077E-12</v>
      </c>
      <c r="AZ197" s="39">
        <v>112</v>
      </c>
      <c r="BA197" s="105">
        <v>13</v>
      </c>
      <c r="BB197" s="100">
        <v>7</v>
      </c>
      <c r="BC197" s="100">
        <v>3</v>
      </c>
      <c r="BD197" s="100">
        <v>7</v>
      </c>
      <c r="BE197" s="100">
        <v>4</v>
      </c>
      <c r="BF197" s="100">
        <v>2</v>
      </c>
      <c r="BG197" s="100">
        <v>13</v>
      </c>
      <c r="BH197" s="341">
        <v>0.7360402314212231</v>
      </c>
      <c r="BI197" s="341">
        <v>5.6618479340094098E-2</v>
      </c>
      <c r="BJ197" s="342">
        <v>0.36802011571061211</v>
      </c>
    </row>
    <row r="198" spans="6:62" s="3" customFormat="1" ht="18" customHeight="1" x14ac:dyDescent="0.2">
      <c r="F198" s="39">
        <v>114</v>
      </c>
      <c r="G198" s="39">
        <v>40</v>
      </c>
      <c r="H198" s="39">
        <v>3</v>
      </c>
      <c r="I198" s="39">
        <v>1</v>
      </c>
      <c r="K198" s="39">
        <v>114</v>
      </c>
      <c r="L198" s="39">
        <v>40</v>
      </c>
      <c r="M198" s="39">
        <v>3</v>
      </c>
      <c r="N198" s="263">
        <v>0.101121408916805</v>
      </c>
      <c r="Q198" s="39">
        <v>114</v>
      </c>
      <c r="R198" s="263">
        <v>0.101121408916805</v>
      </c>
      <c r="AA198" s="39">
        <v>113</v>
      </c>
      <c r="AB198" s="35">
        <v>7</v>
      </c>
      <c r="AC198" s="36">
        <v>1</v>
      </c>
      <c r="AD198" s="36">
        <v>4</v>
      </c>
      <c r="AE198" s="36">
        <v>13</v>
      </c>
      <c r="AF198" s="36">
        <v>1</v>
      </c>
      <c r="AG198" s="288">
        <v>0</v>
      </c>
      <c r="AZ198" s="39">
        <v>113</v>
      </c>
      <c r="BA198" s="105">
        <v>13</v>
      </c>
      <c r="BB198" s="100">
        <v>7</v>
      </c>
      <c r="BC198" s="100">
        <v>4</v>
      </c>
      <c r="BD198" s="100">
        <v>7</v>
      </c>
      <c r="BE198" s="100">
        <v>4</v>
      </c>
      <c r="BF198" s="100">
        <v>2</v>
      </c>
      <c r="BG198" s="100">
        <v>13</v>
      </c>
      <c r="BH198" s="341">
        <v>0.70065759283893603</v>
      </c>
      <c r="BI198" s="341">
        <v>5.3896737910687408E-2</v>
      </c>
      <c r="BJ198" s="342">
        <v>0.35032879641946801</v>
      </c>
    </row>
    <row r="199" spans="6:62" s="3" customFormat="1" ht="18" customHeight="1" x14ac:dyDescent="0.2">
      <c r="F199" s="39">
        <v>115</v>
      </c>
      <c r="G199" s="39">
        <v>40</v>
      </c>
      <c r="H199" s="39">
        <v>4</v>
      </c>
      <c r="I199" s="39">
        <v>1</v>
      </c>
      <c r="K199" s="39">
        <v>115</v>
      </c>
      <c r="L199" s="39">
        <v>40</v>
      </c>
      <c r="M199" s="39">
        <v>4</v>
      </c>
      <c r="N199" s="263">
        <v>0.100976864887819</v>
      </c>
      <c r="Q199" s="39">
        <v>115</v>
      </c>
      <c r="R199" s="263">
        <v>0.100976864887819</v>
      </c>
      <c r="AA199" s="39">
        <v>114</v>
      </c>
      <c r="AB199" s="35">
        <v>7</v>
      </c>
      <c r="AC199" s="36">
        <v>1</v>
      </c>
      <c r="AD199" s="36">
        <v>4</v>
      </c>
      <c r="AE199" s="36">
        <v>13</v>
      </c>
      <c r="AF199" s="36">
        <v>2</v>
      </c>
      <c r="AG199" s="288">
        <v>0</v>
      </c>
      <c r="AZ199" s="39">
        <v>114</v>
      </c>
      <c r="BA199" s="105">
        <v>13</v>
      </c>
      <c r="BB199" s="100">
        <v>8</v>
      </c>
      <c r="BC199" s="100">
        <v>3</v>
      </c>
      <c r="BD199" s="100">
        <v>7</v>
      </c>
      <c r="BE199" s="100">
        <v>4</v>
      </c>
      <c r="BF199" s="100">
        <v>2</v>
      </c>
      <c r="BG199" s="100">
        <v>13</v>
      </c>
      <c r="BH199" s="341">
        <v>0.73669611407569913</v>
      </c>
      <c r="BI199" s="341">
        <v>5.6668931851976898E-2</v>
      </c>
      <c r="BJ199" s="342">
        <v>0.36834805703785001</v>
      </c>
    </row>
    <row r="200" spans="6:62" s="3" customFormat="1" ht="18" customHeight="1" x14ac:dyDescent="0.2">
      <c r="F200" s="39">
        <v>116</v>
      </c>
      <c r="G200" s="39">
        <v>41</v>
      </c>
      <c r="H200" s="39">
        <v>3</v>
      </c>
      <c r="I200" s="39">
        <v>1</v>
      </c>
      <c r="K200" s="39">
        <v>116</v>
      </c>
      <c r="L200" s="39">
        <v>41</v>
      </c>
      <c r="M200" s="39">
        <v>3</v>
      </c>
      <c r="N200" s="263">
        <v>0.101220481091555</v>
      </c>
      <c r="Q200" s="39">
        <v>116</v>
      </c>
      <c r="R200" s="263">
        <v>0.101220481091555</v>
      </c>
      <c r="AA200" s="39">
        <v>115</v>
      </c>
      <c r="AB200" s="35">
        <v>7</v>
      </c>
      <c r="AC200" s="36">
        <v>1</v>
      </c>
      <c r="AD200" s="36">
        <v>4</v>
      </c>
      <c r="AE200" s="36">
        <v>13</v>
      </c>
      <c r="AF200" s="36">
        <v>3</v>
      </c>
      <c r="AG200" s="288">
        <v>0.73658335852302004</v>
      </c>
      <c r="AZ200" s="39">
        <v>115</v>
      </c>
      <c r="BA200" s="105">
        <v>13</v>
      </c>
      <c r="BB200" s="100">
        <v>8</v>
      </c>
      <c r="BC200" s="100">
        <v>4</v>
      </c>
      <c r="BD200" s="100">
        <v>7</v>
      </c>
      <c r="BE200" s="100">
        <v>4</v>
      </c>
      <c r="BF200" s="100">
        <v>2</v>
      </c>
      <c r="BG200" s="100">
        <v>13</v>
      </c>
      <c r="BH200" s="341">
        <v>0.70126629353121916</v>
      </c>
      <c r="BI200" s="341">
        <v>5.3943561040863001E-2</v>
      </c>
      <c r="BJ200" s="342">
        <v>0.35063314676561008</v>
      </c>
    </row>
    <row r="201" spans="6:62" s="3" customFormat="1" ht="18" customHeight="1" x14ac:dyDescent="0.2">
      <c r="F201" s="39">
        <v>117</v>
      </c>
      <c r="G201" s="39">
        <v>41</v>
      </c>
      <c r="H201" s="39">
        <v>4</v>
      </c>
      <c r="I201" s="39">
        <v>1</v>
      </c>
      <c r="K201" s="39">
        <v>117</v>
      </c>
      <c r="L201" s="39">
        <v>41</v>
      </c>
      <c r="M201" s="39">
        <v>4</v>
      </c>
      <c r="N201" s="263">
        <v>0.101074641970145</v>
      </c>
      <c r="Q201" s="39">
        <v>117</v>
      </c>
      <c r="R201" s="263">
        <v>0.101074641970145</v>
      </c>
      <c r="AA201" s="39">
        <v>116</v>
      </c>
      <c r="AB201" s="35">
        <v>7</v>
      </c>
      <c r="AC201" s="36">
        <v>1</v>
      </c>
      <c r="AD201" s="36">
        <v>4</v>
      </c>
      <c r="AE201" s="36">
        <v>13</v>
      </c>
      <c r="AF201" s="36">
        <v>4</v>
      </c>
      <c r="AG201" s="288">
        <v>0.70116165005735698</v>
      </c>
      <c r="AZ201" s="39">
        <v>116</v>
      </c>
      <c r="BA201" s="105">
        <v>13</v>
      </c>
      <c r="BB201" s="100">
        <v>9</v>
      </c>
      <c r="BC201" s="100">
        <v>3</v>
      </c>
      <c r="BD201" s="100">
        <v>7</v>
      </c>
      <c r="BE201" s="100">
        <v>4</v>
      </c>
      <c r="BF201" s="100">
        <v>2</v>
      </c>
      <c r="BG201" s="100">
        <v>13</v>
      </c>
      <c r="BH201" s="341">
        <v>0.72907176720963707</v>
      </c>
      <c r="BI201" s="341">
        <v>5.6082443631510499E-2</v>
      </c>
      <c r="BJ201" s="342">
        <v>0.36453588360481798</v>
      </c>
    </row>
    <row r="202" spans="6:62" s="3" customFormat="1" ht="18" customHeight="1" x14ac:dyDescent="0.2">
      <c r="F202" s="39">
        <v>118</v>
      </c>
      <c r="G202" s="39">
        <v>42</v>
      </c>
      <c r="H202" s="39">
        <v>3</v>
      </c>
      <c r="I202" s="39">
        <v>1</v>
      </c>
      <c r="K202" s="39">
        <v>118</v>
      </c>
      <c r="L202" s="39">
        <v>42</v>
      </c>
      <c r="M202" s="39">
        <v>3</v>
      </c>
      <c r="N202" s="263">
        <v>0.101303810126881</v>
      </c>
      <c r="Q202" s="39">
        <v>118</v>
      </c>
      <c r="R202" s="263">
        <v>0.101303810126881</v>
      </c>
      <c r="AA202" s="39">
        <v>117</v>
      </c>
      <c r="AB202" s="35">
        <v>7</v>
      </c>
      <c r="AC202" s="36">
        <v>2</v>
      </c>
      <c r="AD202" s="36">
        <v>4</v>
      </c>
      <c r="AE202" s="36">
        <v>13</v>
      </c>
      <c r="AF202" s="36">
        <v>1</v>
      </c>
      <c r="AG202" s="288">
        <v>0</v>
      </c>
      <c r="AZ202" s="39">
        <v>117</v>
      </c>
      <c r="BA202" s="105">
        <v>13</v>
      </c>
      <c r="BB202" s="100">
        <v>9</v>
      </c>
      <c r="BC202" s="100">
        <v>4</v>
      </c>
      <c r="BD202" s="100">
        <v>7</v>
      </c>
      <c r="BE202" s="100">
        <v>4</v>
      </c>
      <c r="BF202" s="100">
        <v>2</v>
      </c>
      <c r="BG202" s="100">
        <v>13</v>
      </c>
      <c r="BH202" s="341">
        <v>0.69418967983088498</v>
      </c>
      <c r="BI202" s="341">
        <v>5.3399206140837298E-2</v>
      </c>
      <c r="BJ202" s="342">
        <v>0.34709483991544299</v>
      </c>
    </row>
    <row r="203" spans="6:62" s="3" customFormat="1" ht="18" customHeight="1" x14ac:dyDescent="0.2">
      <c r="F203" s="39">
        <v>119</v>
      </c>
      <c r="G203" s="39">
        <v>42</v>
      </c>
      <c r="H203" s="39">
        <v>4</v>
      </c>
      <c r="I203" s="39">
        <v>1</v>
      </c>
      <c r="K203" s="39">
        <v>119</v>
      </c>
      <c r="L203" s="39">
        <v>42</v>
      </c>
      <c r="M203" s="39">
        <v>4</v>
      </c>
      <c r="N203" s="263">
        <v>0.10115687828879801</v>
      </c>
      <c r="Q203" s="39">
        <v>119</v>
      </c>
      <c r="R203" s="263">
        <v>0.10115687828879801</v>
      </c>
      <c r="AA203" s="39">
        <v>118</v>
      </c>
      <c r="AB203" s="35">
        <v>7</v>
      </c>
      <c r="AC203" s="36">
        <v>2</v>
      </c>
      <c r="AD203" s="36">
        <v>4</v>
      </c>
      <c r="AE203" s="36">
        <v>13</v>
      </c>
      <c r="AF203" s="36">
        <v>2</v>
      </c>
      <c r="AG203" s="288">
        <v>0</v>
      </c>
      <c r="AZ203" s="39">
        <v>118</v>
      </c>
      <c r="BA203" s="105">
        <v>14</v>
      </c>
      <c r="BB203" s="100">
        <v>4</v>
      </c>
      <c r="BC203" s="100">
        <v>3</v>
      </c>
      <c r="BD203" s="100">
        <v>34</v>
      </c>
      <c r="BE203" s="100">
        <v>4</v>
      </c>
      <c r="BF203" s="100">
        <v>2</v>
      </c>
      <c r="BG203" s="100">
        <v>2</v>
      </c>
      <c r="BH203" s="341">
        <v>0.30746432894154901</v>
      </c>
      <c r="BI203" s="341">
        <v>0.15373216447077401</v>
      </c>
      <c r="BJ203" s="342">
        <v>0.15373216447077401</v>
      </c>
    </row>
    <row r="204" spans="6:62" s="3" customFormat="1" ht="18" customHeight="1" x14ac:dyDescent="0.2">
      <c r="F204" s="39">
        <v>120</v>
      </c>
      <c r="G204" s="39">
        <v>43</v>
      </c>
      <c r="H204" s="39">
        <v>3</v>
      </c>
      <c r="I204" s="39">
        <v>1</v>
      </c>
      <c r="K204" s="39">
        <v>120</v>
      </c>
      <c r="L204" s="39">
        <v>43</v>
      </c>
      <c r="M204" s="39">
        <v>3</v>
      </c>
      <c r="N204" s="263">
        <v>0.10078363944635001</v>
      </c>
      <c r="Q204" s="39">
        <v>120</v>
      </c>
      <c r="R204" s="263">
        <v>0.10078363944635001</v>
      </c>
      <c r="AA204" s="39">
        <v>119</v>
      </c>
      <c r="AB204" s="35">
        <v>7</v>
      </c>
      <c r="AC204" s="36">
        <v>2</v>
      </c>
      <c r="AD204" s="36">
        <v>4</v>
      </c>
      <c r="AE204" s="36">
        <v>13</v>
      </c>
      <c r="AF204" s="36">
        <v>3</v>
      </c>
      <c r="AG204" s="288">
        <v>0.73359669514078096</v>
      </c>
      <c r="AZ204" s="39">
        <v>119</v>
      </c>
      <c r="BA204" s="105">
        <v>14</v>
      </c>
      <c r="BB204" s="100">
        <v>4</v>
      </c>
      <c r="BC204" s="100">
        <v>4</v>
      </c>
      <c r="BD204" s="100">
        <v>34</v>
      </c>
      <c r="BE204" s="100">
        <v>4</v>
      </c>
      <c r="BF204" s="100">
        <v>2</v>
      </c>
      <c r="BG204" s="100">
        <v>2</v>
      </c>
      <c r="BH204" s="341">
        <v>0.29944567452314402</v>
      </c>
      <c r="BI204" s="341">
        <v>0.14972283726157201</v>
      </c>
      <c r="BJ204" s="342">
        <v>0.14972283726157201</v>
      </c>
    </row>
    <row r="205" spans="6:62" s="3" customFormat="1" ht="18" customHeight="1" x14ac:dyDescent="0.2">
      <c r="F205" s="39">
        <v>121</v>
      </c>
      <c r="G205" s="39">
        <v>43</v>
      </c>
      <c r="H205" s="39">
        <v>4</v>
      </c>
      <c r="I205" s="39">
        <v>1</v>
      </c>
      <c r="K205" s="39">
        <v>121</v>
      </c>
      <c r="L205" s="39">
        <v>43</v>
      </c>
      <c r="M205" s="39">
        <v>4</v>
      </c>
      <c r="N205" s="263">
        <v>0.100643477382482</v>
      </c>
      <c r="Q205" s="39">
        <v>121</v>
      </c>
      <c r="R205" s="263">
        <v>0.100643477382482</v>
      </c>
      <c r="AA205" s="39">
        <v>120</v>
      </c>
      <c r="AB205" s="35">
        <v>7</v>
      </c>
      <c r="AC205" s="36">
        <v>2</v>
      </c>
      <c r="AD205" s="36">
        <v>4</v>
      </c>
      <c r="AE205" s="36">
        <v>13</v>
      </c>
      <c r="AF205" s="36">
        <v>4</v>
      </c>
      <c r="AG205" s="288">
        <v>0.69838973156980211</v>
      </c>
      <c r="AZ205" s="39">
        <v>120</v>
      </c>
      <c r="BA205" s="105">
        <v>14</v>
      </c>
      <c r="BB205" s="100">
        <v>7</v>
      </c>
      <c r="BC205" s="100">
        <v>3</v>
      </c>
      <c r="BD205" s="100">
        <v>34</v>
      </c>
      <c r="BE205" s="100">
        <v>4</v>
      </c>
      <c r="BF205" s="100">
        <v>2</v>
      </c>
      <c r="BG205" s="100">
        <v>2</v>
      </c>
      <c r="BH205" s="341">
        <v>0.30763432751750208</v>
      </c>
      <c r="BI205" s="341">
        <v>0.15381716375875101</v>
      </c>
      <c r="BJ205" s="342">
        <v>0.15381716375875101</v>
      </c>
    </row>
    <row r="206" spans="6:62" s="3" customFormat="1" ht="18" customHeight="1" x14ac:dyDescent="0.2">
      <c r="F206" s="39">
        <v>122</v>
      </c>
      <c r="G206" s="39">
        <v>44</v>
      </c>
      <c r="H206" s="39">
        <v>1</v>
      </c>
      <c r="I206" s="39">
        <v>1</v>
      </c>
      <c r="K206" s="39">
        <v>122</v>
      </c>
      <c r="L206" s="39">
        <v>44</v>
      </c>
      <c r="M206" s="39">
        <v>1</v>
      </c>
      <c r="N206" s="263">
        <v>1.20436643395915</v>
      </c>
      <c r="Q206" s="39">
        <v>122</v>
      </c>
      <c r="R206" s="263">
        <v>1.20436643395915</v>
      </c>
      <c r="AA206" s="39">
        <v>121</v>
      </c>
      <c r="AB206" s="35">
        <v>7</v>
      </c>
      <c r="AC206" s="36">
        <v>3</v>
      </c>
      <c r="AD206" s="36">
        <v>4</v>
      </c>
      <c r="AE206" s="36">
        <v>13</v>
      </c>
      <c r="AF206" s="36">
        <v>1</v>
      </c>
      <c r="AG206" s="288">
        <v>0</v>
      </c>
      <c r="AZ206" s="39">
        <v>121</v>
      </c>
      <c r="BA206" s="105">
        <v>14</v>
      </c>
      <c r="BB206" s="100">
        <v>7</v>
      </c>
      <c r="BC206" s="100">
        <v>4</v>
      </c>
      <c r="BD206" s="100">
        <v>34</v>
      </c>
      <c r="BE206" s="100">
        <v>4</v>
      </c>
      <c r="BF206" s="100">
        <v>2</v>
      </c>
      <c r="BG206" s="100">
        <v>2</v>
      </c>
      <c r="BH206" s="341">
        <v>0.29960680765313707</v>
      </c>
      <c r="BI206" s="341">
        <v>0.14980340382656901</v>
      </c>
      <c r="BJ206" s="342">
        <v>0.14980340382656901</v>
      </c>
    </row>
    <row r="207" spans="6:62" s="3" customFormat="1" ht="18" customHeight="1" x14ac:dyDescent="0.2">
      <c r="F207" s="39">
        <v>123</v>
      </c>
      <c r="G207" s="39">
        <v>44</v>
      </c>
      <c r="H207" s="39">
        <v>2</v>
      </c>
      <c r="I207" s="39">
        <v>1</v>
      </c>
      <c r="K207" s="39">
        <v>123</v>
      </c>
      <c r="L207" s="39">
        <v>44</v>
      </c>
      <c r="M207" s="39">
        <v>2</v>
      </c>
      <c r="N207" s="263">
        <v>0.27169814701199801</v>
      </c>
      <c r="Q207" s="39">
        <v>123</v>
      </c>
      <c r="R207" s="263">
        <v>0.27169814701199801</v>
      </c>
      <c r="AA207" s="39">
        <v>122</v>
      </c>
      <c r="AB207" s="35">
        <v>7</v>
      </c>
      <c r="AC207" s="36">
        <v>3</v>
      </c>
      <c r="AD207" s="36">
        <v>4</v>
      </c>
      <c r="AE207" s="36">
        <v>13</v>
      </c>
      <c r="AF207" s="36">
        <v>2</v>
      </c>
      <c r="AG207" s="288">
        <v>0</v>
      </c>
      <c r="AZ207" s="39">
        <v>122</v>
      </c>
      <c r="BA207" s="105">
        <v>14</v>
      </c>
      <c r="BB207" s="100">
        <v>9</v>
      </c>
      <c r="BC207" s="100">
        <v>3</v>
      </c>
      <c r="BD207" s="100">
        <v>34</v>
      </c>
      <c r="BE207" s="100">
        <v>4</v>
      </c>
      <c r="BF207" s="100">
        <v>2</v>
      </c>
      <c r="BG207" s="100">
        <v>2</v>
      </c>
      <c r="BH207" s="341">
        <v>0.30657310631109908</v>
      </c>
      <c r="BI207" s="341">
        <v>0.15328655315554901</v>
      </c>
      <c r="BJ207" s="342">
        <v>0.15328655315554901</v>
      </c>
    </row>
    <row r="208" spans="6:62" s="3" customFormat="1" ht="18" customHeight="1" x14ac:dyDescent="0.2">
      <c r="F208" s="39">
        <v>124</v>
      </c>
      <c r="G208" s="39">
        <v>44</v>
      </c>
      <c r="H208" s="39">
        <v>3</v>
      </c>
      <c r="I208" s="39">
        <v>1</v>
      </c>
      <c r="K208" s="39">
        <v>124</v>
      </c>
      <c r="L208" s="39">
        <v>44</v>
      </c>
      <c r="M208" s="39">
        <v>3</v>
      </c>
      <c r="N208" s="263">
        <v>2.2497951896705101E-11</v>
      </c>
      <c r="Q208" s="39">
        <v>124</v>
      </c>
      <c r="R208" s="263">
        <v>2.2497951896705101E-11</v>
      </c>
      <c r="AA208" s="39">
        <v>123</v>
      </c>
      <c r="AB208" s="35">
        <v>7</v>
      </c>
      <c r="AC208" s="36">
        <v>3</v>
      </c>
      <c r="AD208" s="36">
        <v>4</v>
      </c>
      <c r="AE208" s="36">
        <v>13</v>
      </c>
      <c r="AF208" s="36">
        <v>3</v>
      </c>
      <c r="AG208" s="288">
        <v>0.73440610522350103</v>
      </c>
      <c r="AZ208" s="39">
        <v>123</v>
      </c>
      <c r="BA208" s="105">
        <v>14</v>
      </c>
      <c r="BB208" s="100">
        <v>9</v>
      </c>
      <c r="BC208" s="100">
        <v>4</v>
      </c>
      <c r="BD208" s="100">
        <v>34</v>
      </c>
      <c r="BE208" s="100">
        <v>4</v>
      </c>
      <c r="BF208" s="100">
        <v>2</v>
      </c>
      <c r="BG208" s="100">
        <v>2</v>
      </c>
      <c r="BH208" s="341">
        <v>0.298600890315595</v>
      </c>
      <c r="BI208" s="341">
        <v>0.149300445157798</v>
      </c>
      <c r="BJ208" s="342">
        <v>0.149300445157798</v>
      </c>
    </row>
    <row r="209" spans="6:62" s="3" customFormat="1" ht="18" customHeight="1" x14ac:dyDescent="0.2">
      <c r="F209" s="39">
        <v>125</v>
      </c>
      <c r="G209" s="39">
        <v>44</v>
      </c>
      <c r="H209" s="39">
        <v>4</v>
      </c>
      <c r="I209" s="39">
        <v>1</v>
      </c>
      <c r="K209" s="39">
        <v>125</v>
      </c>
      <c r="L209" s="39">
        <v>44</v>
      </c>
      <c r="M209" s="39">
        <v>4</v>
      </c>
      <c r="N209" s="263">
        <v>1.55749035816692E-11</v>
      </c>
      <c r="Q209" s="39">
        <v>125</v>
      </c>
      <c r="R209" s="263">
        <v>1.55749035816692E-11</v>
      </c>
      <c r="AA209" s="39">
        <v>124</v>
      </c>
      <c r="AB209" s="35">
        <v>7</v>
      </c>
      <c r="AC209" s="36">
        <v>3</v>
      </c>
      <c r="AD209" s="36">
        <v>4</v>
      </c>
      <c r="AE209" s="36">
        <v>13</v>
      </c>
      <c r="AF209" s="36">
        <v>4</v>
      </c>
      <c r="AG209" s="288">
        <v>0.69914096842863416</v>
      </c>
      <c r="AZ209" s="39">
        <v>124</v>
      </c>
      <c r="BA209" s="105">
        <v>15</v>
      </c>
      <c r="BB209" s="100">
        <v>1</v>
      </c>
      <c r="BC209" s="100">
        <v>3</v>
      </c>
      <c r="BD209" s="100">
        <v>1</v>
      </c>
      <c r="BE209" s="100">
        <v>4</v>
      </c>
      <c r="BF209" s="100">
        <v>2</v>
      </c>
      <c r="BG209" s="100">
        <v>5</v>
      </c>
      <c r="BH209" s="341">
        <v>0.44202097689152903</v>
      </c>
      <c r="BI209" s="341">
        <v>8.8404195378305919E-2</v>
      </c>
      <c r="BJ209" s="342">
        <v>0.22101048844576501</v>
      </c>
    </row>
    <row r="210" spans="6:62" s="3" customFormat="1" ht="18" customHeight="1" x14ac:dyDescent="0.2">
      <c r="F210" s="39">
        <v>126</v>
      </c>
      <c r="G210" s="39">
        <v>45</v>
      </c>
      <c r="H210" s="39">
        <v>3</v>
      </c>
      <c r="I210" s="39">
        <v>1</v>
      </c>
      <c r="K210" s="39">
        <v>126</v>
      </c>
      <c r="L210" s="39">
        <v>45</v>
      </c>
      <c r="M210" s="39">
        <v>3</v>
      </c>
      <c r="N210" s="263">
        <v>0.30746432894154901</v>
      </c>
      <c r="Q210" s="39">
        <v>126</v>
      </c>
      <c r="R210" s="263">
        <v>0.30746432894154901</v>
      </c>
      <c r="AA210" s="39">
        <v>125</v>
      </c>
      <c r="AB210" s="35">
        <v>7</v>
      </c>
      <c r="AC210" s="36">
        <v>4</v>
      </c>
      <c r="AD210" s="36">
        <v>4</v>
      </c>
      <c r="AE210" s="36">
        <v>13</v>
      </c>
      <c r="AF210" s="36">
        <v>1</v>
      </c>
      <c r="AG210" s="288">
        <v>0</v>
      </c>
      <c r="AZ210" s="39">
        <v>125</v>
      </c>
      <c r="BA210" s="105">
        <v>15</v>
      </c>
      <c r="BB210" s="100">
        <v>1</v>
      </c>
      <c r="BC210" s="100">
        <v>4</v>
      </c>
      <c r="BD210" s="100">
        <v>1</v>
      </c>
      <c r="BE210" s="100">
        <v>4</v>
      </c>
      <c r="BF210" s="100">
        <v>2</v>
      </c>
      <c r="BG210" s="100">
        <v>5</v>
      </c>
      <c r="BH210" s="341">
        <v>0.42634934265484498</v>
      </c>
      <c r="BI210" s="341">
        <v>8.5269868530969004E-2</v>
      </c>
      <c r="BJ210" s="342">
        <v>0.21317467132742299</v>
      </c>
    </row>
    <row r="211" spans="6:62" s="3" customFormat="1" ht="18" customHeight="1" x14ac:dyDescent="0.2">
      <c r="F211" s="39">
        <v>127</v>
      </c>
      <c r="G211" s="39">
        <v>45</v>
      </c>
      <c r="H211" s="39">
        <v>4</v>
      </c>
      <c r="I211" s="39">
        <v>1</v>
      </c>
      <c r="K211" s="39">
        <v>127</v>
      </c>
      <c r="L211" s="39">
        <v>45</v>
      </c>
      <c r="M211" s="39">
        <v>4</v>
      </c>
      <c r="N211" s="263">
        <v>0.29944567452314402</v>
      </c>
      <c r="Q211" s="39">
        <v>127</v>
      </c>
      <c r="R211" s="263">
        <v>0.29944567452314402</v>
      </c>
      <c r="AA211" s="39">
        <v>126</v>
      </c>
      <c r="AB211" s="35">
        <v>7</v>
      </c>
      <c r="AC211" s="36">
        <v>4</v>
      </c>
      <c r="AD211" s="36">
        <v>4</v>
      </c>
      <c r="AE211" s="36">
        <v>13</v>
      </c>
      <c r="AF211" s="36">
        <v>2</v>
      </c>
      <c r="AG211" s="288">
        <v>0</v>
      </c>
      <c r="AZ211" s="39">
        <v>126</v>
      </c>
      <c r="BA211" s="105">
        <v>15</v>
      </c>
      <c r="BB211" s="100">
        <v>2</v>
      </c>
      <c r="BC211" s="100">
        <v>3</v>
      </c>
      <c r="BD211" s="100">
        <v>1</v>
      </c>
      <c r="BE211" s="100">
        <v>4</v>
      </c>
      <c r="BF211" s="100">
        <v>2</v>
      </c>
      <c r="BG211" s="100">
        <v>5</v>
      </c>
      <c r="BH211" s="341">
        <v>0.44087876147899602</v>
      </c>
      <c r="BI211" s="341">
        <v>8.8175752295799298E-2</v>
      </c>
      <c r="BJ211" s="342">
        <v>0.22043938073949801</v>
      </c>
    </row>
    <row r="212" spans="6:62" s="3" customFormat="1" ht="18" customHeight="1" x14ac:dyDescent="0.2">
      <c r="F212" s="39">
        <v>128</v>
      </c>
      <c r="G212" s="39">
        <v>46</v>
      </c>
      <c r="H212" s="39">
        <v>3</v>
      </c>
      <c r="I212" s="39">
        <v>1</v>
      </c>
      <c r="K212" s="39">
        <v>128</v>
      </c>
      <c r="L212" s="39">
        <v>46</v>
      </c>
      <c r="M212" s="39">
        <v>3</v>
      </c>
      <c r="N212" s="263">
        <v>0.30763432751750208</v>
      </c>
      <c r="Q212" s="39">
        <f t="shared" ref="Q212:Q217" si="0">Q211+1</f>
        <v>128</v>
      </c>
      <c r="R212" s="263">
        <v>0.30763432751750208</v>
      </c>
      <c r="AA212" s="39">
        <v>127</v>
      </c>
      <c r="AB212" s="35">
        <v>7</v>
      </c>
      <c r="AC212" s="36">
        <v>4</v>
      </c>
      <c r="AD212" s="36">
        <v>4</v>
      </c>
      <c r="AE212" s="36">
        <v>13</v>
      </c>
      <c r="AF212" s="36">
        <v>3</v>
      </c>
      <c r="AG212" s="288">
        <v>0.73492392189682698</v>
      </c>
      <c r="AZ212" s="39">
        <v>127</v>
      </c>
      <c r="BA212" s="105">
        <v>15</v>
      </c>
      <c r="BB212" s="100">
        <v>2</v>
      </c>
      <c r="BC212" s="100">
        <v>4</v>
      </c>
      <c r="BD212" s="100">
        <v>1</v>
      </c>
      <c r="BE212" s="100">
        <v>4</v>
      </c>
      <c r="BF212" s="100">
        <v>2</v>
      </c>
      <c r="BG212" s="100">
        <v>5</v>
      </c>
      <c r="BH212" s="341">
        <v>0.42527671945879603</v>
      </c>
      <c r="BI212" s="341">
        <v>8.5055343891759103E-2</v>
      </c>
      <c r="BJ212" s="342">
        <v>0.21263835972939801</v>
      </c>
    </row>
    <row r="213" spans="6:62" s="3" customFormat="1" ht="18" customHeight="1" x14ac:dyDescent="0.2">
      <c r="F213" s="39">
        <v>129</v>
      </c>
      <c r="G213" s="39">
        <v>46</v>
      </c>
      <c r="H213" s="39">
        <v>4</v>
      </c>
      <c r="I213" s="39">
        <v>1</v>
      </c>
      <c r="K213" s="39">
        <v>129</v>
      </c>
      <c r="L213" s="39">
        <v>46</v>
      </c>
      <c r="M213" s="39">
        <v>4</v>
      </c>
      <c r="N213" s="263">
        <v>0.29960680765313707</v>
      </c>
      <c r="Q213" s="39">
        <f t="shared" si="0"/>
        <v>129</v>
      </c>
      <c r="R213" s="263">
        <v>0.29960680765313707</v>
      </c>
      <c r="AA213" s="39">
        <v>128</v>
      </c>
      <c r="AB213" s="35">
        <v>7</v>
      </c>
      <c r="AC213" s="36">
        <v>4</v>
      </c>
      <c r="AD213" s="36">
        <v>4</v>
      </c>
      <c r="AE213" s="36">
        <v>13</v>
      </c>
      <c r="AF213" s="36">
        <v>4</v>
      </c>
      <c r="AG213" s="288">
        <v>0.69962155953584404</v>
      </c>
      <c r="AZ213" s="39">
        <v>128</v>
      </c>
      <c r="BA213" s="105">
        <v>15</v>
      </c>
      <c r="BB213" s="100">
        <v>4</v>
      </c>
      <c r="BC213" s="100">
        <v>3</v>
      </c>
      <c r="BD213" s="100">
        <v>1</v>
      </c>
      <c r="BE213" s="100">
        <v>4</v>
      </c>
      <c r="BF213" s="100">
        <v>2</v>
      </c>
      <c r="BG213" s="100">
        <v>5</v>
      </c>
      <c r="BH213" s="341">
        <v>0.44138634776445601</v>
      </c>
      <c r="BI213" s="341">
        <v>8.8277269552891294E-2</v>
      </c>
      <c r="BJ213" s="342">
        <v>0.22069317388222801</v>
      </c>
    </row>
    <row r="214" spans="6:62" s="3" customFormat="1" ht="18" customHeight="1" x14ac:dyDescent="0.2">
      <c r="F214" s="39">
        <v>130</v>
      </c>
      <c r="G214" s="39">
        <v>47</v>
      </c>
      <c r="H214" s="39">
        <v>3</v>
      </c>
      <c r="I214" s="39">
        <v>1</v>
      </c>
      <c r="K214" s="39">
        <v>130</v>
      </c>
      <c r="L214" s="39">
        <v>47</v>
      </c>
      <c r="M214" s="39">
        <v>3</v>
      </c>
      <c r="N214" s="263">
        <v>0.30657310631109908</v>
      </c>
      <c r="Q214" s="39">
        <f t="shared" si="0"/>
        <v>130</v>
      </c>
      <c r="R214" s="263">
        <v>0.30657310631109908</v>
      </c>
      <c r="AA214" s="39">
        <v>129</v>
      </c>
      <c r="AB214" s="35">
        <v>7</v>
      </c>
      <c r="AC214" s="36">
        <v>5</v>
      </c>
      <c r="AD214" s="36">
        <v>4</v>
      </c>
      <c r="AE214" s="36">
        <v>13</v>
      </c>
      <c r="AF214" s="36">
        <v>1</v>
      </c>
      <c r="AG214" s="288">
        <v>0</v>
      </c>
      <c r="AZ214" s="39">
        <v>129</v>
      </c>
      <c r="BA214" s="105">
        <v>15</v>
      </c>
      <c r="BB214" s="100">
        <v>4</v>
      </c>
      <c r="BC214" s="100">
        <v>4</v>
      </c>
      <c r="BD214" s="100">
        <v>1</v>
      </c>
      <c r="BE214" s="100">
        <v>4</v>
      </c>
      <c r="BF214" s="100">
        <v>2</v>
      </c>
      <c r="BG214" s="100">
        <v>5</v>
      </c>
      <c r="BH214" s="341">
        <v>0.42575338830533799</v>
      </c>
      <c r="BI214" s="341">
        <v>8.5150677661067611E-2</v>
      </c>
      <c r="BJ214" s="342">
        <v>0.21287669415266899</v>
      </c>
    </row>
    <row r="215" spans="6:62" s="3" customFormat="1" ht="18" customHeight="1" x14ac:dyDescent="0.2">
      <c r="F215" s="39">
        <v>131</v>
      </c>
      <c r="G215" s="39">
        <v>47</v>
      </c>
      <c r="H215" s="39">
        <v>4</v>
      </c>
      <c r="I215" s="39">
        <v>1</v>
      </c>
      <c r="K215" s="39">
        <v>131</v>
      </c>
      <c r="L215" s="39">
        <v>47</v>
      </c>
      <c r="M215" s="39">
        <v>4</v>
      </c>
      <c r="N215" s="263">
        <v>0.298600890315595</v>
      </c>
      <c r="Q215" s="39">
        <f t="shared" si="0"/>
        <v>131</v>
      </c>
      <c r="R215" s="263">
        <v>0.298600890315595</v>
      </c>
      <c r="AA215" s="39">
        <v>130</v>
      </c>
      <c r="AB215" s="35">
        <v>7</v>
      </c>
      <c r="AC215" s="36">
        <v>5</v>
      </c>
      <c r="AD215" s="36">
        <v>4</v>
      </c>
      <c r="AE215" s="36">
        <v>13</v>
      </c>
      <c r="AF215" s="36">
        <v>2</v>
      </c>
      <c r="AG215" s="288">
        <v>0</v>
      </c>
      <c r="AZ215" s="39">
        <v>130</v>
      </c>
      <c r="BA215" s="105">
        <v>15</v>
      </c>
      <c r="BB215" s="100">
        <v>6</v>
      </c>
      <c r="BC215" s="100">
        <v>3</v>
      </c>
      <c r="BD215" s="100">
        <v>1</v>
      </c>
      <c r="BE215" s="100">
        <v>4</v>
      </c>
      <c r="BF215" s="100">
        <v>2</v>
      </c>
      <c r="BG215" s="100">
        <v>5</v>
      </c>
      <c r="BH215" s="341">
        <v>0.44080646164974102</v>
      </c>
      <c r="BI215" s="341">
        <v>8.8161292329948196E-2</v>
      </c>
      <c r="BJ215" s="342">
        <v>0.22040323082487001</v>
      </c>
    </row>
    <row r="216" spans="6:62" s="3" customFormat="1" ht="18" customHeight="1" x14ac:dyDescent="0.2">
      <c r="F216" s="39">
        <v>132</v>
      </c>
      <c r="G216" s="39">
        <v>48</v>
      </c>
      <c r="H216" s="39">
        <v>3</v>
      </c>
      <c r="I216" s="39">
        <v>1</v>
      </c>
      <c r="K216" s="39">
        <v>132</v>
      </c>
      <c r="L216" s="39">
        <v>48</v>
      </c>
      <c r="M216" s="39">
        <v>3</v>
      </c>
      <c r="N216" s="263">
        <v>0.93493784254936618</v>
      </c>
      <c r="Q216" s="39">
        <f t="shared" si="0"/>
        <v>132</v>
      </c>
      <c r="R216" s="263">
        <v>0.93493784254936618</v>
      </c>
      <c r="AA216" s="39">
        <v>131</v>
      </c>
      <c r="AB216" s="35">
        <v>7</v>
      </c>
      <c r="AC216" s="36">
        <v>5</v>
      </c>
      <c r="AD216" s="36">
        <v>4</v>
      </c>
      <c r="AE216" s="36">
        <v>13</v>
      </c>
      <c r="AF216" s="36">
        <v>3</v>
      </c>
      <c r="AG216" s="288">
        <v>0.73589202014033306</v>
      </c>
      <c r="AZ216" s="39">
        <v>131</v>
      </c>
      <c r="BA216" s="105">
        <v>15</v>
      </c>
      <c r="BB216" s="100">
        <v>6</v>
      </c>
      <c r="BC216" s="100">
        <v>4</v>
      </c>
      <c r="BD216" s="100">
        <v>1</v>
      </c>
      <c r="BE216" s="100">
        <v>4</v>
      </c>
      <c r="BF216" s="100">
        <v>2</v>
      </c>
      <c r="BG216" s="100">
        <v>5</v>
      </c>
      <c r="BH216" s="341">
        <v>0.42520882235631202</v>
      </c>
      <c r="BI216" s="341">
        <v>8.5041764471262313E-2</v>
      </c>
      <c r="BJ216" s="342">
        <v>0.21260441117815601</v>
      </c>
    </row>
    <row r="217" spans="6:62" s="3" customFormat="1" ht="18.5" customHeight="1" x14ac:dyDescent="0.2">
      <c r="F217" s="56">
        <v>133</v>
      </c>
      <c r="G217" s="56">
        <v>48</v>
      </c>
      <c r="H217" s="56">
        <v>4</v>
      </c>
      <c r="I217" s="56">
        <v>1</v>
      </c>
      <c r="K217" s="56">
        <v>133</v>
      </c>
      <c r="L217" s="56">
        <v>48</v>
      </c>
      <c r="M217" s="56">
        <v>4</v>
      </c>
      <c r="N217" s="264">
        <v>0.88473849466178411</v>
      </c>
      <c r="Q217" s="56">
        <f t="shared" si="0"/>
        <v>133</v>
      </c>
      <c r="R217" s="264">
        <v>0.88473849466178411</v>
      </c>
      <c r="AA217" s="39">
        <v>132</v>
      </c>
      <c r="AB217" s="35">
        <v>7</v>
      </c>
      <c r="AC217" s="36">
        <v>5</v>
      </c>
      <c r="AD217" s="36">
        <v>4</v>
      </c>
      <c r="AE217" s="36">
        <v>13</v>
      </c>
      <c r="AF217" s="36">
        <v>4</v>
      </c>
      <c r="AG217" s="288">
        <v>0.70052004174469007</v>
      </c>
      <c r="AZ217" s="39">
        <v>132</v>
      </c>
      <c r="BA217" s="105">
        <v>15</v>
      </c>
      <c r="BB217" s="100">
        <v>7</v>
      </c>
      <c r="BC217" s="100">
        <v>3</v>
      </c>
      <c r="BD217" s="100">
        <v>1</v>
      </c>
      <c r="BE217" s="100">
        <v>4</v>
      </c>
      <c r="BF217" s="100">
        <v>2</v>
      </c>
      <c r="BG217" s="100">
        <v>5</v>
      </c>
      <c r="BH217" s="341">
        <v>0.44181326492267398</v>
      </c>
      <c r="BI217" s="341">
        <v>8.8362652984534704E-2</v>
      </c>
      <c r="BJ217" s="342">
        <v>0.22090663246133699</v>
      </c>
    </row>
    <row r="218" spans="6:62" s="3" customFormat="1" ht="18.5" customHeight="1" x14ac:dyDescent="0.2">
      <c r="AA218" s="39">
        <v>133</v>
      </c>
      <c r="AB218" s="35">
        <v>7</v>
      </c>
      <c r="AC218" s="36">
        <v>6</v>
      </c>
      <c r="AD218" s="36">
        <v>4</v>
      </c>
      <c r="AE218" s="36">
        <v>13</v>
      </c>
      <c r="AF218" s="36">
        <v>1</v>
      </c>
      <c r="AG218" s="288">
        <v>0</v>
      </c>
      <c r="AZ218" s="39">
        <v>133</v>
      </c>
      <c r="BA218" s="105">
        <v>15</v>
      </c>
      <c r="BB218" s="100">
        <v>7</v>
      </c>
      <c r="BC218" s="100">
        <v>4</v>
      </c>
      <c r="BD218" s="100">
        <v>1</v>
      </c>
      <c r="BE218" s="100">
        <v>4</v>
      </c>
      <c r="BF218" s="100">
        <v>2</v>
      </c>
      <c r="BG218" s="100">
        <v>5</v>
      </c>
      <c r="BH218" s="341">
        <v>0.42615429114960202</v>
      </c>
      <c r="BI218" s="341">
        <v>8.523085822992052E-2</v>
      </c>
      <c r="BJ218" s="342">
        <v>0.21307714557480101</v>
      </c>
    </row>
    <row r="219" spans="6:62" s="3" customFormat="1" ht="18" customHeight="1" x14ac:dyDescent="0.2">
      <c r="AA219" s="39">
        <v>134</v>
      </c>
      <c r="AB219" s="35">
        <v>7</v>
      </c>
      <c r="AC219" s="36">
        <v>6</v>
      </c>
      <c r="AD219" s="36">
        <v>4</v>
      </c>
      <c r="AE219" s="36">
        <v>13</v>
      </c>
      <c r="AF219" s="36">
        <v>2</v>
      </c>
      <c r="AG219" s="288">
        <v>0</v>
      </c>
      <c r="AZ219" s="39">
        <v>134</v>
      </c>
      <c r="BA219" s="105">
        <v>15</v>
      </c>
      <c r="BB219" s="100">
        <v>9</v>
      </c>
      <c r="BC219" s="100">
        <v>3</v>
      </c>
      <c r="BD219" s="100">
        <v>1</v>
      </c>
      <c r="BE219" s="100">
        <v>4</v>
      </c>
      <c r="BF219" s="100">
        <v>2</v>
      </c>
      <c r="BG219" s="100">
        <v>5</v>
      </c>
      <c r="BH219" s="341">
        <v>0.43914822716481411</v>
      </c>
      <c r="BI219" s="341">
        <v>8.7829645432962802E-2</v>
      </c>
      <c r="BJ219" s="342">
        <v>0.219574113582407</v>
      </c>
    </row>
    <row r="220" spans="6:62" s="3" customFormat="1" ht="18" customHeight="1" x14ac:dyDescent="0.2">
      <c r="AA220" s="39">
        <v>135</v>
      </c>
      <c r="AB220" s="35">
        <v>7</v>
      </c>
      <c r="AC220" s="36">
        <v>6</v>
      </c>
      <c r="AD220" s="36">
        <v>4</v>
      </c>
      <c r="AE220" s="36">
        <v>13</v>
      </c>
      <c r="AF220" s="36">
        <v>3</v>
      </c>
      <c r="AG220" s="288">
        <v>0.73340764643548695</v>
      </c>
      <c r="AZ220" s="39">
        <v>135</v>
      </c>
      <c r="BA220" s="105">
        <v>15</v>
      </c>
      <c r="BB220" s="100">
        <v>9</v>
      </c>
      <c r="BC220" s="100">
        <v>4</v>
      </c>
      <c r="BD220" s="100">
        <v>1</v>
      </c>
      <c r="BE220" s="100">
        <v>4</v>
      </c>
      <c r="BF220" s="100">
        <v>2</v>
      </c>
      <c r="BG220" s="100">
        <v>5</v>
      </c>
      <c r="BH220" s="341">
        <v>0.42365149080919912</v>
      </c>
      <c r="BI220" s="341">
        <v>8.4730298161839704E-2</v>
      </c>
      <c r="BJ220" s="342">
        <v>0.211825745404599</v>
      </c>
    </row>
    <row r="221" spans="6:62" s="3" customFormat="1" ht="18" customHeight="1" x14ac:dyDescent="0.2">
      <c r="AA221" s="39">
        <v>136</v>
      </c>
      <c r="AB221" s="35">
        <v>7</v>
      </c>
      <c r="AC221" s="36">
        <v>6</v>
      </c>
      <c r="AD221" s="36">
        <v>4</v>
      </c>
      <c r="AE221" s="36">
        <v>13</v>
      </c>
      <c r="AF221" s="36">
        <v>4</v>
      </c>
      <c r="AG221" s="288">
        <v>0.69821426740710313</v>
      </c>
      <c r="AZ221" s="39">
        <v>136</v>
      </c>
      <c r="BA221" s="105">
        <v>16</v>
      </c>
      <c r="BB221" s="100">
        <v>1</v>
      </c>
      <c r="BC221" s="100">
        <v>3</v>
      </c>
      <c r="BD221" s="100">
        <v>7</v>
      </c>
      <c r="BE221" s="100">
        <v>4</v>
      </c>
      <c r="BF221" s="100">
        <v>2</v>
      </c>
      <c r="BG221" s="100">
        <v>13</v>
      </c>
      <c r="BH221" s="341">
        <v>0.73658335852302004</v>
      </c>
      <c r="BI221" s="341">
        <v>5.6660258347924597E-2</v>
      </c>
      <c r="BJ221" s="342">
        <v>0.36829167926151002</v>
      </c>
    </row>
    <row r="222" spans="6:62" s="3" customFormat="1" ht="18" customHeight="1" x14ac:dyDescent="0.2">
      <c r="AA222" s="39">
        <v>137</v>
      </c>
      <c r="AB222" s="35">
        <v>7</v>
      </c>
      <c r="AC222" s="36">
        <v>7</v>
      </c>
      <c r="AD222" s="36">
        <v>4</v>
      </c>
      <c r="AE222" s="36">
        <v>13</v>
      </c>
      <c r="AF222" s="36">
        <v>1</v>
      </c>
      <c r="AG222" s="288">
        <v>0</v>
      </c>
      <c r="AZ222" s="39">
        <v>137</v>
      </c>
      <c r="BA222" s="105">
        <v>16</v>
      </c>
      <c r="BB222" s="100">
        <v>1</v>
      </c>
      <c r="BC222" s="100">
        <v>4</v>
      </c>
      <c r="BD222" s="100">
        <v>7</v>
      </c>
      <c r="BE222" s="100">
        <v>4</v>
      </c>
      <c r="BF222" s="100">
        <v>2</v>
      </c>
      <c r="BG222" s="100">
        <v>13</v>
      </c>
      <c r="BH222" s="341">
        <v>0.70116165005735698</v>
      </c>
      <c r="BI222" s="341">
        <v>5.3935511542873613E-2</v>
      </c>
      <c r="BJ222" s="342">
        <v>0.35058082502867799</v>
      </c>
    </row>
    <row r="223" spans="6:62" s="3" customFormat="1" ht="18" customHeight="1" x14ac:dyDescent="0.2">
      <c r="AA223" s="39">
        <v>138</v>
      </c>
      <c r="AB223" s="35">
        <v>7</v>
      </c>
      <c r="AC223" s="36">
        <v>7</v>
      </c>
      <c r="AD223" s="36">
        <v>4</v>
      </c>
      <c r="AE223" s="36">
        <v>13</v>
      </c>
      <c r="AF223" s="36">
        <v>2</v>
      </c>
      <c r="AG223" s="288">
        <v>0</v>
      </c>
      <c r="AZ223" s="39">
        <v>138</v>
      </c>
      <c r="BA223" s="105">
        <v>16</v>
      </c>
      <c r="BB223" s="100">
        <v>10</v>
      </c>
      <c r="BC223" s="100">
        <v>3</v>
      </c>
      <c r="BD223" s="100">
        <v>7</v>
      </c>
      <c r="BE223" s="100">
        <v>4</v>
      </c>
      <c r="BF223" s="100">
        <v>2</v>
      </c>
      <c r="BG223" s="100">
        <v>13</v>
      </c>
      <c r="BH223" s="341">
        <v>0.73370916011677412</v>
      </c>
      <c r="BI223" s="341">
        <v>5.6439166162828798E-2</v>
      </c>
      <c r="BJ223" s="342">
        <v>0.366854580058387</v>
      </c>
    </row>
    <row r="224" spans="6:62" s="3" customFormat="1" ht="18" customHeight="1" x14ac:dyDescent="0.2">
      <c r="AA224" s="39">
        <v>139</v>
      </c>
      <c r="AB224" s="35">
        <v>7</v>
      </c>
      <c r="AC224" s="36">
        <v>7</v>
      </c>
      <c r="AD224" s="36">
        <v>4</v>
      </c>
      <c r="AE224" s="36">
        <v>13</v>
      </c>
      <c r="AF224" s="36">
        <v>3</v>
      </c>
      <c r="AG224" s="288">
        <v>0.7360402314212231</v>
      </c>
      <c r="AZ224" s="39">
        <v>139</v>
      </c>
      <c r="BA224" s="105">
        <v>16</v>
      </c>
      <c r="BB224" s="100">
        <v>10</v>
      </c>
      <c r="BC224" s="100">
        <v>4</v>
      </c>
      <c r="BD224" s="100">
        <v>7</v>
      </c>
      <c r="BE224" s="100">
        <v>4</v>
      </c>
      <c r="BF224" s="100">
        <v>2</v>
      </c>
      <c r="BG224" s="100">
        <v>13</v>
      </c>
      <c r="BH224" s="341">
        <v>0.69849411464925204</v>
      </c>
      <c r="BI224" s="341">
        <v>5.3730316511480913E-2</v>
      </c>
      <c r="BJ224" s="342">
        <v>0.34924705732462602</v>
      </c>
    </row>
    <row r="225" spans="27:62" s="3" customFormat="1" ht="18" customHeight="1" x14ac:dyDescent="0.2">
      <c r="AA225" s="39">
        <v>140</v>
      </c>
      <c r="AB225" s="35">
        <v>7</v>
      </c>
      <c r="AC225" s="36">
        <v>7</v>
      </c>
      <c r="AD225" s="36">
        <v>4</v>
      </c>
      <c r="AE225" s="36">
        <v>13</v>
      </c>
      <c r="AF225" s="36">
        <v>4</v>
      </c>
      <c r="AG225" s="288">
        <v>0.70065759283893603</v>
      </c>
      <c r="AZ225" s="39">
        <v>140</v>
      </c>
      <c r="BA225" s="105">
        <v>16</v>
      </c>
      <c r="BB225" s="100">
        <v>2</v>
      </c>
      <c r="BC225" s="100">
        <v>3</v>
      </c>
      <c r="BD225" s="100">
        <v>7</v>
      </c>
      <c r="BE225" s="100">
        <v>4</v>
      </c>
      <c r="BF225" s="100">
        <v>2</v>
      </c>
      <c r="BG225" s="100">
        <v>13</v>
      </c>
      <c r="BH225" s="341">
        <v>0.73359669514078096</v>
      </c>
      <c r="BI225" s="341">
        <v>5.6430515010829303E-2</v>
      </c>
      <c r="BJ225" s="342">
        <v>0.36679834757038998</v>
      </c>
    </row>
    <row r="226" spans="27:62" s="3" customFormat="1" ht="18" customHeight="1" x14ac:dyDescent="0.2">
      <c r="AA226" s="39">
        <v>141</v>
      </c>
      <c r="AB226" s="35">
        <v>7</v>
      </c>
      <c r="AC226" s="36">
        <v>8</v>
      </c>
      <c r="AD226" s="36">
        <v>4</v>
      </c>
      <c r="AE226" s="36">
        <v>13</v>
      </c>
      <c r="AF226" s="36">
        <v>1</v>
      </c>
      <c r="AG226" s="288">
        <v>0</v>
      </c>
      <c r="AZ226" s="39">
        <v>141</v>
      </c>
      <c r="BA226" s="105">
        <v>16</v>
      </c>
      <c r="BB226" s="100">
        <v>2</v>
      </c>
      <c r="BC226" s="100">
        <v>4</v>
      </c>
      <c r="BD226" s="100">
        <v>7</v>
      </c>
      <c r="BE226" s="100">
        <v>4</v>
      </c>
      <c r="BF226" s="100">
        <v>2</v>
      </c>
      <c r="BG226" s="100">
        <v>13</v>
      </c>
      <c r="BH226" s="341">
        <v>0.69838973156980211</v>
      </c>
      <c r="BI226" s="341">
        <v>5.3722287043830898E-2</v>
      </c>
      <c r="BJ226" s="342">
        <v>0.34919486578490111</v>
      </c>
    </row>
    <row r="227" spans="27:62" s="3" customFormat="1" ht="18" customHeight="1" x14ac:dyDescent="0.2">
      <c r="AA227" s="39">
        <v>142</v>
      </c>
      <c r="AB227" s="35">
        <v>7</v>
      </c>
      <c r="AC227" s="36">
        <v>8</v>
      </c>
      <c r="AD227" s="36">
        <v>4</v>
      </c>
      <c r="AE227" s="36">
        <v>13</v>
      </c>
      <c r="AF227" s="36">
        <v>2</v>
      </c>
      <c r="AG227" s="288">
        <v>0</v>
      </c>
      <c r="AZ227" s="39">
        <v>142</v>
      </c>
      <c r="BA227" s="105">
        <v>16</v>
      </c>
      <c r="BB227" s="100">
        <v>3</v>
      </c>
      <c r="BC227" s="100">
        <v>3</v>
      </c>
      <c r="BD227" s="100">
        <v>7</v>
      </c>
      <c r="BE227" s="100">
        <v>4</v>
      </c>
      <c r="BF227" s="100">
        <v>2</v>
      </c>
      <c r="BG227" s="100">
        <v>13</v>
      </c>
      <c r="BH227" s="341">
        <v>0.73440610522350103</v>
      </c>
      <c r="BI227" s="341">
        <v>5.6492777324884703E-2</v>
      </c>
      <c r="BJ227" s="342">
        <v>0.36720305261175001</v>
      </c>
    </row>
    <row r="228" spans="27:62" s="3" customFormat="1" ht="18" customHeight="1" x14ac:dyDescent="0.2">
      <c r="AA228" s="39">
        <v>143</v>
      </c>
      <c r="AB228" s="35">
        <v>7</v>
      </c>
      <c r="AC228" s="36">
        <v>8</v>
      </c>
      <c r="AD228" s="36">
        <v>4</v>
      </c>
      <c r="AE228" s="36">
        <v>13</v>
      </c>
      <c r="AF228" s="36">
        <v>3</v>
      </c>
      <c r="AG228" s="288">
        <v>0.73669611407569913</v>
      </c>
      <c r="AZ228" s="39">
        <v>143</v>
      </c>
      <c r="BA228" s="105">
        <v>16</v>
      </c>
      <c r="BB228" s="100">
        <v>3</v>
      </c>
      <c r="BC228" s="100">
        <v>4</v>
      </c>
      <c r="BD228" s="100">
        <v>7</v>
      </c>
      <c r="BE228" s="100">
        <v>4</v>
      </c>
      <c r="BF228" s="100">
        <v>2</v>
      </c>
      <c r="BG228" s="100">
        <v>13</v>
      </c>
      <c r="BH228" s="341">
        <v>0.69914096842863416</v>
      </c>
      <c r="BI228" s="341">
        <v>5.3780074494510298E-2</v>
      </c>
      <c r="BJ228" s="342">
        <v>0.34957048421431708</v>
      </c>
    </row>
    <row r="229" spans="27:62" s="3" customFormat="1" ht="18" customHeight="1" x14ac:dyDescent="0.2">
      <c r="AA229" s="39">
        <v>144</v>
      </c>
      <c r="AB229" s="35">
        <v>7</v>
      </c>
      <c r="AC229" s="36">
        <v>8</v>
      </c>
      <c r="AD229" s="36">
        <v>4</v>
      </c>
      <c r="AE229" s="36">
        <v>13</v>
      </c>
      <c r="AF229" s="36">
        <v>4</v>
      </c>
      <c r="AG229" s="288">
        <v>0.70126629353121916</v>
      </c>
      <c r="AZ229" s="39">
        <v>144</v>
      </c>
      <c r="BA229" s="105">
        <v>16</v>
      </c>
      <c r="BB229" s="100">
        <v>4</v>
      </c>
      <c r="BC229" s="100">
        <v>3</v>
      </c>
      <c r="BD229" s="100">
        <v>7</v>
      </c>
      <c r="BE229" s="100">
        <v>4</v>
      </c>
      <c r="BF229" s="100">
        <v>2</v>
      </c>
      <c r="BG229" s="100">
        <v>13</v>
      </c>
      <c r="BH229" s="341">
        <v>0.73492392189682698</v>
      </c>
      <c r="BI229" s="341">
        <v>5.6532609376678998E-2</v>
      </c>
      <c r="BJ229" s="342">
        <v>0.36746196094841299</v>
      </c>
    </row>
    <row r="230" spans="27:62" s="3" customFormat="1" ht="18" customHeight="1" x14ac:dyDescent="0.2">
      <c r="AA230" s="39">
        <v>145</v>
      </c>
      <c r="AB230" s="35">
        <v>7</v>
      </c>
      <c r="AC230" s="36">
        <v>9</v>
      </c>
      <c r="AD230" s="36">
        <v>4</v>
      </c>
      <c r="AE230" s="36">
        <v>13</v>
      </c>
      <c r="AF230" s="36">
        <v>1</v>
      </c>
      <c r="AG230" s="288">
        <v>0</v>
      </c>
      <c r="AZ230" s="39">
        <v>145</v>
      </c>
      <c r="BA230" s="105">
        <v>16</v>
      </c>
      <c r="BB230" s="100">
        <v>4</v>
      </c>
      <c r="BC230" s="100">
        <v>4</v>
      </c>
      <c r="BD230" s="100">
        <v>7</v>
      </c>
      <c r="BE230" s="100">
        <v>4</v>
      </c>
      <c r="BF230" s="100">
        <v>2</v>
      </c>
      <c r="BG230" s="100">
        <v>13</v>
      </c>
      <c r="BH230" s="341">
        <v>0.69962155953584404</v>
      </c>
      <c r="BI230" s="341">
        <v>5.3817043041218697E-2</v>
      </c>
      <c r="BJ230" s="342">
        <v>0.34981077976792202</v>
      </c>
    </row>
    <row r="231" spans="27:62" s="3" customFormat="1" ht="18" customHeight="1" x14ac:dyDescent="0.2">
      <c r="AA231" s="39">
        <v>146</v>
      </c>
      <c r="AB231" s="35">
        <v>7</v>
      </c>
      <c r="AC231" s="36">
        <v>9</v>
      </c>
      <c r="AD231" s="36">
        <v>4</v>
      </c>
      <c r="AE231" s="36">
        <v>13</v>
      </c>
      <c r="AF231" s="36">
        <v>2</v>
      </c>
      <c r="AG231" s="288">
        <v>0</v>
      </c>
      <c r="AZ231" s="39">
        <v>146</v>
      </c>
      <c r="BA231" s="105">
        <v>16</v>
      </c>
      <c r="BB231" s="100">
        <v>5</v>
      </c>
      <c r="BC231" s="100">
        <v>3</v>
      </c>
      <c r="BD231" s="100">
        <v>7</v>
      </c>
      <c r="BE231" s="100">
        <v>4</v>
      </c>
      <c r="BF231" s="100">
        <v>2</v>
      </c>
      <c r="BG231" s="100">
        <v>13</v>
      </c>
      <c r="BH231" s="341">
        <v>0.73589202014033306</v>
      </c>
      <c r="BI231" s="341">
        <v>5.6607078472333303E-2</v>
      </c>
      <c r="BJ231" s="342">
        <v>0.36794601007016697</v>
      </c>
    </row>
    <row r="232" spans="27:62" s="3" customFormat="1" ht="18" customHeight="1" x14ac:dyDescent="0.2">
      <c r="AA232" s="39">
        <v>147</v>
      </c>
      <c r="AB232" s="35">
        <v>7</v>
      </c>
      <c r="AC232" s="36">
        <v>9</v>
      </c>
      <c r="AD232" s="36">
        <v>4</v>
      </c>
      <c r="AE232" s="36">
        <v>13</v>
      </c>
      <c r="AF232" s="36">
        <v>3</v>
      </c>
      <c r="AG232" s="288">
        <v>0.72907176720963707</v>
      </c>
      <c r="AZ232" s="39">
        <v>147</v>
      </c>
      <c r="BA232" s="105">
        <v>16</v>
      </c>
      <c r="BB232" s="100">
        <v>5</v>
      </c>
      <c r="BC232" s="100">
        <v>4</v>
      </c>
      <c r="BD232" s="100">
        <v>7</v>
      </c>
      <c r="BE232" s="100">
        <v>4</v>
      </c>
      <c r="BF232" s="100">
        <v>2</v>
      </c>
      <c r="BG232" s="100">
        <v>13</v>
      </c>
      <c r="BH232" s="341">
        <v>0.70052004174469007</v>
      </c>
      <c r="BI232" s="341">
        <v>5.3886157057283807E-2</v>
      </c>
      <c r="BJ232" s="342">
        <v>0.35026002087234498</v>
      </c>
    </row>
    <row r="233" spans="27:62" s="3" customFormat="1" ht="18" customHeight="1" x14ac:dyDescent="0.2">
      <c r="AA233" s="39">
        <v>148</v>
      </c>
      <c r="AB233" s="35">
        <v>7</v>
      </c>
      <c r="AC233" s="36">
        <v>9</v>
      </c>
      <c r="AD233" s="36">
        <v>4</v>
      </c>
      <c r="AE233" s="36">
        <v>13</v>
      </c>
      <c r="AF233" s="36">
        <v>4</v>
      </c>
      <c r="AG233" s="288">
        <v>0.69418967983088498</v>
      </c>
      <c r="AZ233" s="39">
        <v>148</v>
      </c>
      <c r="BA233" s="105">
        <v>16</v>
      </c>
      <c r="BB233" s="100">
        <v>6</v>
      </c>
      <c r="BC233" s="100">
        <v>3</v>
      </c>
      <c r="BD233" s="100">
        <v>7</v>
      </c>
      <c r="BE233" s="100">
        <v>4</v>
      </c>
      <c r="BF233" s="100">
        <v>2</v>
      </c>
      <c r="BG233" s="100">
        <v>13</v>
      </c>
      <c r="BH233" s="341">
        <v>0.73340764643548695</v>
      </c>
      <c r="BI233" s="341">
        <v>5.6415972802729697E-2</v>
      </c>
      <c r="BJ233" s="342">
        <v>0.36670382321774297</v>
      </c>
    </row>
    <row r="234" spans="27:62" s="3" customFormat="1" ht="18" customHeight="1" x14ac:dyDescent="0.2">
      <c r="AA234" s="39">
        <v>149</v>
      </c>
      <c r="AB234" s="35">
        <v>7</v>
      </c>
      <c r="AC234" s="36">
        <v>10</v>
      </c>
      <c r="AD234" s="36">
        <v>4</v>
      </c>
      <c r="AE234" s="36">
        <v>13</v>
      </c>
      <c r="AF234" s="36">
        <v>1</v>
      </c>
      <c r="AG234" s="288">
        <v>0</v>
      </c>
      <c r="AZ234" s="39">
        <v>149</v>
      </c>
      <c r="BA234" s="105">
        <v>16</v>
      </c>
      <c r="BB234" s="100">
        <v>6</v>
      </c>
      <c r="BC234" s="100">
        <v>4</v>
      </c>
      <c r="BD234" s="100">
        <v>7</v>
      </c>
      <c r="BE234" s="100">
        <v>4</v>
      </c>
      <c r="BF234" s="100">
        <v>2</v>
      </c>
      <c r="BG234" s="100">
        <v>13</v>
      </c>
      <c r="BH234" s="341">
        <v>0.69821426740710313</v>
      </c>
      <c r="BI234" s="341">
        <v>5.3708789800546407E-2</v>
      </c>
      <c r="BJ234" s="342">
        <v>0.34910713370355201</v>
      </c>
    </row>
    <row r="235" spans="27:62" s="3" customFormat="1" ht="18" customHeight="1" x14ac:dyDescent="0.2">
      <c r="AA235" s="39">
        <v>150</v>
      </c>
      <c r="AB235" s="35">
        <v>7</v>
      </c>
      <c r="AC235" s="36">
        <v>10</v>
      </c>
      <c r="AD235" s="36">
        <v>4</v>
      </c>
      <c r="AE235" s="36">
        <v>13</v>
      </c>
      <c r="AF235" s="36">
        <v>2</v>
      </c>
      <c r="AG235" s="288">
        <v>0</v>
      </c>
      <c r="AZ235" s="39">
        <v>150</v>
      </c>
      <c r="BA235" s="105">
        <v>16</v>
      </c>
      <c r="BB235" s="100">
        <v>7</v>
      </c>
      <c r="BC235" s="100">
        <v>3</v>
      </c>
      <c r="BD235" s="100">
        <v>7</v>
      </c>
      <c r="BE235" s="100">
        <v>4</v>
      </c>
      <c r="BF235" s="100">
        <v>2</v>
      </c>
      <c r="BG235" s="100">
        <v>13</v>
      </c>
      <c r="BH235" s="341">
        <v>0.7360402314212231</v>
      </c>
      <c r="BI235" s="341">
        <v>5.6618479340094098E-2</v>
      </c>
      <c r="BJ235" s="342">
        <v>0.36802011571061211</v>
      </c>
    </row>
    <row r="236" spans="27:62" s="3" customFormat="1" ht="18" customHeight="1" x14ac:dyDescent="0.2">
      <c r="AA236" s="39">
        <v>151</v>
      </c>
      <c r="AB236" s="35">
        <v>7</v>
      </c>
      <c r="AC236" s="36">
        <v>10</v>
      </c>
      <c r="AD236" s="36">
        <v>4</v>
      </c>
      <c r="AE236" s="36">
        <v>13</v>
      </c>
      <c r="AF236" s="36">
        <v>3</v>
      </c>
      <c r="AG236" s="288">
        <v>0.73370916011677412</v>
      </c>
      <c r="AZ236" s="39">
        <v>151</v>
      </c>
      <c r="BA236" s="105">
        <v>16</v>
      </c>
      <c r="BB236" s="100">
        <v>7</v>
      </c>
      <c r="BC236" s="100">
        <v>4</v>
      </c>
      <c r="BD236" s="100">
        <v>7</v>
      </c>
      <c r="BE236" s="100">
        <v>4</v>
      </c>
      <c r="BF236" s="100">
        <v>2</v>
      </c>
      <c r="BG236" s="100">
        <v>13</v>
      </c>
      <c r="BH236" s="341">
        <v>0.70065759283893603</v>
      </c>
      <c r="BI236" s="341">
        <v>5.3896737910687408E-2</v>
      </c>
      <c r="BJ236" s="342">
        <v>0.35032879641946801</v>
      </c>
    </row>
    <row r="237" spans="27:62" s="3" customFormat="1" ht="18" customHeight="1" x14ac:dyDescent="0.2">
      <c r="AA237" s="39">
        <v>152</v>
      </c>
      <c r="AB237" s="35">
        <v>7</v>
      </c>
      <c r="AC237" s="36">
        <v>10</v>
      </c>
      <c r="AD237" s="36">
        <v>4</v>
      </c>
      <c r="AE237" s="36">
        <v>13</v>
      </c>
      <c r="AF237" s="36">
        <v>4</v>
      </c>
      <c r="AG237" s="288">
        <v>0.69849411464925204</v>
      </c>
      <c r="AZ237" s="39">
        <v>152</v>
      </c>
      <c r="BA237" s="105">
        <v>16</v>
      </c>
      <c r="BB237" s="100">
        <v>8</v>
      </c>
      <c r="BC237" s="100">
        <v>3</v>
      </c>
      <c r="BD237" s="100">
        <v>7</v>
      </c>
      <c r="BE237" s="100">
        <v>4</v>
      </c>
      <c r="BF237" s="100">
        <v>2</v>
      </c>
      <c r="BG237" s="100">
        <v>13</v>
      </c>
      <c r="BH237" s="341">
        <v>0.73669611407569913</v>
      </c>
      <c r="BI237" s="341">
        <v>5.6668931851976898E-2</v>
      </c>
      <c r="BJ237" s="342">
        <v>0.36834805703785001</v>
      </c>
    </row>
    <row r="238" spans="27:62" s="3" customFormat="1" ht="18" customHeight="1" x14ac:dyDescent="0.2">
      <c r="AA238" s="39">
        <v>153</v>
      </c>
      <c r="AB238" s="35">
        <v>16</v>
      </c>
      <c r="AC238" s="36">
        <v>1</v>
      </c>
      <c r="AD238" s="36">
        <v>4</v>
      </c>
      <c r="AE238" s="36">
        <v>1</v>
      </c>
      <c r="AF238" s="36">
        <v>1</v>
      </c>
      <c r="AG238" s="288">
        <v>0</v>
      </c>
      <c r="AZ238" s="39">
        <v>153</v>
      </c>
      <c r="BA238" s="105">
        <v>16</v>
      </c>
      <c r="BB238" s="100">
        <v>8</v>
      </c>
      <c r="BC238" s="100">
        <v>4</v>
      </c>
      <c r="BD238" s="100">
        <v>7</v>
      </c>
      <c r="BE238" s="100">
        <v>4</v>
      </c>
      <c r="BF238" s="100">
        <v>2</v>
      </c>
      <c r="BG238" s="100">
        <v>13</v>
      </c>
      <c r="BH238" s="341">
        <v>0.70126629353121916</v>
      </c>
      <c r="BI238" s="341">
        <v>5.3943561040863001E-2</v>
      </c>
      <c r="BJ238" s="342">
        <v>0.35063314676561008</v>
      </c>
    </row>
    <row r="239" spans="27:62" s="3" customFormat="1" ht="18" customHeight="1" x14ac:dyDescent="0.2">
      <c r="AA239" s="39">
        <v>154</v>
      </c>
      <c r="AB239" s="35">
        <v>16</v>
      </c>
      <c r="AC239" s="36">
        <v>1</v>
      </c>
      <c r="AD239" s="36">
        <v>4</v>
      </c>
      <c r="AE239" s="36">
        <v>1</v>
      </c>
      <c r="AF239" s="36">
        <v>2</v>
      </c>
      <c r="AG239" s="288">
        <v>0</v>
      </c>
      <c r="AZ239" s="39">
        <v>154</v>
      </c>
      <c r="BA239" s="105">
        <v>16</v>
      </c>
      <c r="BB239" s="100">
        <v>9</v>
      </c>
      <c r="BC239" s="100">
        <v>3</v>
      </c>
      <c r="BD239" s="100">
        <v>7</v>
      </c>
      <c r="BE239" s="100">
        <v>4</v>
      </c>
      <c r="BF239" s="100">
        <v>2</v>
      </c>
      <c r="BG239" s="100">
        <v>13</v>
      </c>
      <c r="BH239" s="341">
        <v>0.72907176720963707</v>
      </c>
      <c r="BI239" s="341">
        <v>5.6082443631510499E-2</v>
      </c>
      <c r="BJ239" s="342">
        <v>0.36453588360481798</v>
      </c>
    </row>
    <row r="240" spans="27:62" s="3" customFormat="1" ht="18" customHeight="1" x14ac:dyDescent="0.2">
      <c r="AA240" s="39">
        <v>155</v>
      </c>
      <c r="AB240" s="35">
        <v>16</v>
      </c>
      <c r="AC240" s="36">
        <v>1</v>
      </c>
      <c r="AD240" s="36">
        <v>4</v>
      </c>
      <c r="AE240" s="36">
        <v>1</v>
      </c>
      <c r="AF240" s="36">
        <v>3</v>
      </c>
      <c r="AG240" s="288">
        <v>0.10134435252495499</v>
      </c>
      <c r="AZ240" s="39">
        <v>155</v>
      </c>
      <c r="BA240" s="105">
        <v>16</v>
      </c>
      <c r="BB240" s="100">
        <v>9</v>
      </c>
      <c r="BC240" s="100">
        <v>4</v>
      </c>
      <c r="BD240" s="100">
        <v>7</v>
      </c>
      <c r="BE240" s="100">
        <v>4</v>
      </c>
      <c r="BF240" s="100">
        <v>2</v>
      </c>
      <c r="BG240" s="100">
        <v>13</v>
      </c>
      <c r="BH240" s="341">
        <v>0.69418967983088498</v>
      </c>
      <c r="BI240" s="341">
        <v>5.3399206140837298E-2</v>
      </c>
      <c r="BJ240" s="342">
        <v>0.34709483991544299</v>
      </c>
    </row>
    <row r="241" spans="27:62" s="3" customFormat="1" ht="18" customHeight="1" x14ac:dyDescent="0.2">
      <c r="AA241" s="39">
        <v>156</v>
      </c>
      <c r="AB241" s="35">
        <v>16</v>
      </c>
      <c r="AC241" s="36">
        <v>1</v>
      </c>
      <c r="AD241" s="36">
        <v>4</v>
      </c>
      <c r="AE241" s="36">
        <v>1</v>
      </c>
      <c r="AF241" s="36">
        <v>4</v>
      </c>
      <c r="AG241" s="288">
        <v>0.10119688790586499</v>
      </c>
      <c r="AZ241" s="39">
        <v>156</v>
      </c>
      <c r="BA241" s="105">
        <v>17</v>
      </c>
      <c r="BB241" s="100">
        <v>1</v>
      </c>
      <c r="BC241" s="100">
        <v>3</v>
      </c>
      <c r="BD241" s="100">
        <v>7</v>
      </c>
      <c r="BE241" s="100">
        <v>4</v>
      </c>
      <c r="BF241" s="100">
        <v>2</v>
      </c>
      <c r="BG241" s="100">
        <v>13</v>
      </c>
      <c r="BH241" s="341">
        <v>0.73658335852302004</v>
      </c>
      <c r="BI241" s="341">
        <v>5.6660258347924597E-2</v>
      </c>
      <c r="BJ241" s="342">
        <v>0.36829167926151002</v>
      </c>
    </row>
    <row r="242" spans="27:62" s="3" customFormat="1" ht="18" customHeight="1" x14ac:dyDescent="0.2">
      <c r="AA242" s="39">
        <v>157</v>
      </c>
      <c r="AB242" s="35">
        <v>16</v>
      </c>
      <c r="AC242" s="36">
        <v>2</v>
      </c>
      <c r="AD242" s="36">
        <v>4</v>
      </c>
      <c r="AE242" s="36">
        <v>1</v>
      </c>
      <c r="AF242" s="36">
        <v>1</v>
      </c>
      <c r="AG242" s="288">
        <v>0</v>
      </c>
      <c r="AZ242" s="39">
        <v>157</v>
      </c>
      <c r="BA242" s="105">
        <v>17</v>
      </c>
      <c r="BB242" s="100">
        <v>1</v>
      </c>
      <c r="BC242" s="100">
        <v>4</v>
      </c>
      <c r="BD242" s="100">
        <v>7</v>
      </c>
      <c r="BE242" s="100">
        <v>4</v>
      </c>
      <c r="BF242" s="100">
        <v>2</v>
      </c>
      <c r="BG242" s="100">
        <v>13</v>
      </c>
      <c r="BH242" s="341">
        <v>0.70116165005735698</v>
      </c>
      <c r="BI242" s="341">
        <v>5.3935511542873613E-2</v>
      </c>
      <c r="BJ242" s="342">
        <v>0.35058082502867799</v>
      </c>
    </row>
    <row r="243" spans="27:62" s="3" customFormat="1" ht="18" customHeight="1" x14ac:dyDescent="0.2">
      <c r="AA243" s="39">
        <v>158</v>
      </c>
      <c r="AB243" s="35">
        <v>16</v>
      </c>
      <c r="AC243" s="36">
        <v>2</v>
      </c>
      <c r="AD243" s="36">
        <v>4</v>
      </c>
      <c r="AE243" s="36">
        <v>1</v>
      </c>
      <c r="AF243" s="36">
        <v>2</v>
      </c>
      <c r="AG243" s="288">
        <v>0</v>
      </c>
      <c r="AZ243" s="39">
        <v>158</v>
      </c>
      <c r="BA243" s="105">
        <v>17</v>
      </c>
      <c r="BB243" s="100">
        <v>10</v>
      </c>
      <c r="BC243" s="100">
        <v>3</v>
      </c>
      <c r="BD243" s="100">
        <v>7</v>
      </c>
      <c r="BE243" s="100">
        <v>4</v>
      </c>
      <c r="BF243" s="100">
        <v>2</v>
      </c>
      <c r="BG243" s="100">
        <v>13</v>
      </c>
      <c r="BH243" s="341">
        <v>0.73370916011677412</v>
      </c>
      <c r="BI243" s="341">
        <v>5.6439166162828798E-2</v>
      </c>
      <c r="BJ243" s="342">
        <v>0.366854580058387</v>
      </c>
    </row>
    <row r="244" spans="27:62" s="3" customFormat="1" ht="18" customHeight="1" x14ac:dyDescent="0.2">
      <c r="AA244" s="39">
        <v>159</v>
      </c>
      <c r="AB244" s="35">
        <v>16</v>
      </c>
      <c r="AC244" s="36">
        <v>2</v>
      </c>
      <c r="AD244" s="36">
        <v>4</v>
      </c>
      <c r="AE244" s="36">
        <v>1</v>
      </c>
      <c r="AF244" s="36">
        <v>3</v>
      </c>
      <c r="AG244" s="288">
        <v>0.101121408916805</v>
      </c>
      <c r="AZ244" s="39">
        <v>159</v>
      </c>
      <c r="BA244" s="105">
        <v>17</v>
      </c>
      <c r="BB244" s="100">
        <v>10</v>
      </c>
      <c r="BC244" s="100">
        <v>4</v>
      </c>
      <c r="BD244" s="100">
        <v>7</v>
      </c>
      <c r="BE244" s="100">
        <v>4</v>
      </c>
      <c r="BF244" s="100">
        <v>2</v>
      </c>
      <c r="BG244" s="100">
        <v>13</v>
      </c>
      <c r="BH244" s="341">
        <v>0.69849411464925204</v>
      </c>
      <c r="BI244" s="341">
        <v>5.3730316511480913E-2</v>
      </c>
      <c r="BJ244" s="342">
        <v>0.34924705732462602</v>
      </c>
    </row>
    <row r="245" spans="27:62" s="3" customFormat="1" ht="18" customHeight="1" x14ac:dyDescent="0.2">
      <c r="AA245" s="39">
        <v>160</v>
      </c>
      <c r="AB245" s="35">
        <v>16</v>
      </c>
      <c r="AC245" s="36">
        <v>2</v>
      </c>
      <c r="AD245" s="36">
        <v>4</v>
      </c>
      <c r="AE245" s="36">
        <v>1</v>
      </c>
      <c r="AF245" s="36">
        <v>4</v>
      </c>
      <c r="AG245" s="288">
        <v>0.100976864887819</v>
      </c>
      <c r="AZ245" s="39">
        <v>160</v>
      </c>
      <c r="BA245" s="105">
        <v>17</v>
      </c>
      <c r="BB245" s="100">
        <v>2</v>
      </c>
      <c r="BC245" s="100">
        <v>3</v>
      </c>
      <c r="BD245" s="100">
        <v>7</v>
      </c>
      <c r="BE245" s="100">
        <v>4</v>
      </c>
      <c r="BF245" s="100">
        <v>2</v>
      </c>
      <c r="BG245" s="100">
        <v>13</v>
      </c>
      <c r="BH245" s="341">
        <v>0.73359669514078096</v>
      </c>
      <c r="BI245" s="341">
        <v>5.6430515010829303E-2</v>
      </c>
      <c r="BJ245" s="342">
        <v>0.36679834757038998</v>
      </c>
    </row>
    <row r="246" spans="27:62" s="3" customFormat="1" ht="18" customHeight="1" x14ac:dyDescent="0.2">
      <c r="AA246" s="39">
        <v>161</v>
      </c>
      <c r="AB246" s="35">
        <v>16</v>
      </c>
      <c r="AC246" s="36">
        <v>4</v>
      </c>
      <c r="AD246" s="36">
        <v>4</v>
      </c>
      <c r="AE246" s="36">
        <v>1</v>
      </c>
      <c r="AF246" s="36">
        <v>1</v>
      </c>
      <c r="AG246" s="288">
        <v>0</v>
      </c>
      <c r="AZ246" s="39">
        <v>161</v>
      </c>
      <c r="BA246" s="105">
        <v>17</v>
      </c>
      <c r="BB246" s="100">
        <v>2</v>
      </c>
      <c r="BC246" s="100">
        <v>4</v>
      </c>
      <c r="BD246" s="100">
        <v>7</v>
      </c>
      <c r="BE246" s="100">
        <v>4</v>
      </c>
      <c r="BF246" s="100">
        <v>2</v>
      </c>
      <c r="BG246" s="100">
        <v>13</v>
      </c>
      <c r="BH246" s="341">
        <v>0.69838973156980211</v>
      </c>
      <c r="BI246" s="341">
        <v>5.3722287043830898E-2</v>
      </c>
      <c r="BJ246" s="342">
        <v>0.34919486578490111</v>
      </c>
    </row>
    <row r="247" spans="27:62" s="3" customFormat="1" ht="18" customHeight="1" x14ac:dyDescent="0.2">
      <c r="AA247" s="39">
        <v>162</v>
      </c>
      <c r="AB247" s="35">
        <v>16</v>
      </c>
      <c r="AC247" s="36">
        <v>4</v>
      </c>
      <c r="AD247" s="36">
        <v>4</v>
      </c>
      <c r="AE247" s="36">
        <v>1</v>
      </c>
      <c r="AF247" s="36">
        <v>2</v>
      </c>
      <c r="AG247" s="288">
        <v>0</v>
      </c>
      <c r="AZ247" s="39">
        <v>162</v>
      </c>
      <c r="BA247" s="105">
        <v>17</v>
      </c>
      <c r="BB247" s="100">
        <v>3</v>
      </c>
      <c r="BC247" s="100">
        <v>3</v>
      </c>
      <c r="BD247" s="100">
        <v>7</v>
      </c>
      <c r="BE247" s="100">
        <v>4</v>
      </c>
      <c r="BF247" s="100">
        <v>2</v>
      </c>
      <c r="BG247" s="100">
        <v>13</v>
      </c>
      <c r="BH247" s="341">
        <v>0.73440610522350103</v>
      </c>
      <c r="BI247" s="341">
        <v>5.6492777324884703E-2</v>
      </c>
      <c r="BJ247" s="342">
        <v>0.36720305261175001</v>
      </c>
    </row>
    <row r="248" spans="27:62" s="3" customFormat="1" ht="18" customHeight="1" x14ac:dyDescent="0.2">
      <c r="AA248" s="39">
        <v>163</v>
      </c>
      <c r="AB248" s="35">
        <v>16</v>
      </c>
      <c r="AC248" s="36">
        <v>4</v>
      </c>
      <c r="AD248" s="36">
        <v>4</v>
      </c>
      <c r="AE248" s="36">
        <v>1</v>
      </c>
      <c r="AF248" s="36">
        <v>3</v>
      </c>
      <c r="AG248" s="288">
        <v>0.101220481091555</v>
      </c>
      <c r="AZ248" s="39">
        <v>163</v>
      </c>
      <c r="BA248" s="105">
        <v>17</v>
      </c>
      <c r="BB248" s="100">
        <v>3</v>
      </c>
      <c r="BC248" s="100">
        <v>4</v>
      </c>
      <c r="BD248" s="100">
        <v>7</v>
      </c>
      <c r="BE248" s="100">
        <v>4</v>
      </c>
      <c r="BF248" s="100">
        <v>2</v>
      </c>
      <c r="BG248" s="100">
        <v>13</v>
      </c>
      <c r="BH248" s="341">
        <v>0.69914096842863416</v>
      </c>
      <c r="BI248" s="341">
        <v>5.3780074494510298E-2</v>
      </c>
      <c r="BJ248" s="342">
        <v>0.34957048421431708</v>
      </c>
    </row>
    <row r="249" spans="27:62" s="3" customFormat="1" ht="18" customHeight="1" x14ac:dyDescent="0.2">
      <c r="AA249" s="39">
        <v>164</v>
      </c>
      <c r="AB249" s="35">
        <v>16</v>
      </c>
      <c r="AC249" s="36">
        <v>4</v>
      </c>
      <c r="AD249" s="36">
        <v>4</v>
      </c>
      <c r="AE249" s="36">
        <v>1</v>
      </c>
      <c r="AF249" s="36">
        <v>4</v>
      </c>
      <c r="AG249" s="288">
        <v>0.101074641970145</v>
      </c>
      <c r="AZ249" s="39">
        <v>164</v>
      </c>
      <c r="BA249" s="105">
        <v>17</v>
      </c>
      <c r="BB249" s="100">
        <v>4</v>
      </c>
      <c r="BC249" s="100">
        <v>3</v>
      </c>
      <c r="BD249" s="100">
        <v>7</v>
      </c>
      <c r="BE249" s="100">
        <v>4</v>
      </c>
      <c r="BF249" s="100">
        <v>2</v>
      </c>
      <c r="BG249" s="100">
        <v>13</v>
      </c>
      <c r="BH249" s="341">
        <v>0.73492392189682698</v>
      </c>
      <c r="BI249" s="341">
        <v>5.6532609376678998E-2</v>
      </c>
      <c r="BJ249" s="342">
        <v>0.36746196094841299</v>
      </c>
    </row>
    <row r="250" spans="27:62" s="3" customFormat="1" ht="18" customHeight="1" x14ac:dyDescent="0.2">
      <c r="AA250" s="39">
        <v>165</v>
      </c>
      <c r="AB250" s="35">
        <v>16</v>
      </c>
      <c r="AC250" s="36">
        <v>7</v>
      </c>
      <c r="AD250" s="36">
        <v>4</v>
      </c>
      <c r="AE250" s="36">
        <v>1</v>
      </c>
      <c r="AF250" s="36">
        <v>1</v>
      </c>
      <c r="AG250" s="288">
        <v>0</v>
      </c>
      <c r="AZ250" s="39">
        <v>165</v>
      </c>
      <c r="BA250" s="105">
        <v>17</v>
      </c>
      <c r="BB250" s="100">
        <v>4</v>
      </c>
      <c r="BC250" s="100">
        <v>4</v>
      </c>
      <c r="BD250" s="100">
        <v>7</v>
      </c>
      <c r="BE250" s="100">
        <v>4</v>
      </c>
      <c r="BF250" s="100">
        <v>2</v>
      </c>
      <c r="BG250" s="100">
        <v>13</v>
      </c>
      <c r="BH250" s="341">
        <v>0.69962155953584404</v>
      </c>
      <c r="BI250" s="341">
        <v>5.3817043041218697E-2</v>
      </c>
      <c r="BJ250" s="342">
        <v>0.34981077976792202</v>
      </c>
    </row>
    <row r="251" spans="27:62" s="3" customFormat="1" ht="18" customHeight="1" x14ac:dyDescent="0.2">
      <c r="AA251" s="39">
        <v>166</v>
      </c>
      <c r="AB251" s="35">
        <v>16</v>
      </c>
      <c r="AC251" s="36">
        <v>7</v>
      </c>
      <c r="AD251" s="36">
        <v>4</v>
      </c>
      <c r="AE251" s="36">
        <v>1</v>
      </c>
      <c r="AF251" s="36">
        <v>2</v>
      </c>
      <c r="AG251" s="288">
        <v>0</v>
      </c>
      <c r="AZ251" s="39">
        <v>166</v>
      </c>
      <c r="BA251" s="105">
        <v>17</v>
      </c>
      <c r="BB251" s="100">
        <v>5</v>
      </c>
      <c r="BC251" s="100">
        <v>3</v>
      </c>
      <c r="BD251" s="100">
        <v>7</v>
      </c>
      <c r="BE251" s="100">
        <v>4</v>
      </c>
      <c r="BF251" s="100">
        <v>2</v>
      </c>
      <c r="BG251" s="100">
        <v>13</v>
      </c>
      <c r="BH251" s="341">
        <v>0.73589202014033306</v>
      </c>
      <c r="BI251" s="341">
        <v>5.6607078472333303E-2</v>
      </c>
      <c r="BJ251" s="342">
        <v>0.36794601007016697</v>
      </c>
    </row>
    <row r="252" spans="27:62" s="3" customFormat="1" ht="18" customHeight="1" x14ac:dyDescent="0.2">
      <c r="AA252" s="39">
        <v>167</v>
      </c>
      <c r="AB252" s="35">
        <v>16</v>
      </c>
      <c r="AC252" s="36">
        <v>7</v>
      </c>
      <c r="AD252" s="36">
        <v>4</v>
      </c>
      <c r="AE252" s="36">
        <v>1</v>
      </c>
      <c r="AF252" s="36">
        <v>3</v>
      </c>
      <c r="AG252" s="288">
        <v>0.101303810126881</v>
      </c>
      <c r="AZ252" s="39">
        <v>167</v>
      </c>
      <c r="BA252" s="105">
        <v>17</v>
      </c>
      <c r="BB252" s="100">
        <v>5</v>
      </c>
      <c r="BC252" s="100">
        <v>4</v>
      </c>
      <c r="BD252" s="100">
        <v>7</v>
      </c>
      <c r="BE252" s="100">
        <v>4</v>
      </c>
      <c r="BF252" s="100">
        <v>2</v>
      </c>
      <c r="BG252" s="100">
        <v>13</v>
      </c>
      <c r="BH252" s="341">
        <v>0.70052004174469007</v>
      </c>
      <c r="BI252" s="341">
        <v>5.3886157057283807E-2</v>
      </c>
      <c r="BJ252" s="342">
        <v>0.35026002087234498</v>
      </c>
    </row>
    <row r="253" spans="27:62" s="3" customFormat="1" ht="18" customHeight="1" x14ac:dyDescent="0.2">
      <c r="AA253" s="39">
        <v>168</v>
      </c>
      <c r="AB253" s="35">
        <v>16</v>
      </c>
      <c r="AC253" s="36">
        <v>7</v>
      </c>
      <c r="AD253" s="36">
        <v>4</v>
      </c>
      <c r="AE253" s="36">
        <v>1</v>
      </c>
      <c r="AF253" s="36">
        <v>4</v>
      </c>
      <c r="AG253" s="288">
        <v>0.10115687828879801</v>
      </c>
      <c r="AZ253" s="39">
        <v>168</v>
      </c>
      <c r="BA253" s="105">
        <v>17</v>
      </c>
      <c r="BB253" s="100">
        <v>6</v>
      </c>
      <c r="BC253" s="100">
        <v>3</v>
      </c>
      <c r="BD253" s="100">
        <v>7</v>
      </c>
      <c r="BE253" s="100">
        <v>4</v>
      </c>
      <c r="BF253" s="100">
        <v>2</v>
      </c>
      <c r="BG253" s="100">
        <v>13</v>
      </c>
      <c r="BH253" s="341">
        <v>0.73340764643548695</v>
      </c>
      <c r="BI253" s="341">
        <v>5.6415972802729697E-2</v>
      </c>
      <c r="BJ253" s="342">
        <v>0.36670382321774297</v>
      </c>
    </row>
    <row r="254" spans="27:62" s="3" customFormat="1" ht="18" customHeight="1" x14ac:dyDescent="0.2">
      <c r="AA254" s="39">
        <v>169</v>
      </c>
      <c r="AB254" s="35">
        <v>16</v>
      </c>
      <c r="AC254" s="36">
        <v>9</v>
      </c>
      <c r="AD254" s="36">
        <v>4</v>
      </c>
      <c r="AE254" s="36">
        <v>1</v>
      </c>
      <c r="AF254" s="36">
        <v>1</v>
      </c>
      <c r="AG254" s="288">
        <v>0</v>
      </c>
      <c r="AZ254" s="39">
        <v>169</v>
      </c>
      <c r="BA254" s="105">
        <v>17</v>
      </c>
      <c r="BB254" s="100">
        <v>6</v>
      </c>
      <c r="BC254" s="100">
        <v>4</v>
      </c>
      <c r="BD254" s="100">
        <v>7</v>
      </c>
      <c r="BE254" s="100">
        <v>4</v>
      </c>
      <c r="BF254" s="100">
        <v>2</v>
      </c>
      <c r="BG254" s="100">
        <v>13</v>
      </c>
      <c r="BH254" s="341">
        <v>0.69821426740710313</v>
      </c>
      <c r="BI254" s="341">
        <v>5.3708789800546407E-2</v>
      </c>
      <c r="BJ254" s="342">
        <v>0.34910713370355201</v>
      </c>
    </row>
    <row r="255" spans="27:62" s="3" customFormat="1" ht="18" customHeight="1" x14ac:dyDescent="0.2">
      <c r="AA255" s="39">
        <v>170</v>
      </c>
      <c r="AB255" s="35">
        <v>16</v>
      </c>
      <c r="AC255" s="36">
        <v>9</v>
      </c>
      <c r="AD255" s="36">
        <v>4</v>
      </c>
      <c r="AE255" s="36">
        <v>1</v>
      </c>
      <c r="AF255" s="36">
        <v>2</v>
      </c>
      <c r="AG255" s="288">
        <v>0</v>
      </c>
      <c r="AZ255" s="39">
        <v>170</v>
      </c>
      <c r="BA255" s="105">
        <v>17</v>
      </c>
      <c r="BB255" s="100">
        <v>7</v>
      </c>
      <c r="BC255" s="100">
        <v>3</v>
      </c>
      <c r="BD255" s="100">
        <v>7</v>
      </c>
      <c r="BE255" s="100">
        <v>4</v>
      </c>
      <c r="BF255" s="100">
        <v>2</v>
      </c>
      <c r="BG255" s="100">
        <v>13</v>
      </c>
      <c r="BH255" s="341">
        <v>0.7360402314212231</v>
      </c>
      <c r="BI255" s="341">
        <v>5.6618479340094098E-2</v>
      </c>
      <c r="BJ255" s="342">
        <v>0.36802011571061211</v>
      </c>
    </row>
    <row r="256" spans="27:62" s="3" customFormat="1" ht="18" customHeight="1" x14ac:dyDescent="0.2">
      <c r="AA256" s="39">
        <v>171</v>
      </c>
      <c r="AB256" s="35">
        <v>16</v>
      </c>
      <c r="AC256" s="36">
        <v>9</v>
      </c>
      <c r="AD256" s="36">
        <v>4</v>
      </c>
      <c r="AE256" s="36">
        <v>1</v>
      </c>
      <c r="AF256" s="36">
        <v>3</v>
      </c>
      <c r="AG256" s="288">
        <v>0.10078363944635001</v>
      </c>
      <c r="AZ256" s="39">
        <v>171</v>
      </c>
      <c r="BA256" s="105">
        <v>17</v>
      </c>
      <c r="BB256" s="100">
        <v>7</v>
      </c>
      <c r="BC256" s="100">
        <v>4</v>
      </c>
      <c r="BD256" s="100">
        <v>7</v>
      </c>
      <c r="BE256" s="100">
        <v>4</v>
      </c>
      <c r="BF256" s="100">
        <v>2</v>
      </c>
      <c r="BG256" s="100">
        <v>13</v>
      </c>
      <c r="BH256" s="341">
        <v>0.70065759283893603</v>
      </c>
      <c r="BI256" s="341">
        <v>5.3896737910687408E-2</v>
      </c>
      <c r="BJ256" s="342">
        <v>0.35032879641946801</v>
      </c>
    </row>
    <row r="257" spans="27:62" s="3" customFormat="1" ht="18" customHeight="1" x14ac:dyDescent="0.2">
      <c r="AA257" s="39">
        <v>172</v>
      </c>
      <c r="AB257" s="35">
        <v>16</v>
      </c>
      <c r="AC257" s="36">
        <v>9</v>
      </c>
      <c r="AD257" s="36">
        <v>4</v>
      </c>
      <c r="AE257" s="36">
        <v>1</v>
      </c>
      <c r="AF257" s="36">
        <v>4</v>
      </c>
      <c r="AG257" s="288">
        <v>0.100643477382482</v>
      </c>
      <c r="AZ257" s="39">
        <v>172</v>
      </c>
      <c r="BA257" s="105">
        <v>17</v>
      </c>
      <c r="BB257" s="100">
        <v>8</v>
      </c>
      <c r="BC257" s="100">
        <v>3</v>
      </c>
      <c r="BD257" s="100">
        <v>7</v>
      </c>
      <c r="BE257" s="100">
        <v>4</v>
      </c>
      <c r="BF257" s="100">
        <v>2</v>
      </c>
      <c r="BG257" s="100">
        <v>13</v>
      </c>
      <c r="BH257" s="341">
        <v>0.73669611407569913</v>
      </c>
      <c r="BI257" s="341">
        <v>5.6668931851976898E-2</v>
      </c>
      <c r="BJ257" s="342">
        <v>0.36834805703785001</v>
      </c>
    </row>
    <row r="258" spans="27:62" s="3" customFormat="1" ht="18" customHeight="1" x14ac:dyDescent="0.2">
      <c r="AA258" s="39">
        <v>173</v>
      </c>
      <c r="AB258" s="35">
        <v>25</v>
      </c>
      <c r="AC258" s="36">
        <v>4</v>
      </c>
      <c r="AD258" s="36">
        <v>37</v>
      </c>
      <c r="AE258" s="36">
        <v>1</v>
      </c>
      <c r="AF258" s="36">
        <v>1</v>
      </c>
      <c r="AG258" s="288">
        <v>1.20436643395915</v>
      </c>
      <c r="AZ258" s="39">
        <v>173</v>
      </c>
      <c r="BA258" s="105">
        <v>17</v>
      </c>
      <c r="BB258" s="100">
        <v>8</v>
      </c>
      <c r="BC258" s="100">
        <v>4</v>
      </c>
      <c r="BD258" s="100">
        <v>7</v>
      </c>
      <c r="BE258" s="100">
        <v>4</v>
      </c>
      <c r="BF258" s="100">
        <v>2</v>
      </c>
      <c r="BG258" s="100">
        <v>13</v>
      </c>
      <c r="BH258" s="341">
        <v>0.70126629353121916</v>
      </c>
      <c r="BI258" s="341">
        <v>5.3943561040863001E-2</v>
      </c>
      <c r="BJ258" s="342">
        <v>0.35063314676561008</v>
      </c>
    </row>
    <row r="259" spans="27:62" s="3" customFormat="1" ht="18" customHeight="1" x14ac:dyDescent="0.2">
      <c r="AA259" s="39">
        <v>174</v>
      </c>
      <c r="AB259" s="35">
        <v>25</v>
      </c>
      <c r="AC259" s="36">
        <v>4</v>
      </c>
      <c r="AD259" s="36">
        <v>37</v>
      </c>
      <c r="AE259" s="36">
        <v>1</v>
      </c>
      <c r="AF259" s="36">
        <v>2</v>
      </c>
      <c r="AG259" s="288">
        <v>0.27169814701199801</v>
      </c>
      <c r="AZ259" s="39">
        <v>174</v>
      </c>
      <c r="BA259" s="105">
        <v>17</v>
      </c>
      <c r="BB259" s="100">
        <v>9</v>
      </c>
      <c r="BC259" s="100">
        <v>3</v>
      </c>
      <c r="BD259" s="100">
        <v>7</v>
      </c>
      <c r="BE259" s="100">
        <v>4</v>
      </c>
      <c r="BF259" s="100">
        <v>2</v>
      </c>
      <c r="BG259" s="100">
        <v>13</v>
      </c>
      <c r="BH259" s="341">
        <v>0.72907176720963707</v>
      </c>
      <c r="BI259" s="341">
        <v>5.6082443631510499E-2</v>
      </c>
      <c r="BJ259" s="342">
        <v>0.36453588360481798</v>
      </c>
    </row>
    <row r="260" spans="27:62" s="3" customFormat="1" ht="18" customHeight="1" x14ac:dyDescent="0.2">
      <c r="AA260" s="39">
        <v>175</v>
      </c>
      <c r="AB260" s="35">
        <v>25</v>
      </c>
      <c r="AC260" s="36">
        <v>4</v>
      </c>
      <c r="AD260" s="36">
        <v>37</v>
      </c>
      <c r="AE260" s="36">
        <v>1</v>
      </c>
      <c r="AF260" s="36">
        <v>3</v>
      </c>
      <c r="AG260" s="288">
        <v>2.2497951896705101E-11</v>
      </c>
      <c r="AZ260" s="39">
        <v>175</v>
      </c>
      <c r="BA260" s="105">
        <v>17</v>
      </c>
      <c r="BB260" s="100">
        <v>9</v>
      </c>
      <c r="BC260" s="100">
        <v>4</v>
      </c>
      <c r="BD260" s="100">
        <v>7</v>
      </c>
      <c r="BE260" s="100">
        <v>4</v>
      </c>
      <c r="BF260" s="100">
        <v>2</v>
      </c>
      <c r="BG260" s="100">
        <v>13</v>
      </c>
      <c r="BH260" s="341">
        <v>0.69418967983088498</v>
      </c>
      <c r="BI260" s="341">
        <v>5.3399206140837298E-2</v>
      </c>
      <c r="BJ260" s="342">
        <v>0.34709483991544299</v>
      </c>
    </row>
    <row r="261" spans="27:62" s="3" customFormat="1" ht="18" customHeight="1" x14ac:dyDescent="0.2">
      <c r="AA261" s="39">
        <v>176</v>
      </c>
      <c r="AB261" s="35">
        <v>25</v>
      </c>
      <c r="AC261" s="36">
        <v>4</v>
      </c>
      <c r="AD261" s="36">
        <v>37</v>
      </c>
      <c r="AE261" s="36">
        <v>1</v>
      </c>
      <c r="AF261" s="36">
        <v>4</v>
      </c>
      <c r="AG261" s="288">
        <v>1.55749035816692E-11</v>
      </c>
      <c r="AZ261" s="39">
        <v>176</v>
      </c>
      <c r="BA261" s="105">
        <v>18</v>
      </c>
      <c r="BB261" s="100">
        <v>1</v>
      </c>
      <c r="BC261" s="100">
        <v>3</v>
      </c>
      <c r="BD261" s="100">
        <v>7</v>
      </c>
      <c r="BE261" s="100">
        <v>4</v>
      </c>
      <c r="BF261" s="100">
        <v>2</v>
      </c>
      <c r="BG261" s="100">
        <v>13</v>
      </c>
      <c r="BH261" s="341">
        <v>0.73658335852302004</v>
      </c>
      <c r="BI261" s="341">
        <v>5.6660258347924597E-2</v>
      </c>
      <c r="BJ261" s="342">
        <v>0.36829167926151002</v>
      </c>
    </row>
    <row r="262" spans="27:62" s="3" customFormat="1" ht="18" customHeight="1" x14ac:dyDescent="0.2">
      <c r="AA262" s="39">
        <v>177</v>
      </c>
      <c r="AB262" s="35">
        <v>34</v>
      </c>
      <c r="AC262" s="36">
        <v>4</v>
      </c>
      <c r="AD262" s="36">
        <v>4</v>
      </c>
      <c r="AE262" s="36">
        <v>2</v>
      </c>
      <c r="AF262" s="36">
        <v>1</v>
      </c>
      <c r="AG262" s="288">
        <v>0</v>
      </c>
      <c r="AZ262" s="39">
        <v>177</v>
      </c>
      <c r="BA262" s="105">
        <v>18</v>
      </c>
      <c r="BB262" s="100">
        <v>1</v>
      </c>
      <c r="BC262" s="100">
        <v>4</v>
      </c>
      <c r="BD262" s="100">
        <v>7</v>
      </c>
      <c r="BE262" s="100">
        <v>4</v>
      </c>
      <c r="BF262" s="100">
        <v>2</v>
      </c>
      <c r="BG262" s="100">
        <v>13</v>
      </c>
      <c r="BH262" s="341">
        <v>0.70116165005735698</v>
      </c>
      <c r="BI262" s="341">
        <v>5.3935511542873613E-2</v>
      </c>
      <c r="BJ262" s="342">
        <v>0.35058082502867799</v>
      </c>
    </row>
    <row r="263" spans="27:62" s="3" customFormat="1" ht="18" customHeight="1" x14ac:dyDescent="0.2">
      <c r="AA263" s="39">
        <v>178</v>
      </c>
      <c r="AB263" s="35">
        <v>34</v>
      </c>
      <c r="AC263" s="36">
        <v>4</v>
      </c>
      <c r="AD263" s="36">
        <v>4</v>
      </c>
      <c r="AE263" s="36">
        <v>2</v>
      </c>
      <c r="AF263" s="36">
        <v>2</v>
      </c>
      <c r="AG263" s="288">
        <v>0</v>
      </c>
      <c r="AZ263" s="39">
        <v>178</v>
      </c>
      <c r="BA263" s="105">
        <v>18</v>
      </c>
      <c r="BB263" s="100">
        <v>10</v>
      </c>
      <c r="BC263" s="100">
        <v>3</v>
      </c>
      <c r="BD263" s="100">
        <v>7</v>
      </c>
      <c r="BE263" s="100">
        <v>4</v>
      </c>
      <c r="BF263" s="100">
        <v>2</v>
      </c>
      <c r="BG263" s="100">
        <v>13</v>
      </c>
      <c r="BH263" s="341">
        <v>0.73370916011677412</v>
      </c>
      <c r="BI263" s="341">
        <v>5.6439166162828798E-2</v>
      </c>
      <c r="BJ263" s="342">
        <v>0.366854580058387</v>
      </c>
    </row>
    <row r="264" spans="27:62" s="3" customFormat="1" ht="18" customHeight="1" x14ac:dyDescent="0.2">
      <c r="AA264" s="39">
        <v>179</v>
      </c>
      <c r="AB264" s="35">
        <v>34</v>
      </c>
      <c r="AC264" s="36">
        <v>4</v>
      </c>
      <c r="AD264" s="36">
        <v>4</v>
      </c>
      <c r="AE264" s="36">
        <v>2</v>
      </c>
      <c r="AF264" s="36">
        <v>3</v>
      </c>
      <c r="AG264" s="288">
        <v>0.30746432894154901</v>
      </c>
      <c r="AZ264" s="39">
        <v>179</v>
      </c>
      <c r="BA264" s="105">
        <v>18</v>
      </c>
      <c r="BB264" s="100">
        <v>10</v>
      </c>
      <c r="BC264" s="100">
        <v>4</v>
      </c>
      <c r="BD264" s="100">
        <v>7</v>
      </c>
      <c r="BE264" s="100">
        <v>4</v>
      </c>
      <c r="BF264" s="100">
        <v>2</v>
      </c>
      <c r="BG264" s="100">
        <v>13</v>
      </c>
      <c r="BH264" s="341">
        <v>0.69849411464925204</v>
      </c>
      <c r="BI264" s="341">
        <v>5.3730316511480913E-2</v>
      </c>
      <c r="BJ264" s="342">
        <v>0.34924705732462602</v>
      </c>
    </row>
    <row r="265" spans="27:62" s="3" customFormat="1" ht="18" customHeight="1" x14ac:dyDescent="0.2">
      <c r="AA265" s="39">
        <v>180</v>
      </c>
      <c r="AB265" s="35">
        <v>34</v>
      </c>
      <c r="AC265" s="36">
        <v>4</v>
      </c>
      <c r="AD265" s="36">
        <v>4</v>
      </c>
      <c r="AE265" s="36">
        <v>2</v>
      </c>
      <c r="AF265" s="36">
        <v>4</v>
      </c>
      <c r="AG265" s="288">
        <v>0.29944567452314402</v>
      </c>
      <c r="AZ265" s="39">
        <v>180</v>
      </c>
      <c r="BA265" s="105">
        <v>18</v>
      </c>
      <c r="BB265" s="100">
        <v>2</v>
      </c>
      <c r="BC265" s="100">
        <v>3</v>
      </c>
      <c r="BD265" s="100">
        <v>7</v>
      </c>
      <c r="BE265" s="100">
        <v>4</v>
      </c>
      <c r="BF265" s="100">
        <v>2</v>
      </c>
      <c r="BG265" s="100">
        <v>13</v>
      </c>
      <c r="BH265" s="341">
        <v>0.73359669514078096</v>
      </c>
      <c r="BI265" s="341">
        <v>5.6430515010829303E-2</v>
      </c>
      <c r="BJ265" s="342">
        <v>0.36679834757038998</v>
      </c>
    </row>
    <row r="266" spans="27:62" s="3" customFormat="1" ht="18" customHeight="1" x14ac:dyDescent="0.2">
      <c r="AA266" s="39">
        <v>181</v>
      </c>
      <c r="AB266" s="35">
        <v>34</v>
      </c>
      <c r="AC266" s="36">
        <v>7</v>
      </c>
      <c r="AD266" s="36">
        <v>4</v>
      </c>
      <c r="AE266" s="36">
        <v>2</v>
      </c>
      <c r="AF266" s="36">
        <v>1</v>
      </c>
      <c r="AG266" s="288">
        <v>0</v>
      </c>
      <c r="AZ266" s="39">
        <v>181</v>
      </c>
      <c r="BA266" s="105">
        <v>18</v>
      </c>
      <c r="BB266" s="100">
        <v>2</v>
      </c>
      <c r="BC266" s="100">
        <v>4</v>
      </c>
      <c r="BD266" s="100">
        <v>7</v>
      </c>
      <c r="BE266" s="100">
        <v>4</v>
      </c>
      <c r="BF266" s="100">
        <v>2</v>
      </c>
      <c r="BG266" s="100">
        <v>13</v>
      </c>
      <c r="BH266" s="341">
        <v>0.69838973156980211</v>
      </c>
      <c r="BI266" s="341">
        <v>5.3722287043830898E-2</v>
      </c>
      <c r="BJ266" s="342">
        <v>0.34919486578490111</v>
      </c>
    </row>
    <row r="267" spans="27:62" s="3" customFormat="1" ht="18" customHeight="1" x14ac:dyDescent="0.2">
      <c r="AA267" s="39">
        <v>182</v>
      </c>
      <c r="AB267" s="35">
        <v>34</v>
      </c>
      <c r="AC267" s="36">
        <v>7</v>
      </c>
      <c r="AD267" s="36">
        <v>4</v>
      </c>
      <c r="AE267" s="36">
        <v>2</v>
      </c>
      <c r="AF267" s="36">
        <v>2</v>
      </c>
      <c r="AG267" s="288">
        <v>0</v>
      </c>
      <c r="AZ267" s="39">
        <v>182</v>
      </c>
      <c r="BA267" s="105">
        <v>18</v>
      </c>
      <c r="BB267" s="100">
        <v>3</v>
      </c>
      <c r="BC267" s="100">
        <v>3</v>
      </c>
      <c r="BD267" s="100">
        <v>7</v>
      </c>
      <c r="BE267" s="100">
        <v>4</v>
      </c>
      <c r="BF267" s="100">
        <v>2</v>
      </c>
      <c r="BG267" s="100">
        <v>13</v>
      </c>
      <c r="BH267" s="341">
        <v>0.73440610522350103</v>
      </c>
      <c r="BI267" s="341">
        <v>5.6492777324884703E-2</v>
      </c>
      <c r="BJ267" s="342">
        <v>0.36720305261175001</v>
      </c>
    </row>
    <row r="268" spans="27:62" s="3" customFormat="1" ht="18" customHeight="1" x14ac:dyDescent="0.2">
      <c r="AA268" s="39">
        <v>183</v>
      </c>
      <c r="AB268" s="35">
        <v>34</v>
      </c>
      <c r="AC268" s="36">
        <v>7</v>
      </c>
      <c r="AD268" s="36">
        <v>4</v>
      </c>
      <c r="AE268" s="36">
        <v>2</v>
      </c>
      <c r="AF268" s="36">
        <v>3</v>
      </c>
      <c r="AG268" s="288">
        <v>0.30763432751750208</v>
      </c>
      <c r="AZ268" s="39">
        <v>183</v>
      </c>
      <c r="BA268" s="105">
        <v>18</v>
      </c>
      <c r="BB268" s="100">
        <v>3</v>
      </c>
      <c r="BC268" s="100">
        <v>4</v>
      </c>
      <c r="BD268" s="100">
        <v>7</v>
      </c>
      <c r="BE268" s="100">
        <v>4</v>
      </c>
      <c r="BF268" s="100">
        <v>2</v>
      </c>
      <c r="BG268" s="100">
        <v>13</v>
      </c>
      <c r="BH268" s="341">
        <v>0.69914096842863416</v>
      </c>
      <c r="BI268" s="341">
        <v>5.3780074494510298E-2</v>
      </c>
      <c r="BJ268" s="342">
        <v>0.34957048421431708</v>
      </c>
    </row>
    <row r="269" spans="27:62" s="3" customFormat="1" ht="18" customHeight="1" x14ac:dyDescent="0.2">
      <c r="AA269" s="39">
        <v>184</v>
      </c>
      <c r="AB269" s="35">
        <v>34</v>
      </c>
      <c r="AC269" s="36">
        <v>7</v>
      </c>
      <c r="AD269" s="36">
        <v>4</v>
      </c>
      <c r="AE269" s="36">
        <v>2</v>
      </c>
      <c r="AF269" s="36">
        <v>4</v>
      </c>
      <c r="AG269" s="288">
        <v>0.29960680765313707</v>
      </c>
      <c r="AZ269" s="39">
        <v>184</v>
      </c>
      <c r="BA269" s="105">
        <v>18</v>
      </c>
      <c r="BB269" s="100">
        <v>4</v>
      </c>
      <c r="BC269" s="100">
        <v>3</v>
      </c>
      <c r="BD269" s="100">
        <v>7</v>
      </c>
      <c r="BE269" s="100">
        <v>4</v>
      </c>
      <c r="BF269" s="100">
        <v>2</v>
      </c>
      <c r="BG269" s="100">
        <v>13</v>
      </c>
      <c r="BH269" s="341">
        <v>0.73492392189682698</v>
      </c>
      <c r="BI269" s="341">
        <v>5.6532609376678998E-2</v>
      </c>
      <c r="BJ269" s="342">
        <v>0.36746196094841299</v>
      </c>
    </row>
    <row r="270" spans="27:62" s="3" customFormat="1" ht="18" customHeight="1" x14ac:dyDescent="0.2">
      <c r="AA270" s="39">
        <v>185</v>
      </c>
      <c r="AB270" s="35">
        <v>34</v>
      </c>
      <c r="AC270" s="36">
        <v>9</v>
      </c>
      <c r="AD270" s="36">
        <v>4</v>
      </c>
      <c r="AE270" s="36">
        <v>2</v>
      </c>
      <c r="AF270" s="36">
        <v>1</v>
      </c>
      <c r="AG270" s="288">
        <v>0</v>
      </c>
      <c r="AZ270" s="39">
        <v>185</v>
      </c>
      <c r="BA270" s="105">
        <v>18</v>
      </c>
      <c r="BB270" s="100">
        <v>4</v>
      </c>
      <c r="BC270" s="100">
        <v>4</v>
      </c>
      <c r="BD270" s="100">
        <v>7</v>
      </c>
      <c r="BE270" s="100">
        <v>4</v>
      </c>
      <c r="BF270" s="100">
        <v>2</v>
      </c>
      <c r="BG270" s="100">
        <v>13</v>
      </c>
      <c r="BH270" s="341">
        <v>0.69962155953584404</v>
      </c>
      <c r="BI270" s="341">
        <v>5.3817043041218697E-2</v>
      </c>
      <c r="BJ270" s="342">
        <v>0.34981077976792202</v>
      </c>
    </row>
    <row r="271" spans="27:62" s="3" customFormat="1" ht="18" customHeight="1" x14ac:dyDescent="0.2">
      <c r="AA271" s="39">
        <v>186</v>
      </c>
      <c r="AB271" s="35">
        <v>34</v>
      </c>
      <c r="AC271" s="36">
        <v>9</v>
      </c>
      <c r="AD271" s="36">
        <v>4</v>
      </c>
      <c r="AE271" s="36">
        <v>2</v>
      </c>
      <c r="AF271" s="36">
        <v>2</v>
      </c>
      <c r="AG271" s="288">
        <v>0</v>
      </c>
      <c r="AZ271" s="39">
        <v>186</v>
      </c>
      <c r="BA271" s="105">
        <v>18</v>
      </c>
      <c r="BB271" s="100">
        <v>5</v>
      </c>
      <c r="BC271" s="100">
        <v>3</v>
      </c>
      <c r="BD271" s="100">
        <v>7</v>
      </c>
      <c r="BE271" s="100">
        <v>4</v>
      </c>
      <c r="BF271" s="100">
        <v>2</v>
      </c>
      <c r="BG271" s="100">
        <v>13</v>
      </c>
      <c r="BH271" s="341">
        <v>0.73589202014033306</v>
      </c>
      <c r="BI271" s="341">
        <v>5.6607078472333303E-2</v>
      </c>
      <c r="BJ271" s="342">
        <v>0.36794601007016697</v>
      </c>
    </row>
    <row r="272" spans="27:62" s="3" customFormat="1" ht="18" customHeight="1" x14ac:dyDescent="0.2">
      <c r="AA272" s="39">
        <v>187</v>
      </c>
      <c r="AB272" s="35">
        <v>34</v>
      </c>
      <c r="AC272" s="36">
        <v>9</v>
      </c>
      <c r="AD272" s="36">
        <v>4</v>
      </c>
      <c r="AE272" s="36">
        <v>2</v>
      </c>
      <c r="AF272" s="36">
        <v>3</v>
      </c>
      <c r="AG272" s="288">
        <v>0.30657310631109908</v>
      </c>
      <c r="AZ272" s="39">
        <v>187</v>
      </c>
      <c r="BA272" s="105">
        <v>18</v>
      </c>
      <c r="BB272" s="100">
        <v>5</v>
      </c>
      <c r="BC272" s="100">
        <v>4</v>
      </c>
      <c r="BD272" s="100">
        <v>7</v>
      </c>
      <c r="BE272" s="100">
        <v>4</v>
      </c>
      <c r="BF272" s="100">
        <v>2</v>
      </c>
      <c r="BG272" s="100">
        <v>13</v>
      </c>
      <c r="BH272" s="341">
        <v>0.70052004174469007</v>
      </c>
      <c r="BI272" s="341">
        <v>5.3886157057283807E-2</v>
      </c>
      <c r="BJ272" s="342">
        <v>0.35026002087234498</v>
      </c>
    </row>
    <row r="273" spans="27:62" s="3" customFormat="1" ht="18" customHeight="1" x14ac:dyDescent="0.2">
      <c r="AA273" s="39">
        <v>188</v>
      </c>
      <c r="AB273" s="35">
        <v>34</v>
      </c>
      <c r="AC273" s="36">
        <v>9</v>
      </c>
      <c r="AD273" s="36">
        <v>4</v>
      </c>
      <c r="AE273" s="36">
        <v>2</v>
      </c>
      <c r="AF273" s="36">
        <v>4</v>
      </c>
      <c r="AG273" s="288">
        <v>0.298600890315595</v>
      </c>
      <c r="AZ273" s="39">
        <v>188</v>
      </c>
      <c r="BA273" s="105">
        <v>18</v>
      </c>
      <c r="BB273" s="100">
        <v>6</v>
      </c>
      <c r="BC273" s="100">
        <v>3</v>
      </c>
      <c r="BD273" s="100">
        <v>7</v>
      </c>
      <c r="BE273" s="100">
        <v>4</v>
      </c>
      <c r="BF273" s="100">
        <v>2</v>
      </c>
      <c r="BG273" s="100">
        <v>13</v>
      </c>
      <c r="BH273" s="341">
        <v>0.73340764643548695</v>
      </c>
      <c r="BI273" s="341">
        <v>5.6415972802729697E-2</v>
      </c>
      <c r="BJ273" s="342">
        <v>0.36670382321774297</v>
      </c>
    </row>
    <row r="274" spans="27:62" s="3" customFormat="1" ht="18" customHeight="1" x14ac:dyDescent="0.2">
      <c r="AA274" s="39">
        <v>189</v>
      </c>
      <c r="AB274" s="35">
        <v>82</v>
      </c>
      <c r="AC274" s="36">
        <v>4</v>
      </c>
      <c r="AD274" s="36">
        <v>4</v>
      </c>
      <c r="AE274" s="36">
        <v>3</v>
      </c>
      <c r="AF274" s="36">
        <v>1</v>
      </c>
      <c r="AG274" s="288">
        <v>0</v>
      </c>
      <c r="AZ274" s="39">
        <v>189</v>
      </c>
      <c r="BA274" s="105">
        <v>18</v>
      </c>
      <c r="BB274" s="100">
        <v>6</v>
      </c>
      <c r="BC274" s="100">
        <v>4</v>
      </c>
      <c r="BD274" s="100">
        <v>7</v>
      </c>
      <c r="BE274" s="100">
        <v>4</v>
      </c>
      <c r="BF274" s="100">
        <v>2</v>
      </c>
      <c r="BG274" s="100">
        <v>13</v>
      </c>
      <c r="BH274" s="341">
        <v>0.69821426740710313</v>
      </c>
      <c r="BI274" s="341">
        <v>5.3708789800546407E-2</v>
      </c>
      <c r="BJ274" s="342">
        <v>0.34910713370355201</v>
      </c>
    </row>
    <row r="275" spans="27:62" s="3" customFormat="1" ht="18" customHeight="1" x14ac:dyDescent="0.2">
      <c r="AA275" s="39">
        <v>190</v>
      </c>
      <c r="AB275" s="35">
        <v>82</v>
      </c>
      <c r="AC275" s="36">
        <v>4</v>
      </c>
      <c r="AD275" s="36">
        <v>4</v>
      </c>
      <c r="AE275" s="36">
        <v>3</v>
      </c>
      <c r="AF275" s="36">
        <v>2</v>
      </c>
      <c r="AG275" s="288">
        <v>0</v>
      </c>
      <c r="AZ275" s="39">
        <v>190</v>
      </c>
      <c r="BA275" s="105">
        <v>18</v>
      </c>
      <c r="BB275" s="100">
        <v>7</v>
      </c>
      <c r="BC275" s="100">
        <v>3</v>
      </c>
      <c r="BD275" s="100">
        <v>7</v>
      </c>
      <c r="BE275" s="100">
        <v>4</v>
      </c>
      <c r="BF275" s="100">
        <v>2</v>
      </c>
      <c r="BG275" s="100">
        <v>13</v>
      </c>
      <c r="BH275" s="341">
        <v>0.7360402314212231</v>
      </c>
      <c r="BI275" s="341">
        <v>5.6618479340094098E-2</v>
      </c>
      <c r="BJ275" s="342">
        <v>0.36802011571061211</v>
      </c>
    </row>
    <row r="276" spans="27:62" s="3" customFormat="1" ht="18" customHeight="1" x14ac:dyDescent="0.2">
      <c r="AA276" s="39">
        <v>191</v>
      </c>
      <c r="AB276" s="35">
        <v>82</v>
      </c>
      <c r="AC276" s="36">
        <v>4</v>
      </c>
      <c r="AD276" s="36">
        <v>4</v>
      </c>
      <c r="AE276" s="36">
        <v>3</v>
      </c>
      <c r="AF276" s="36">
        <v>3</v>
      </c>
      <c r="AG276" s="288">
        <v>0.93493784254936618</v>
      </c>
      <c r="AZ276" s="39">
        <v>191</v>
      </c>
      <c r="BA276" s="105">
        <v>18</v>
      </c>
      <c r="BB276" s="100">
        <v>7</v>
      </c>
      <c r="BC276" s="100">
        <v>4</v>
      </c>
      <c r="BD276" s="100">
        <v>7</v>
      </c>
      <c r="BE276" s="100">
        <v>4</v>
      </c>
      <c r="BF276" s="100">
        <v>2</v>
      </c>
      <c r="BG276" s="100">
        <v>13</v>
      </c>
      <c r="BH276" s="341">
        <v>0.70065759283893603</v>
      </c>
      <c r="BI276" s="341">
        <v>5.3896737910687408E-2</v>
      </c>
      <c r="BJ276" s="342">
        <v>0.35032879641946801</v>
      </c>
    </row>
    <row r="277" spans="27:62" s="3" customFormat="1" ht="18.5" customHeight="1" x14ac:dyDescent="0.2">
      <c r="AA277" s="56">
        <v>192</v>
      </c>
      <c r="AB277" s="32">
        <v>82</v>
      </c>
      <c r="AC277" s="33">
        <v>4</v>
      </c>
      <c r="AD277" s="33">
        <v>4</v>
      </c>
      <c r="AE277" s="33">
        <v>3</v>
      </c>
      <c r="AF277" s="33">
        <v>4</v>
      </c>
      <c r="AG277" s="291">
        <v>0.88473849466178411</v>
      </c>
      <c r="AZ277" s="39">
        <v>192</v>
      </c>
      <c r="BA277" s="105">
        <v>18</v>
      </c>
      <c r="BB277" s="100">
        <v>8</v>
      </c>
      <c r="BC277" s="100">
        <v>3</v>
      </c>
      <c r="BD277" s="100">
        <v>7</v>
      </c>
      <c r="BE277" s="100">
        <v>4</v>
      </c>
      <c r="BF277" s="100">
        <v>2</v>
      </c>
      <c r="BG277" s="100">
        <v>13</v>
      </c>
      <c r="BH277" s="341">
        <v>0.73669611407569913</v>
      </c>
      <c r="BI277" s="341">
        <v>5.6668931851976898E-2</v>
      </c>
      <c r="BJ277" s="342">
        <v>0.36834805703785001</v>
      </c>
    </row>
    <row r="278" spans="27:62" s="3" customFormat="1" ht="18.5" customHeight="1" x14ac:dyDescent="0.2">
      <c r="AZ278" s="39">
        <v>193</v>
      </c>
      <c r="BA278" s="105">
        <v>18</v>
      </c>
      <c r="BB278" s="100">
        <v>8</v>
      </c>
      <c r="BC278" s="100">
        <v>4</v>
      </c>
      <c r="BD278" s="100">
        <v>7</v>
      </c>
      <c r="BE278" s="100">
        <v>4</v>
      </c>
      <c r="BF278" s="100">
        <v>2</v>
      </c>
      <c r="BG278" s="100">
        <v>13</v>
      </c>
      <c r="BH278" s="341">
        <v>0.70126629353121916</v>
      </c>
      <c r="BI278" s="341">
        <v>5.3943561040863001E-2</v>
      </c>
      <c r="BJ278" s="342">
        <v>0.35063314676561008</v>
      </c>
    </row>
    <row r="279" spans="27:62" s="3" customFormat="1" ht="18" customHeight="1" x14ac:dyDescent="0.2">
      <c r="AZ279" s="39">
        <v>194</v>
      </c>
      <c r="BA279" s="105">
        <v>18</v>
      </c>
      <c r="BB279" s="100">
        <v>9</v>
      </c>
      <c r="BC279" s="100">
        <v>3</v>
      </c>
      <c r="BD279" s="100">
        <v>7</v>
      </c>
      <c r="BE279" s="100">
        <v>4</v>
      </c>
      <c r="BF279" s="100">
        <v>2</v>
      </c>
      <c r="BG279" s="100">
        <v>13</v>
      </c>
      <c r="BH279" s="341">
        <v>0.72907176720963707</v>
      </c>
      <c r="BI279" s="341">
        <v>5.6082443631510499E-2</v>
      </c>
      <c r="BJ279" s="342">
        <v>0.36453588360481798</v>
      </c>
    </row>
    <row r="280" spans="27:62" s="3" customFormat="1" ht="18" customHeight="1" x14ac:dyDescent="0.2">
      <c r="AZ280" s="39">
        <v>195</v>
      </c>
      <c r="BA280" s="105">
        <v>18</v>
      </c>
      <c r="BB280" s="100">
        <v>9</v>
      </c>
      <c r="BC280" s="100">
        <v>4</v>
      </c>
      <c r="BD280" s="100">
        <v>7</v>
      </c>
      <c r="BE280" s="100">
        <v>4</v>
      </c>
      <c r="BF280" s="100">
        <v>2</v>
      </c>
      <c r="BG280" s="100">
        <v>13</v>
      </c>
      <c r="BH280" s="341">
        <v>0.69418967983088498</v>
      </c>
      <c r="BI280" s="341">
        <v>5.3399206140837298E-2</v>
      </c>
      <c r="BJ280" s="342">
        <v>0.34709483991544299</v>
      </c>
    </row>
    <row r="281" spans="27:62" s="3" customFormat="1" ht="18" customHeight="1" x14ac:dyDescent="0.2">
      <c r="AZ281" s="39">
        <v>196</v>
      </c>
      <c r="BA281" s="105">
        <v>19</v>
      </c>
      <c r="BB281" s="100">
        <v>1</v>
      </c>
      <c r="BC281" s="100">
        <v>3</v>
      </c>
      <c r="BD281" s="100">
        <v>7</v>
      </c>
      <c r="BE281" s="100">
        <v>4</v>
      </c>
      <c r="BF281" s="100">
        <v>2</v>
      </c>
      <c r="BG281" s="100">
        <v>13</v>
      </c>
      <c r="BH281" s="341">
        <v>0.73658335852302004</v>
      </c>
      <c r="BI281" s="341">
        <v>5.6660258347924597E-2</v>
      </c>
      <c r="BJ281" s="342">
        <v>0.36829167926151002</v>
      </c>
    </row>
    <row r="282" spans="27:62" s="3" customFormat="1" ht="18" customHeight="1" x14ac:dyDescent="0.2">
      <c r="AZ282" s="39">
        <v>197</v>
      </c>
      <c r="BA282" s="105">
        <v>19</v>
      </c>
      <c r="BB282" s="100">
        <v>1</v>
      </c>
      <c r="BC282" s="100">
        <v>4</v>
      </c>
      <c r="BD282" s="100">
        <v>7</v>
      </c>
      <c r="BE282" s="100">
        <v>4</v>
      </c>
      <c r="BF282" s="100">
        <v>2</v>
      </c>
      <c r="BG282" s="100">
        <v>13</v>
      </c>
      <c r="BH282" s="341">
        <v>0.70116165005735698</v>
      </c>
      <c r="BI282" s="341">
        <v>5.3935511542873613E-2</v>
      </c>
      <c r="BJ282" s="342">
        <v>0.35058082502867799</v>
      </c>
    </row>
    <row r="283" spans="27:62" s="3" customFormat="1" ht="18" customHeight="1" x14ac:dyDescent="0.2">
      <c r="AZ283" s="39">
        <v>198</v>
      </c>
      <c r="BA283" s="105">
        <v>19</v>
      </c>
      <c r="BB283" s="100">
        <v>10</v>
      </c>
      <c r="BC283" s="100">
        <v>3</v>
      </c>
      <c r="BD283" s="100">
        <v>7</v>
      </c>
      <c r="BE283" s="100">
        <v>4</v>
      </c>
      <c r="BF283" s="100">
        <v>2</v>
      </c>
      <c r="BG283" s="100">
        <v>13</v>
      </c>
      <c r="BH283" s="341">
        <v>0.73370916011677412</v>
      </c>
      <c r="BI283" s="341">
        <v>5.6439166162828798E-2</v>
      </c>
      <c r="BJ283" s="342">
        <v>0.366854580058387</v>
      </c>
    </row>
    <row r="284" spans="27:62" s="3" customFormat="1" ht="18" customHeight="1" x14ac:dyDescent="0.2">
      <c r="AZ284" s="39">
        <v>199</v>
      </c>
      <c r="BA284" s="105">
        <v>19</v>
      </c>
      <c r="BB284" s="100">
        <v>10</v>
      </c>
      <c r="BC284" s="100">
        <v>4</v>
      </c>
      <c r="BD284" s="100">
        <v>7</v>
      </c>
      <c r="BE284" s="100">
        <v>4</v>
      </c>
      <c r="BF284" s="100">
        <v>2</v>
      </c>
      <c r="BG284" s="100">
        <v>13</v>
      </c>
      <c r="BH284" s="341">
        <v>0.69849411464925204</v>
      </c>
      <c r="BI284" s="341">
        <v>5.3730316511480913E-2</v>
      </c>
      <c r="BJ284" s="342">
        <v>0.34924705732462602</v>
      </c>
    </row>
    <row r="285" spans="27:62" s="3" customFormat="1" ht="18" customHeight="1" x14ac:dyDescent="0.2">
      <c r="AZ285" s="39">
        <v>200</v>
      </c>
      <c r="BA285" s="105">
        <v>19</v>
      </c>
      <c r="BB285" s="100">
        <v>2</v>
      </c>
      <c r="BC285" s="100">
        <v>3</v>
      </c>
      <c r="BD285" s="100">
        <v>7</v>
      </c>
      <c r="BE285" s="100">
        <v>4</v>
      </c>
      <c r="BF285" s="100">
        <v>2</v>
      </c>
      <c r="BG285" s="100">
        <v>13</v>
      </c>
      <c r="BH285" s="341">
        <v>0.73359669514078096</v>
      </c>
      <c r="BI285" s="341">
        <v>5.6430515010829303E-2</v>
      </c>
      <c r="BJ285" s="342">
        <v>0.36679834757038998</v>
      </c>
    </row>
    <row r="286" spans="27:62" s="3" customFormat="1" ht="18" customHeight="1" x14ac:dyDescent="0.2">
      <c r="AZ286" s="39">
        <v>201</v>
      </c>
      <c r="BA286" s="105">
        <v>19</v>
      </c>
      <c r="BB286" s="100">
        <v>2</v>
      </c>
      <c r="BC286" s="100">
        <v>4</v>
      </c>
      <c r="BD286" s="100">
        <v>7</v>
      </c>
      <c r="BE286" s="100">
        <v>4</v>
      </c>
      <c r="BF286" s="100">
        <v>2</v>
      </c>
      <c r="BG286" s="100">
        <v>13</v>
      </c>
      <c r="BH286" s="341">
        <v>0.69838973156980211</v>
      </c>
      <c r="BI286" s="341">
        <v>5.3722287043830898E-2</v>
      </c>
      <c r="BJ286" s="342">
        <v>0.34919486578490111</v>
      </c>
    </row>
    <row r="287" spans="27:62" s="3" customFormat="1" ht="18" customHeight="1" x14ac:dyDescent="0.2">
      <c r="AZ287" s="39">
        <v>202</v>
      </c>
      <c r="BA287" s="105">
        <v>19</v>
      </c>
      <c r="BB287" s="100">
        <v>3</v>
      </c>
      <c r="BC287" s="100">
        <v>3</v>
      </c>
      <c r="BD287" s="100">
        <v>7</v>
      </c>
      <c r="BE287" s="100">
        <v>4</v>
      </c>
      <c r="BF287" s="100">
        <v>2</v>
      </c>
      <c r="BG287" s="100">
        <v>13</v>
      </c>
      <c r="BH287" s="341">
        <v>0.73440610522350103</v>
      </c>
      <c r="BI287" s="341">
        <v>5.6492777324884703E-2</v>
      </c>
      <c r="BJ287" s="342">
        <v>0.36720305261175001</v>
      </c>
    </row>
    <row r="288" spans="27:62" s="3" customFormat="1" ht="18" customHeight="1" x14ac:dyDescent="0.2">
      <c r="AZ288" s="39">
        <v>203</v>
      </c>
      <c r="BA288" s="105">
        <v>19</v>
      </c>
      <c r="BB288" s="100">
        <v>3</v>
      </c>
      <c r="BC288" s="100">
        <v>4</v>
      </c>
      <c r="BD288" s="100">
        <v>7</v>
      </c>
      <c r="BE288" s="100">
        <v>4</v>
      </c>
      <c r="BF288" s="100">
        <v>2</v>
      </c>
      <c r="BG288" s="100">
        <v>13</v>
      </c>
      <c r="BH288" s="341">
        <v>0.69914096842863416</v>
      </c>
      <c r="BI288" s="341">
        <v>5.3780074494510298E-2</v>
      </c>
      <c r="BJ288" s="342">
        <v>0.34957048421431708</v>
      </c>
    </row>
    <row r="289" spans="52:62" s="3" customFormat="1" ht="18" customHeight="1" x14ac:dyDescent="0.2">
      <c r="AZ289" s="39">
        <v>204</v>
      </c>
      <c r="BA289" s="105">
        <v>19</v>
      </c>
      <c r="BB289" s="100">
        <v>4</v>
      </c>
      <c r="BC289" s="100">
        <v>3</v>
      </c>
      <c r="BD289" s="100">
        <v>7</v>
      </c>
      <c r="BE289" s="100">
        <v>4</v>
      </c>
      <c r="BF289" s="100">
        <v>2</v>
      </c>
      <c r="BG289" s="100">
        <v>13</v>
      </c>
      <c r="BH289" s="341">
        <v>0.73492392189682698</v>
      </c>
      <c r="BI289" s="341">
        <v>5.6532609376678998E-2</v>
      </c>
      <c r="BJ289" s="342">
        <v>0.36746196094841299</v>
      </c>
    </row>
    <row r="290" spans="52:62" s="3" customFormat="1" ht="18" customHeight="1" x14ac:dyDescent="0.2">
      <c r="AZ290" s="39">
        <v>205</v>
      </c>
      <c r="BA290" s="105">
        <v>19</v>
      </c>
      <c r="BB290" s="100">
        <v>4</v>
      </c>
      <c r="BC290" s="100">
        <v>4</v>
      </c>
      <c r="BD290" s="100">
        <v>7</v>
      </c>
      <c r="BE290" s="100">
        <v>4</v>
      </c>
      <c r="BF290" s="100">
        <v>2</v>
      </c>
      <c r="BG290" s="100">
        <v>13</v>
      </c>
      <c r="BH290" s="341">
        <v>0.69962155953584404</v>
      </c>
      <c r="BI290" s="341">
        <v>5.3817043041218697E-2</v>
      </c>
      <c r="BJ290" s="342">
        <v>0.34981077976792202</v>
      </c>
    </row>
    <row r="291" spans="52:62" s="3" customFormat="1" ht="18" customHeight="1" x14ac:dyDescent="0.2">
      <c r="AZ291" s="39">
        <v>206</v>
      </c>
      <c r="BA291" s="105">
        <v>19</v>
      </c>
      <c r="BB291" s="100">
        <v>5</v>
      </c>
      <c r="BC291" s="100">
        <v>3</v>
      </c>
      <c r="BD291" s="100">
        <v>7</v>
      </c>
      <c r="BE291" s="100">
        <v>4</v>
      </c>
      <c r="BF291" s="100">
        <v>2</v>
      </c>
      <c r="BG291" s="100">
        <v>13</v>
      </c>
      <c r="BH291" s="341">
        <v>0.73589202014033306</v>
      </c>
      <c r="BI291" s="341">
        <v>5.6607078472333303E-2</v>
      </c>
      <c r="BJ291" s="342">
        <v>0.36794601007016697</v>
      </c>
    </row>
    <row r="292" spans="52:62" s="3" customFormat="1" ht="18" customHeight="1" x14ac:dyDescent="0.2">
      <c r="AZ292" s="39">
        <v>207</v>
      </c>
      <c r="BA292" s="105">
        <v>19</v>
      </c>
      <c r="BB292" s="100">
        <v>5</v>
      </c>
      <c r="BC292" s="100">
        <v>4</v>
      </c>
      <c r="BD292" s="100">
        <v>7</v>
      </c>
      <c r="BE292" s="100">
        <v>4</v>
      </c>
      <c r="BF292" s="100">
        <v>2</v>
      </c>
      <c r="BG292" s="100">
        <v>13</v>
      </c>
      <c r="BH292" s="341">
        <v>0.70052004174469007</v>
      </c>
      <c r="BI292" s="341">
        <v>5.3886157057283807E-2</v>
      </c>
      <c r="BJ292" s="342">
        <v>0.35026002087234498</v>
      </c>
    </row>
    <row r="293" spans="52:62" s="3" customFormat="1" ht="18" customHeight="1" x14ac:dyDescent="0.2">
      <c r="AZ293" s="39">
        <v>208</v>
      </c>
      <c r="BA293" s="105">
        <v>19</v>
      </c>
      <c r="BB293" s="100">
        <v>6</v>
      </c>
      <c r="BC293" s="100">
        <v>3</v>
      </c>
      <c r="BD293" s="100">
        <v>7</v>
      </c>
      <c r="BE293" s="100">
        <v>4</v>
      </c>
      <c r="BF293" s="100">
        <v>2</v>
      </c>
      <c r="BG293" s="100">
        <v>13</v>
      </c>
      <c r="BH293" s="341">
        <v>0.73340764643548695</v>
      </c>
      <c r="BI293" s="341">
        <v>5.6415972802729697E-2</v>
      </c>
      <c r="BJ293" s="342">
        <v>0.36670382321774297</v>
      </c>
    </row>
    <row r="294" spans="52:62" s="3" customFormat="1" ht="18" customHeight="1" x14ac:dyDescent="0.2">
      <c r="AZ294" s="39">
        <v>209</v>
      </c>
      <c r="BA294" s="105">
        <v>19</v>
      </c>
      <c r="BB294" s="100">
        <v>6</v>
      </c>
      <c r="BC294" s="100">
        <v>4</v>
      </c>
      <c r="BD294" s="100">
        <v>7</v>
      </c>
      <c r="BE294" s="100">
        <v>4</v>
      </c>
      <c r="BF294" s="100">
        <v>2</v>
      </c>
      <c r="BG294" s="100">
        <v>13</v>
      </c>
      <c r="BH294" s="341">
        <v>0.69821426740710313</v>
      </c>
      <c r="BI294" s="341">
        <v>5.3708789800546407E-2</v>
      </c>
      <c r="BJ294" s="342">
        <v>0.34910713370355201</v>
      </c>
    </row>
    <row r="295" spans="52:62" s="3" customFormat="1" ht="18" customHeight="1" x14ac:dyDescent="0.2">
      <c r="AZ295" s="39">
        <v>210</v>
      </c>
      <c r="BA295" s="105">
        <v>19</v>
      </c>
      <c r="BB295" s="100">
        <v>7</v>
      </c>
      <c r="BC295" s="100">
        <v>3</v>
      </c>
      <c r="BD295" s="100">
        <v>7</v>
      </c>
      <c r="BE295" s="100">
        <v>4</v>
      </c>
      <c r="BF295" s="100">
        <v>2</v>
      </c>
      <c r="BG295" s="100">
        <v>13</v>
      </c>
      <c r="BH295" s="341">
        <v>0.7360402314212231</v>
      </c>
      <c r="BI295" s="341">
        <v>5.6618479340094098E-2</v>
      </c>
      <c r="BJ295" s="342">
        <v>0.36802011571061211</v>
      </c>
    </row>
    <row r="296" spans="52:62" s="3" customFormat="1" ht="18" customHeight="1" x14ac:dyDescent="0.2">
      <c r="AZ296" s="39">
        <v>211</v>
      </c>
      <c r="BA296" s="105">
        <v>19</v>
      </c>
      <c r="BB296" s="100">
        <v>7</v>
      </c>
      <c r="BC296" s="100">
        <v>4</v>
      </c>
      <c r="BD296" s="100">
        <v>7</v>
      </c>
      <c r="BE296" s="100">
        <v>4</v>
      </c>
      <c r="BF296" s="100">
        <v>2</v>
      </c>
      <c r="BG296" s="100">
        <v>13</v>
      </c>
      <c r="BH296" s="341">
        <v>0.70065759283893603</v>
      </c>
      <c r="BI296" s="341">
        <v>5.3896737910687408E-2</v>
      </c>
      <c r="BJ296" s="342">
        <v>0.35032879641946801</v>
      </c>
    </row>
    <row r="297" spans="52:62" s="3" customFormat="1" ht="18" customHeight="1" x14ac:dyDescent="0.2">
      <c r="AZ297" s="39">
        <v>212</v>
      </c>
      <c r="BA297" s="105">
        <v>19</v>
      </c>
      <c r="BB297" s="100">
        <v>8</v>
      </c>
      <c r="BC297" s="100">
        <v>3</v>
      </c>
      <c r="BD297" s="100">
        <v>7</v>
      </c>
      <c r="BE297" s="100">
        <v>4</v>
      </c>
      <c r="BF297" s="100">
        <v>2</v>
      </c>
      <c r="BG297" s="100">
        <v>13</v>
      </c>
      <c r="BH297" s="341">
        <v>0.73669611407569913</v>
      </c>
      <c r="BI297" s="341">
        <v>5.6668931851976898E-2</v>
      </c>
      <c r="BJ297" s="342">
        <v>0.36834805703785001</v>
      </c>
    </row>
    <row r="298" spans="52:62" s="3" customFormat="1" ht="18" customHeight="1" x14ac:dyDescent="0.2">
      <c r="AZ298" s="39">
        <v>213</v>
      </c>
      <c r="BA298" s="105">
        <v>19</v>
      </c>
      <c r="BB298" s="100">
        <v>8</v>
      </c>
      <c r="BC298" s="100">
        <v>4</v>
      </c>
      <c r="BD298" s="100">
        <v>7</v>
      </c>
      <c r="BE298" s="100">
        <v>4</v>
      </c>
      <c r="BF298" s="100">
        <v>2</v>
      </c>
      <c r="BG298" s="100">
        <v>13</v>
      </c>
      <c r="BH298" s="341">
        <v>0.70126629353121916</v>
      </c>
      <c r="BI298" s="341">
        <v>5.3943561040863001E-2</v>
      </c>
      <c r="BJ298" s="342">
        <v>0.35063314676561008</v>
      </c>
    </row>
    <row r="299" spans="52:62" s="3" customFormat="1" ht="18" customHeight="1" x14ac:dyDescent="0.2">
      <c r="AZ299" s="39">
        <v>214</v>
      </c>
      <c r="BA299" s="105">
        <v>19</v>
      </c>
      <c r="BB299" s="100">
        <v>9</v>
      </c>
      <c r="BC299" s="100">
        <v>3</v>
      </c>
      <c r="BD299" s="100">
        <v>7</v>
      </c>
      <c r="BE299" s="100">
        <v>4</v>
      </c>
      <c r="BF299" s="100">
        <v>2</v>
      </c>
      <c r="BG299" s="100">
        <v>13</v>
      </c>
      <c r="BH299" s="341">
        <v>0.72907176720963707</v>
      </c>
      <c r="BI299" s="341">
        <v>5.6082443631510499E-2</v>
      </c>
      <c r="BJ299" s="342">
        <v>0.36453588360481798</v>
      </c>
    </row>
    <row r="300" spans="52:62" s="3" customFormat="1" ht="18" customHeight="1" x14ac:dyDescent="0.2">
      <c r="AZ300" s="39">
        <v>215</v>
      </c>
      <c r="BA300" s="105">
        <v>19</v>
      </c>
      <c r="BB300" s="100">
        <v>9</v>
      </c>
      <c r="BC300" s="100">
        <v>4</v>
      </c>
      <c r="BD300" s="100">
        <v>7</v>
      </c>
      <c r="BE300" s="100">
        <v>4</v>
      </c>
      <c r="BF300" s="100">
        <v>2</v>
      </c>
      <c r="BG300" s="100">
        <v>13</v>
      </c>
      <c r="BH300" s="341">
        <v>0.69418967983088498</v>
      </c>
      <c r="BI300" s="341">
        <v>5.3399206140837298E-2</v>
      </c>
      <c r="BJ300" s="342">
        <v>0.34709483991544299</v>
      </c>
    </row>
    <row r="301" spans="52:62" s="3" customFormat="1" ht="18" customHeight="1" x14ac:dyDescent="0.2">
      <c r="AZ301" s="39">
        <v>216</v>
      </c>
      <c r="BA301" s="105">
        <v>20</v>
      </c>
      <c r="BB301" s="100">
        <v>1</v>
      </c>
      <c r="BC301" s="100">
        <v>3</v>
      </c>
      <c r="BD301" s="100">
        <v>1</v>
      </c>
      <c r="BE301" s="100">
        <v>4</v>
      </c>
      <c r="BF301" s="100">
        <v>2</v>
      </c>
      <c r="BG301" s="100">
        <v>5</v>
      </c>
      <c r="BH301" s="341">
        <v>0.44202097689152903</v>
      </c>
      <c r="BI301" s="341">
        <v>8.8404195378305919E-2</v>
      </c>
      <c r="BJ301" s="342">
        <v>0.22101048844576501</v>
      </c>
    </row>
    <row r="302" spans="52:62" s="3" customFormat="1" ht="18" customHeight="1" x14ac:dyDescent="0.2">
      <c r="AZ302" s="39">
        <v>217</v>
      </c>
      <c r="BA302" s="105">
        <v>20</v>
      </c>
      <c r="BB302" s="100">
        <v>1</v>
      </c>
      <c r="BC302" s="100">
        <v>4</v>
      </c>
      <c r="BD302" s="100">
        <v>1</v>
      </c>
      <c r="BE302" s="100">
        <v>4</v>
      </c>
      <c r="BF302" s="100">
        <v>2</v>
      </c>
      <c r="BG302" s="100">
        <v>5</v>
      </c>
      <c r="BH302" s="341">
        <v>0.42634934265484498</v>
      </c>
      <c r="BI302" s="341">
        <v>8.5269868530969004E-2</v>
      </c>
      <c r="BJ302" s="342">
        <v>0.21317467132742299</v>
      </c>
    </row>
    <row r="303" spans="52:62" s="3" customFormat="1" ht="18" customHeight="1" x14ac:dyDescent="0.2">
      <c r="AZ303" s="39">
        <v>218</v>
      </c>
      <c r="BA303" s="105">
        <v>20</v>
      </c>
      <c r="BB303" s="100">
        <v>2</v>
      </c>
      <c r="BC303" s="100">
        <v>3</v>
      </c>
      <c r="BD303" s="100">
        <v>1</v>
      </c>
      <c r="BE303" s="100">
        <v>4</v>
      </c>
      <c r="BF303" s="100">
        <v>2</v>
      </c>
      <c r="BG303" s="100">
        <v>5</v>
      </c>
      <c r="BH303" s="341">
        <v>0.44087876147899602</v>
      </c>
      <c r="BI303" s="341">
        <v>8.8175752295799298E-2</v>
      </c>
      <c r="BJ303" s="342">
        <v>0.22043938073949801</v>
      </c>
    </row>
    <row r="304" spans="52:62" s="3" customFormat="1" ht="18" customHeight="1" x14ac:dyDescent="0.2">
      <c r="AZ304" s="39">
        <v>219</v>
      </c>
      <c r="BA304" s="105">
        <v>20</v>
      </c>
      <c r="BB304" s="100">
        <v>2</v>
      </c>
      <c r="BC304" s="100">
        <v>4</v>
      </c>
      <c r="BD304" s="100">
        <v>1</v>
      </c>
      <c r="BE304" s="100">
        <v>4</v>
      </c>
      <c r="BF304" s="100">
        <v>2</v>
      </c>
      <c r="BG304" s="100">
        <v>5</v>
      </c>
      <c r="BH304" s="341">
        <v>0.42527671945879603</v>
      </c>
      <c r="BI304" s="341">
        <v>8.5055343891759103E-2</v>
      </c>
      <c r="BJ304" s="342">
        <v>0.21263835972939801</v>
      </c>
    </row>
    <row r="305" spans="52:62" s="3" customFormat="1" ht="18" customHeight="1" x14ac:dyDescent="0.2">
      <c r="AZ305" s="39">
        <v>220</v>
      </c>
      <c r="BA305" s="105">
        <v>20</v>
      </c>
      <c r="BB305" s="100">
        <v>4</v>
      </c>
      <c r="BC305" s="100">
        <v>3</v>
      </c>
      <c r="BD305" s="100">
        <v>1</v>
      </c>
      <c r="BE305" s="100">
        <v>4</v>
      </c>
      <c r="BF305" s="100">
        <v>2</v>
      </c>
      <c r="BG305" s="100">
        <v>5</v>
      </c>
      <c r="BH305" s="341">
        <v>0.44138634776445601</v>
      </c>
      <c r="BI305" s="341">
        <v>8.8277269552891294E-2</v>
      </c>
      <c r="BJ305" s="342">
        <v>0.22069317388222801</v>
      </c>
    </row>
    <row r="306" spans="52:62" s="3" customFormat="1" ht="18" customHeight="1" x14ac:dyDescent="0.2">
      <c r="AZ306" s="39">
        <v>221</v>
      </c>
      <c r="BA306" s="105">
        <v>20</v>
      </c>
      <c r="BB306" s="100">
        <v>4</v>
      </c>
      <c r="BC306" s="100">
        <v>4</v>
      </c>
      <c r="BD306" s="100">
        <v>1</v>
      </c>
      <c r="BE306" s="100">
        <v>4</v>
      </c>
      <c r="BF306" s="100">
        <v>2</v>
      </c>
      <c r="BG306" s="100">
        <v>5</v>
      </c>
      <c r="BH306" s="341">
        <v>0.42575338830533799</v>
      </c>
      <c r="BI306" s="341">
        <v>8.5150677661067611E-2</v>
      </c>
      <c r="BJ306" s="342">
        <v>0.21287669415266899</v>
      </c>
    </row>
    <row r="307" spans="52:62" s="3" customFormat="1" ht="18" customHeight="1" x14ac:dyDescent="0.2">
      <c r="AZ307" s="39">
        <v>222</v>
      </c>
      <c r="BA307" s="105">
        <v>20</v>
      </c>
      <c r="BB307" s="100">
        <v>6</v>
      </c>
      <c r="BC307" s="100">
        <v>3</v>
      </c>
      <c r="BD307" s="100">
        <v>1</v>
      </c>
      <c r="BE307" s="100">
        <v>4</v>
      </c>
      <c r="BF307" s="100">
        <v>2</v>
      </c>
      <c r="BG307" s="100">
        <v>5</v>
      </c>
      <c r="BH307" s="341">
        <v>0.44080646164974102</v>
      </c>
      <c r="BI307" s="341">
        <v>8.8161292329948196E-2</v>
      </c>
      <c r="BJ307" s="342">
        <v>0.22040323082487001</v>
      </c>
    </row>
    <row r="308" spans="52:62" s="3" customFormat="1" ht="18" customHeight="1" x14ac:dyDescent="0.2">
      <c r="AZ308" s="39">
        <v>223</v>
      </c>
      <c r="BA308" s="105">
        <v>20</v>
      </c>
      <c r="BB308" s="100">
        <v>6</v>
      </c>
      <c r="BC308" s="100">
        <v>4</v>
      </c>
      <c r="BD308" s="100">
        <v>1</v>
      </c>
      <c r="BE308" s="100">
        <v>4</v>
      </c>
      <c r="BF308" s="100">
        <v>2</v>
      </c>
      <c r="BG308" s="100">
        <v>5</v>
      </c>
      <c r="BH308" s="341">
        <v>0.42520882235631202</v>
      </c>
      <c r="BI308" s="341">
        <v>8.5041764471262313E-2</v>
      </c>
      <c r="BJ308" s="342">
        <v>0.21260441117815601</v>
      </c>
    </row>
    <row r="309" spans="52:62" s="3" customFormat="1" ht="18" customHeight="1" x14ac:dyDescent="0.2">
      <c r="AZ309" s="39">
        <v>224</v>
      </c>
      <c r="BA309" s="105">
        <v>20</v>
      </c>
      <c r="BB309" s="100">
        <v>7</v>
      </c>
      <c r="BC309" s="100">
        <v>3</v>
      </c>
      <c r="BD309" s="100">
        <v>1</v>
      </c>
      <c r="BE309" s="100">
        <v>4</v>
      </c>
      <c r="BF309" s="100">
        <v>2</v>
      </c>
      <c r="BG309" s="100">
        <v>5</v>
      </c>
      <c r="BH309" s="341">
        <v>0.44181326492267398</v>
      </c>
      <c r="BI309" s="341">
        <v>8.8362652984534704E-2</v>
      </c>
      <c r="BJ309" s="342">
        <v>0.22090663246133699</v>
      </c>
    </row>
    <row r="310" spans="52:62" s="3" customFormat="1" ht="18" customHeight="1" x14ac:dyDescent="0.2">
      <c r="AZ310" s="39">
        <v>225</v>
      </c>
      <c r="BA310" s="105">
        <v>20</v>
      </c>
      <c r="BB310" s="100">
        <v>7</v>
      </c>
      <c r="BC310" s="100">
        <v>4</v>
      </c>
      <c r="BD310" s="100">
        <v>1</v>
      </c>
      <c r="BE310" s="100">
        <v>4</v>
      </c>
      <c r="BF310" s="100">
        <v>2</v>
      </c>
      <c r="BG310" s="100">
        <v>5</v>
      </c>
      <c r="BH310" s="341">
        <v>0.42615429114960202</v>
      </c>
      <c r="BI310" s="341">
        <v>8.523085822992052E-2</v>
      </c>
      <c r="BJ310" s="342">
        <v>0.21307714557480101</v>
      </c>
    </row>
    <row r="311" spans="52:62" s="3" customFormat="1" ht="18" customHeight="1" x14ac:dyDescent="0.2">
      <c r="AZ311" s="39">
        <v>226</v>
      </c>
      <c r="BA311" s="105">
        <v>20</v>
      </c>
      <c r="BB311" s="100">
        <v>9</v>
      </c>
      <c r="BC311" s="100">
        <v>3</v>
      </c>
      <c r="BD311" s="100">
        <v>1</v>
      </c>
      <c r="BE311" s="100">
        <v>4</v>
      </c>
      <c r="BF311" s="100">
        <v>2</v>
      </c>
      <c r="BG311" s="100">
        <v>5</v>
      </c>
      <c r="BH311" s="341">
        <v>0.43914822716481411</v>
      </c>
      <c r="BI311" s="341">
        <v>8.7829645432962802E-2</v>
      </c>
      <c r="BJ311" s="342">
        <v>0.219574113582407</v>
      </c>
    </row>
    <row r="312" spans="52:62" s="3" customFormat="1" ht="18" customHeight="1" x14ac:dyDescent="0.2">
      <c r="AZ312" s="39">
        <v>227</v>
      </c>
      <c r="BA312" s="105">
        <v>20</v>
      </c>
      <c r="BB312" s="100">
        <v>9</v>
      </c>
      <c r="BC312" s="100">
        <v>4</v>
      </c>
      <c r="BD312" s="100">
        <v>1</v>
      </c>
      <c r="BE312" s="100">
        <v>4</v>
      </c>
      <c r="BF312" s="100">
        <v>2</v>
      </c>
      <c r="BG312" s="100">
        <v>5</v>
      </c>
      <c r="BH312" s="341">
        <v>0.42365149080919912</v>
      </c>
      <c r="BI312" s="341">
        <v>8.4730298161839704E-2</v>
      </c>
      <c r="BJ312" s="342">
        <v>0.211825745404599</v>
      </c>
    </row>
    <row r="313" spans="52:62" s="3" customFormat="1" ht="18" customHeight="1" x14ac:dyDescent="0.2">
      <c r="AZ313" s="39">
        <v>228</v>
      </c>
      <c r="BA313" s="105">
        <v>21</v>
      </c>
      <c r="BB313" s="100">
        <v>1</v>
      </c>
      <c r="BC313" s="100">
        <v>3</v>
      </c>
      <c r="BD313" s="100">
        <v>7</v>
      </c>
      <c r="BE313" s="100">
        <v>4</v>
      </c>
      <c r="BF313" s="100">
        <v>2</v>
      </c>
      <c r="BG313" s="100">
        <v>13</v>
      </c>
      <c r="BH313" s="341">
        <v>0.73658335852302004</v>
      </c>
      <c r="BI313" s="341">
        <v>5.6660258347924597E-2</v>
      </c>
      <c r="BJ313" s="342">
        <v>0.36829167926151002</v>
      </c>
    </row>
    <row r="314" spans="52:62" s="3" customFormat="1" ht="18" customHeight="1" x14ac:dyDescent="0.2">
      <c r="AZ314" s="39">
        <v>229</v>
      </c>
      <c r="BA314" s="105">
        <v>21</v>
      </c>
      <c r="BB314" s="100">
        <v>1</v>
      </c>
      <c r="BC314" s="100">
        <v>4</v>
      </c>
      <c r="BD314" s="100">
        <v>7</v>
      </c>
      <c r="BE314" s="100">
        <v>4</v>
      </c>
      <c r="BF314" s="100">
        <v>2</v>
      </c>
      <c r="BG314" s="100">
        <v>13</v>
      </c>
      <c r="BH314" s="341">
        <v>0.70116165005735698</v>
      </c>
      <c r="BI314" s="341">
        <v>5.3935511542873613E-2</v>
      </c>
      <c r="BJ314" s="342">
        <v>0.35058082502867799</v>
      </c>
    </row>
    <row r="315" spans="52:62" s="3" customFormat="1" ht="18" customHeight="1" x14ac:dyDescent="0.2">
      <c r="AZ315" s="39">
        <v>230</v>
      </c>
      <c r="BA315" s="105">
        <v>21</v>
      </c>
      <c r="BB315" s="100">
        <v>10</v>
      </c>
      <c r="BC315" s="100">
        <v>3</v>
      </c>
      <c r="BD315" s="100">
        <v>7</v>
      </c>
      <c r="BE315" s="100">
        <v>4</v>
      </c>
      <c r="BF315" s="100">
        <v>2</v>
      </c>
      <c r="BG315" s="100">
        <v>13</v>
      </c>
      <c r="BH315" s="341">
        <v>0.73370916011677412</v>
      </c>
      <c r="BI315" s="341">
        <v>5.6439166162828798E-2</v>
      </c>
      <c r="BJ315" s="342">
        <v>0.366854580058387</v>
      </c>
    </row>
    <row r="316" spans="52:62" s="3" customFormat="1" ht="18" customHeight="1" x14ac:dyDescent="0.2">
      <c r="AZ316" s="39">
        <v>231</v>
      </c>
      <c r="BA316" s="105">
        <v>21</v>
      </c>
      <c r="BB316" s="100">
        <v>10</v>
      </c>
      <c r="BC316" s="100">
        <v>4</v>
      </c>
      <c r="BD316" s="100">
        <v>7</v>
      </c>
      <c r="BE316" s="100">
        <v>4</v>
      </c>
      <c r="BF316" s="100">
        <v>2</v>
      </c>
      <c r="BG316" s="100">
        <v>13</v>
      </c>
      <c r="BH316" s="341">
        <v>0.69849411464925204</v>
      </c>
      <c r="BI316" s="341">
        <v>5.3730316511480913E-2</v>
      </c>
      <c r="BJ316" s="342">
        <v>0.34924705732462602</v>
      </c>
    </row>
    <row r="317" spans="52:62" s="3" customFormat="1" ht="18" customHeight="1" x14ac:dyDescent="0.2">
      <c r="AZ317" s="39">
        <v>232</v>
      </c>
      <c r="BA317" s="105">
        <v>21</v>
      </c>
      <c r="BB317" s="100">
        <v>2</v>
      </c>
      <c r="BC317" s="100">
        <v>3</v>
      </c>
      <c r="BD317" s="100">
        <v>7</v>
      </c>
      <c r="BE317" s="100">
        <v>4</v>
      </c>
      <c r="BF317" s="100">
        <v>2</v>
      </c>
      <c r="BG317" s="100">
        <v>13</v>
      </c>
      <c r="BH317" s="341">
        <v>0.73359669514078096</v>
      </c>
      <c r="BI317" s="341">
        <v>5.6430515010829303E-2</v>
      </c>
      <c r="BJ317" s="342">
        <v>0.36679834757038998</v>
      </c>
    </row>
    <row r="318" spans="52:62" s="3" customFormat="1" ht="18" customHeight="1" x14ac:dyDescent="0.2">
      <c r="AZ318" s="39">
        <v>233</v>
      </c>
      <c r="BA318" s="105">
        <v>21</v>
      </c>
      <c r="BB318" s="100">
        <v>2</v>
      </c>
      <c r="BC318" s="100">
        <v>4</v>
      </c>
      <c r="BD318" s="100">
        <v>7</v>
      </c>
      <c r="BE318" s="100">
        <v>4</v>
      </c>
      <c r="BF318" s="100">
        <v>2</v>
      </c>
      <c r="BG318" s="100">
        <v>13</v>
      </c>
      <c r="BH318" s="341">
        <v>0.69838973156980211</v>
      </c>
      <c r="BI318" s="341">
        <v>5.3722287043830898E-2</v>
      </c>
      <c r="BJ318" s="342">
        <v>0.34919486578490111</v>
      </c>
    </row>
    <row r="319" spans="52:62" s="3" customFormat="1" ht="18" customHeight="1" x14ac:dyDescent="0.2">
      <c r="AZ319" s="39">
        <v>234</v>
      </c>
      <c r="BA319" s="105">
        <v>21</v>
      </c>
      <c r="BB319" s="100">
        <v>3</v>
      </c>
      <c r="BC319" s="100">
        <v>3</v>
      </c>
      <c r="BD319" s="100">
        <v>7</v>
      </c>
      <c r="BE319" s="100">
        <v>4</v>
      </c>
      <c r="BF319" s="100">
        <v>2</v>
      </c>
      <c r="BG319" s="100">
        <v>13</v>
      </c>
      <c r="BH319" s="341">
        <v>0.73440610522350103</v>
      </c>
      <c r="BI319" s="341">
        <v>5.6492777324884703E-2</v>
      </c>
      <c r="BJ319" s="342">
        <v>0.36720305261175001</v>
      </c>
    </row>
    <row r="320" spans="52:62" s="3" customFormat="1" ht="18" customHeight="1" x14ac:dyDescent="0.2">
      <c r="AZ320" s="39">
        <v>235</v>
      </c>
      <c r="BA320" s="105">
        <v>21</v>
      </c>
      <c r="BB320" s="100">
        <v>3</v>
      </c>
      <c r="BC320" s="100">
        <v>4</v>
      </c>
      <c r="BD320" s="100">
        <v>7</v>
      </c>
      <c r="BE320" s="100">
        <v>4</v>
      </c>
      <c r="BF320" s="100">
        <v>2</v>
      </c>
      <c r="BG320" s="100">
        <v>13</v>
      </c>
      <c r="BH320" s="341">
        <v>0.69914096842863416</v>
      </c>
      <c r="BI320" s="341">
        <v>5.3780074494510298E-2</v>
      </c>
      <c r="BJ320" s="342">
        <v>0.34957048421431708</v>
      </c>
    </row>
    <row r="321" spans="52:62" s="3" customFormat="1" ht="18" customHeight="1" x14ac:dyDescent="0.2">
      <c r="AZ321" s="39">
        <v>236</v>
      </c>
      <c r="BA321" s="105">
        <v>21</v>
      </c>
      <c r="BB321" s="100">
        <v>4</v>
      </c>
      <c r="BC321" s="100">
        <v>3</v>
      </c>
      <c r="BD321" s="100">
        <v>7</v>
      </c>
      <c r="BE321" s="100">
        <v>4</v>
      </c>
      <c r="BF321" s="100">
        <v>2</v>
      </c>
      <c r="BG321" s="100">
        <v>13</v>
      </c>
      <c r="BH321" s="341">
        <v>0.73492392189682698</v>
      </c>
      <c r="BI321" s="341">
        <v>5.6532609376678998E-2</v>
      </c>
      <c r="BJ321" s="342">
        <v>0.36746196094841299</v>
      </c>
    </row>
    <row r="322" spans="52:62" s="3" customFormat="1" ht="18" customHeight="1" x14ac:dyDescent="0.2">
      <c r="AZ322" s="39">
        <v>237</v>
      </c>
      <c r="BA322" s="105">
        <v>21</v>
      </c>
      <c r="BB322" s="100">
        <v>4</v>
      </c>
      <c r="BC322" s="100">
        <v>4</v>
      </c>
      <c r="BD322" s="100">
        <v>7</v>
      </c>
      <c r="BE322" s="100">
        <v>4</v>
      </c>
      <c r="BF322" s="100">
        <v>2</v>
      </c>
      <c r="BG322" s="100">
        <v>13</v>
      </c>
      <c r="BH322" s="341">
        <v>0.69962155953584404</v>
      </c>
      <c r="BI322" s="341">
        <v>5.3817043041218697E-2</v>
      </c>
      <c r="BJ322" s="342">
        <v>0.34981077976792202</v>
      </c>
    </row>
    <row r="323" spans="52:62" s="3" customFormat="1" ht="18" customHeight="1" x14ac:dyDescent="0.2">
      <c r="AZ323" s="39">
        <v>238</v>
      </c>
      <c r="BA323" s="105">
        <v>21</v>
      </c>
      <c r="BB323" s="100">
        <v>5</v>
      </c>
      <c r="BC323" s="100">
        <v>3</v>
      </c>
      <c r="BD323" s="100">
        <v>7</v>
      </c>
      <c r="BE323" s="100">
        <v>4</v>
      </c>
      <c r="BF323" s="100">
        <v>2</v>
      </c>
      <c r="BG323" s="100">
        <v>13</v>
      </c>
      <c r="BH323" s="341">
        <v>0.73589202014033306</v>
      </c>
      <c r="BI323" s="341">
        <v>5.6607078472333303E-2</v>
      </c>
      <c r="BJ323" s="342">
        <v>0.36794601007016697</v>
      </c>
    </row>
    <row r="324" spans="52:62" s="3" customFormat="1" ht="18" customHeight="1" x14ac:dyDescent="0.2">
      <c r="AZ324" s="39">
        <v>239</v>
      </c>
      <c r="BA324" s="105">
        <v>21</v>
      </c>
      <c r="BB324" s="100">
        <v>5</v>
      </c>
      <c r="BC324" s="100">
        <v>4</v>
      </c>
      <c r="BD324" s="100">
        <v>7</v>
      </c>
      <c r="BE324" s="100">
        <v>4</v>
      </c>
      <c r="BF324" s="100">
        <v>2</v>
      </c>
      <c r="BG324" s="100">
        <v>13</v>
      </c>
      <c r="BH324" s="341">
        <v>0.70052004174469007</v>
      </c>
      <c r="BI324" s="341">
        <v>5.3886157057283807E-2</v>
      </c>
      <c r="BJ324" s="342">
        <v>0.35026002087234498</v>
      </c>
    </row>
    <row r="325" spans="52:62" s="3" customFormat="1" ht="18" customHeight="1" x14ac:dyDescent="0.2">
      <c r="AZ325" s="39">
        <v>240</v>
      </c>
      <c r="BA325" s="105">
        <v>21</v>
      </c>
      <c r="BB325" s="100">
        <v>6</v>
      </c>
      <c r="BC325" s="100">
        <v>3</v>
      </c>
      <c r="BD325" s="100">
        <v>7</v>
      </c>
      <c r="BE325" s="100">
        <v>4</v>
      </c>
      <c r="BF325" s="100">
        <v>2</v>
      </c>
      <c r="BG325" s="100">
        <v>13</v>
      </c>
      <c r="BH325" s="341">
        <v>0.73340764643548695</v>
      </c>
      <c r="BI325" s="341">
        <v>5.6415972802729697E-2</v>
      </c>
      <c r="BJ325" s="342">
        <v>0.36670382321774297</v>
      </c>
    </row>
    <row r="326" spans="52:62" s="3" customFormat="1" ht="18" customHeight="1" x14ac:dyDescent="0.2">
      <c r="AZ326" s="39">
        <v>241</v>
      </c>
      <c r="BA326" s="105">
        <v>21</v>
      </c>
      <c r="BB326" s="100">
        <v>6</v>
      </c>
      <c r="BC326" s="100">
        <v>4</v>
      </c>
      <c r="BD326" s="100">
        <v>7</v>
      </c>
      <c r="BE326" s="100">
        <v>4</v>
      </c>
      <c r="BF326" s="100">
        <v>2</v>
      </c>
      <c r="BG326" s="100">
        <v>13</v>
      </c>
      <c r="BH326" s="341">
        <v>0.69821426740710313</v>
      </c>
      <c r="BI326" s="341">
        <v>5.3708789800546407E-2</v>
      </c>
      <c r="BJ326" s="342">
        <v>0.34910713370355201</v>
      </c>
    </row>
    <row r="327" spans="52:62" s="3" customFormat="1" ht="18" customHeight="1" x14ac:dyDescent="0.2">
      <c r="AZ327" s="39">
        <v>242</v>
      </c>
      <c r="BA327" s="105">
        <v>21</v>
      </c>
      <c r="BB327" s="100">
        <v>7</v>
      </c>
      <c r="BC327" s="100">
        <v>3</v>
      </c>
      <c r="BD327" s="100">
        <v>7</v>
      </c>
      <c r="BE327" s="100">
        <v>4</v>
      </c>
      <c r="BF327" s="100">
        <v>2</v>
      </c>
      <c r="BG327" s="100">
        <v>13</v>
      </c>
      <c r="BH327" s="341">
        <v>0.7360402314212231</v>
      </c>
      <c r="BI327" s="341">
        <v>5.6618479340094098E-2</v>
      </c>
      <c r="BJ327" s="342">
        <v>0.36802011571061211</v>
      </c>
    </row>
    <row r="328" spans="52:62" s="3" customFormat="1" ht="18" customHeight="1" x14ac:dyDescent="0.2">
      <c r="AZ328" s="39">
        <v>243</v>
      </c>
      <c r="BA328" s="105">
        <v>21</v>
      </c>
      <c r="BB328" s="100">
        <v>7</v>
      </c>
      <c r="BC328" s="100">
        <v>4</v>
      </c>
      <c r="BD328" s="100">
        <v>7</v>
      </c>
      <c r="BE328" s="100">
        <v>4</v>
      </c>
      <c r="BF328" s="100">
        <v>2</v>
      </c>
      <c r="BG328" s="100">
        <v>13</v>
      </c>
      <c r="BH328" s="341">
        <v>0.70065759283893603</v>
      </c>
      <c r="BI328" s="341">
        <v>5.3896737910687408E-2</v>
      </c>
      <c r="BJ328" s="342">
        <v>0.35032879641946801</v>
      </c>
    </row>
    <row r="329" spans="52:62" s="3" customFormat="1" ht="18" customHeight="1" x14ac:dyDescent="0.2">
      <c r="AZ329" s="39">
        <v>244</v>
      </c>
      <c r="BA329" s="105">
        <v>21</v>
      </c>
      <c r="BB329" s="100">
        <v>8</v>
      </c>
      <c r="BC329" s="100">
        <v>3</v>
      </c>
      <c r="BD329" s="100">
        <v>7</v>
      </c>
      <c r="BE329" s="100">
        <v>4</v>
      </c>
      <c r="BF329" s="100">
        <v>2</v>
      </c>
      <c r="BG329" s="100">
        <v>13</v>
      </c>
      <c r="BH329" s="341">
        <v>0.73669611407569913</v>
      </c>
      <c r="BI329" s="341">
        <v>5.6668931851976898E-2</v>
      </c>
      <c r="BJ329" s="342">
        <v>0.36834805703785001</v>
      </c>
    </row>
    <row r="330" spans="52:62" s="3" customFormat="1" ht="18" customHeight="1" x14ac:dyDescent="0.2">
      <c r="AZ330" s="39">
        <v>245</v>
      </c>
      <c r="BA330" s="105">
        <v>21</v>
      </c>
      <c r="BB330" s="100">
        <v>8</v>
      </c>
      <c r="BC330" s="100">
        <v>4</v>
      </c>
      <c r="BD330" s="100">
        <v>7</v>
      </c>
      <c r="BE330" s="100">
        <v>4</v>
      </c>
      <c r="BF330" s="100">
        <v>2</v>
      </c>
      <c r="BG330" s="100">
        <v>13</v>
      </c>
      <c r="BH330" s="341">
        <v>0.70126629353121916</v>
      </c>
      <c r="BI330" s="341">
        <v>5.3943561040863001E-2</v>
      </c>
      <c r="BJ330" s="342">
        <v>0.35063314676561008</v>
      </c>
    </row>
    <row r="331" spans="52:62" s="3" customFormat="1" ht="18" customHeight="1" x14ac:dyDescent="0.2">
      <c r="AZ331" s="39">
        <v>246</v>
      </c>
      <c r="BA331" s="105">
        <v>21</v>
      </c>
      <c r="BB331" s="100">
        <v>9</v>
      </c>
      <c r="BC331" s="100">
        <v>3</v>
      </c>
      <c r="BD331" s="100">
        <v>7</v>
      </c>
      <c r="BE331" s="100">
        <v>4</v>
      </c>
      <c r="BF331" s="100">
        <v>2</v>
      </c>
      <c r="BG331" s="100">
        <v>13</v>
      </c>
      <c r="BH331" s="341">
        <v>0.72907176720963707</v>
      </c>
      <c r="BI331" s="341">
        <v>5.6082443631510499E-2</v>
      </c>
      <c r="BJ331" s="342">
        <v>0.36453588360481798</v>
      </c>
    </row>
    <row r="332" spans="52:62" s="3" customFormat="1" ht="18" customHeight="1" x14ac:dyDescent="0.2">
      <c r="AZ332" s="39">
        <v>247</v>
      </c>
      <c r="BA332" s="105">
        <v>21</v>
      </c>
      <c r="BB332" s="100">
        <v>9</v>
      </c>
      <c r="BC332" s="100">
        <v>4</v>
      </c>
      <c r="BD332" s="100">
        <v>7</v>
      </c>
      <c r="BE332" s="100">
        <v>4</v>
      </c>
      <c r="BF332" s="100">
        <v>2</v>
      </c>
      <c r="BG332" s="100">
        <v>13</v>
      </c>
      <c r="BH332" s="341">
        <v>0.69418967983088498</v>
      </c>
      <c r="BI332" s="341">
        <v>5.3399206140837298E-2</v>
      </c>
      <c r="BJ332" s="342">
        <v>0.34709483991544299</v>
      </c>
    </row>
    <row r="333" spans="52:62" s="3" customFormat="1" ht="18" customHeight="1" x14ac:dyDescent="0.2">
      <c r="AZ333" s="39">
        <v>248</v>
      </c>
      <c r="BA333" s="105">
        <v>22</v>
      </c>
      <c r="BB333" s="100">
        <v>1</v>
      </c>
      <c r="BC333" s="100">
        <v>3</v>
      </c>
      <c r="BD333" s="100">
        <v>7</v>
      </c>
      <c r="BE333" s="100">
        <v>4</v>
      </c>
      <c r="BF333" s="100">
        <v>2</v>
      </c>
      <c r="BG333" s="100">
        <v>13</v>
      </c>
      <c r="BH333" s="341">
        <v>0.73658335852302004</v>
      </c>
      <c r="BI333" s="341">
        <v>5.6660258347924597E-2</v>
      </c>
      <c r="BJ333" s="342">
        <v>0.36829167926151002</v>
      </c>
    </row>
    <row r="334" spans="52:62" s="3" customFormat="1" ht="18" customHeight="1" x14ac:dyDescent="0.2">
      <c r="AZ334" s="39">
        <v>249</v>
      </c>
      <c r="BA334" s="105">
        <v>22</v>
      </c>
      <c r="BB334" s="100">
        <v>1</v>
      </c>
      <c r="BC334" s="100">
        <v>4</v>
      </c>
      <c r="BD334" s="100">
        <v>7</v>
      </c>
      <c r="BE334" s="100">
        <v>4</v>
      </c>
      <c r="BF334" s="100">
        <v>2</v>
      </c>
      <c r="BG334" s="100">
        <v>13</v>
      </c>
      <c r="BH334" s="341">
        <v>0.70116165005735698</v>
      </c>
      <c r="BI334" s="341">
        <v>5.3935511542873613E-2</v>
      </c>
      <c r="BJ334" s="342">
        <v>0.35058082502867799</v>
      </c>
    </row>
    <row r="335" spans="52:62" s="3" customFormat="1" ht="18" customHeight="1" x14ac:dyDescent="0.2">
      <c r="AZ335" s="39">
        <v>250</v>
      </c>
      <c r="BA335" s="105">
        <v>22</v>
      </c>
      <c r="BB335" s="100">
        <v>10</v>
      </c>
      <c r="BC335" s="100">
        <v>3</v>
      </c>
      <c r="BD335" s="100">
        <v>7</v>
      </c>
      <c r="BE335" s="100">
        <v>4</v>
      </c>
      <c r="BF335" s="100">
        <v>2</v>
      </c>
      <c r="BG335" s="100">
        <v>13</v>
      </c>
      <c r="BH335" s="341">
        <v>0.73370916011677412</v>
      </c>
      <c r="BI335" s="341">
        <v>5.6439166162828798E-2</v>
      </c>
      <c r="BJ335" s="342">
        <v>0.366854580058387</v>
      </c>
    </row>
    <row r="336" spans="52:62" s="3" customFormat="1" ht="18" customHeight="1" x14ac:dyDescent="0.2">
      <c r="AZ336" s="39">
        <v>251</v>
      </c>
      <c r="BA336" s="105">
        <v>22</v>
      </c>
      <c r="BB336" s="100">
        <v>10</v>
      </c>
      <c r="BC336" s="100">
        <v>4</v>
      </c>
      <c r="BD336" s="100">
        <v>7</v>
      </c>
      <c r="BE336" s="100">
        <v>4</v>
      </c>
      <c r="BF336" s="100">
        <v>2</v>
      </c>
      <c r="BG336" s="100">
        <v>13</v>
      </c>
      <c r="BH336" s="341">
        <v>0.69849411464925204</v>
      </c>
      <c r="BI336" s="341">
        <v>5.3730316511480913E-2</v>
      </c>
      <c r="BJ336" s="342">
        <v>0.34924705732462602</v>
      </c>
    </row>
    <row r="337" spans="52:62" s="3" customFormat="1" ht="18" customHeight="1" x14ac:dyDescent="0.2">
      <c r="AZ337" s="39">
        <v>252</v>
      </c>
      <c r="BA337" s="105">
        <v>22</v>
      </c>
      <c r="BB337" s="100">
        <v>2</v>
      </c>
      <c r="BC337" s="100">
        <v>3</v>
      </c>
      <c r="BD337" s="100">
        <v>7</v>
      </c>
      <c r="BE337" s="100">
        <v>4</v>
      </c>
      <c r="BF337" s="100">
        <v>2</v>
      </c>
      <c r="BG337" s="100">
        <v>13</v>
      </c>
      <c r="BH337" s="341">
        <v>0.73359669514078096</v>
      </c>
      <c r="BI337" s="341">
        <v>5.6430515010829303E-2</v>
      </c>
      <c r="BJ337" s="342">
        <v>0.36679834757038998</v>
      </c>
    </row>
    <row r="338" spans="52:62" s="3" customFormat="1" ht="18" customHeight="1" x14ac:dyDescent="0.2">
      <c r="AZ338" s="39">
        <v>253</v>
      </c>
      <c r="BA338" s="105">
        <v>22</v>
      </c>
      <c r="BB338" s="100">
        <v>2</v>
      </c>
      <c r="BC338" s="100">
        <v>4</v>
      </c>
      <c r="BD338" s="100">
        <v>7</v>
      </c>
      <c r="BE338" s="100">
        <v>4</v>
      </c>
      <c r="BF338" s="100">
        <v>2</v>
      </c>
      <c r="BG338" s="100">
        <v>13</v>
      </c>
      <c r="BH338" s="341">
        <v>0.69838973156980211</v>
      </c>
      <c r="BI338" s="341">
        <v>5.3722287043830898E-2</v>
      </c>
      <c r="BJ338" s="342">
        <v>0.34919486578490111</v>
      </c>
    </row>
    <row r="339" spans="52:62" s="3" customFormat="1" ht="18" customHeight="1" x14ac:dyDescent="0.2">
      <c r="AZ339" s="39">
        <v>254</v>
      </c>
      <c r="BA339" s="105">
        <v>22</v>
      </c>
      <c r="BB339" s="100">
        <v>3</v>
      </c>
      <c r="BC339" s="100">
        <v>3</v>
      </c>
      <c r="BD339" s="100">
        <v>7</v>
      </c>
      <c r="BE339" s="100">
        <v>4</v>
      </c>
      <c r="BF339" s="100">
        <v>2</v>
      </c>
      <c r="BG339" s="100">
        <v>13</v>
      </c>
      <c r="BH339" s="341">
        <v>0.73440610522350103</v>
      </c>
      <c r="BI339" s="341">
        <v>5.6492777324884703E-2</v>
      </c>
      <c r="BJ339" s="342">
        <v>0.36720305261175001</v>
      </c>
    </row>
    <row r="340" spans="52:62" s="3" customFormat="1" ht="18" customHeight="1" x14ac:dyDescent="0.2">
      <c r="AZ340" s="39">
        <v>255</v>
      </c>
      <c r="BA340" s="105">
        <v>22</v>
      </c>
      <c r="BB340" s="100">
        <v>3</v>
      </c>
      <c r="BC340" s="100">
        <v>4</v>
      </c>
      <c r="BD340" s="100">
        <v>7</v>
      </c>
      <c r="BE340" s="100">
        <v>4</v>
      </c>
      <c r="BF340" s="100">
        <v>2</v>
      </c>
      <c r="BG340" s="100">
        <v>13</v>
      </c>
      <c r="BH340" s="341">
        <v>0.69914096842863416</v>
      </c>
      <c r="BI340" s="341">
        <v>5.3780074494510298E-2</v>
      </c>
      <c r="BJ340" s="342">
        <v>0.34957048421431708</v>
      </c>
    </row>
    <row r="341" spans="52:62" s="3" customFormat="1" ht="18" customHeight="1" x14ac:dyDescent="0.2">
      <c r="AZ341" s="39">
        <v>256</v>
      </c>
      <c r="BA341" s="105">
        <v>22</v>
      </c>
      <c r="BB341" s="100">
        <v>4</v>
      </c>
      <c r="BC341" s="100">
        <v>3</v>
      </c>
      <c r="BD341" s="100">
        <v>7</v>
      </c>
      <c r="BE341" s="100">
        <v>4</v>
      </c>
      <c r="BF341" s="100">
        <v>2</v>
      </c>
      <c r="BG341" s="100">
        <v>13</v>
      </c>
      <c r="BH341" s="341">
        <v>0.73492392189682698</v>
      </c>
      <c r="BI341" s="341">
        <v>5.6532609376678998E-2</v>
      </c>
      <c r="BJ341" s="342">
        <v>0.36746196094841299</v>
      </c>
    </row>
    <row r="342" spans="52:62" s="3" customFormat="1" ht="18" customHeight="1" x14ac:dyDescent="0.2">
      <c r="AZ342" s="39">
        <v>257</v>
      </c>
      <c r="BA342" s="105">
        <v>22</v>
      </c>
      <c r="BB342" s="100">
        <v>4</v>
      </c>
      <c r="BC342" s="100">
        <v>4</v>
      </c>
      <c r="BD342" s="100">
        <v>7</v>
      </c>
      <c r="BE342" s="100">
        <v>4</v>
      </c>
      <c r="BF342" s="100">
        <v>2</v>
      </c>
      <c r="BG342" s="100">
        <v>13</v>
      </c>
      <c r="BH342" s="341">
        <v>0.69962155953584404</v>
      </c>
      <c r="BI342" s="341">
        <v>5.3817043041218697E-2</v>
      </c>
      <c r="BJ342" s="342">
        <v>0.34981077976792202</v>
      </c>
    </row>
    <row r="343" spans="52:62" s="3" customFormat="1" ht="18" customHeight="1" x14ac:dyDescent="0.2">
      <c r="AZ343" s="39">
        <v>258</v>
      </c>
      <c r="BA343" s="105">
        <v>22</v>
      </c>
      <c r="BB343" s="100">
        <v>5</v>
      </c>
      <c r="BC343" s="100">
        <v>3</v>
      </c>
      <c r="BD343" s="100">
        <v>7</v>
      </c>
      <c r="BE343" s="100">
        <v>4</v>
      </c>
      <c r="BF343" s="100">
        <v>2</v>
      </c>
      <c r="BG343" s="100">
        <v>13</v>
      </c>
      <c r="BH343" s="341">
        <v>0.73589202014033306</v>
      </c>
      <c r="BI343" s="341">
        <v>5.6607078472333303E-2</v>
      </c>
      <c r="BJ343" s="342">
        <v>0.36794601007016697</v>
      </c>
    </row>
    <row r="344" spans="52:62" s="3" customFormat="1" ht="18" customHeight="1" x14ac:dyDescent="0.2">
      <c r="AZ344" s="39">
        <v>259</v>
      </c>
      <c r="BA344" s="105">
        <v>22</v>
      </c>
      <c r="BB344" s="100">
        <v>5</v>
      </c>
      <c r="BC344" s="100">
        <v>4</v>
      </c>
      <c r="BD344" s="100">
        <v>7</v>
      </c>
      <c r="BE344" s="100">
        <v>4</v>
      </c>
      <c r="BF344" s="100">
        <v>2</v>
      </c>
      <c r="BG344" s="100">
        <v>13</v>
      </c>
      <c r="BH344" s="341">
        <v>0.70052004174469007</v>
      </c>
      <c r="BI344" s="341">
        <v>5.3886157057283807E-2</v>
      </c>
      <c r="BJ344" s="342">
        <v>0.35026002087234498</v>
      </c>
    </row>
    <row r="345" spans="52:62" s="3" customFormat="1" ht="18" customHeight="1" x14ac:dyDescent="0.2">
      <c r="AZ345" s="39">
        <v>260</v>
      </c>
      <c r="BA345" s="105">
        <v>22</v>
      </c>
      <c r="BB345" s="100">
        <v>6</v>
      </c>
      <c r="BC345" s="100">
        <v>3</v>
      </c>
      <c r="BD345" s="100">
        <v>7</v>
      </c>
      <c r="BE345" s="100">
        <v>4</v>
      </c>
      <c r="BF345" s="100">
        <v>2</v>
      </c>
      <c r="BG345" s="100">
        <v>13</v>
      </c>
      <c r="BH345" s="341">
        <v>0.73340764643548695</v>
      </c>
      <c r="BI345" s="341">
        <v>5.6415972802729697E-2</v>
      </c>
      <c r="BJ345" s="342">
        <v>0.36670382321774297</v>
      </c>
    </row>
    <row r="346" spans="52:62" s="3" customFormat="1" ht="18" customHeight="1" x14ac:dyDescent="0.2">
      <c r="AZ346" s="39">
        <v>261</v>
      </c>
      <c r="BA346" s="105">
        <v>22</v>
      </c>
      <c r="BB346" s="100">
        <v>6</v>
      </c>
      <c r="BC346" s="100">
        <v>4</v>
      </c>
      <c r="BD346" s="100">
        <v>7</v>
      </c>
      <c r="BE346" s="100">
        <v>4</v>
      </c>
      <c r="BF346" s="100">
        <v>2</v>
      </c>
      <c r="BG346" s="100">
        <v>13</v>
      </c>
      <c r="BH346" s="341">
        <v>0.69821426740710313</v>
      </c>
      <c r="BI346" s="341">
        <v>5.3708789800546407E-2</v>
      </c>
      <c r="BJ346" s="342">
        <v>0.34910713370355201</v>
      </c>
    </row>
    <row r="347" spans="52:62" s="3" customFormat="1" ht="18" customHeight="1" x14ac:dyDescent="0.2">
      <c r="AZ347" s="39">
        <v>262</v>
      </c>
      <c r="BA347" s="105">
        <v>22</v>
      </c>
      <c r="BB347" s="100">
        <v>7</v>
      </c>
      <c r="BC347" s="100">
        <v>3</v>
      </c>
      <c r="BD347" s="100">
        <v>7</v>
      </c>
      <c r="BE347" s="100">
        <v>4</v>
      </c>
      <c r="BF347" s="100">
        <v>2</v>
      </c>
      <c r="BG347" s="100">
        <v>13</v>
      </c>
      <c r="BH347" s="341">
        <v>0.7360402314212231</v>
      </c>
      <c r="BI347" s="341">
        <v>5.6618479340094098E-2</v>
      </c>
      <c r="BJ347" s="342">
        <v>0.36802011571061211</v>
      </c>
    </row>
    <row r="348" spans="52:62" s="3" customFormat="1" ht="18" customHeight="1" x14ac:dyDescent="0.2">
      <c r="AZ348" s="39">
        <v>263</v>
      </c>
      <c r="BA348" s="105">
        <v>22</v>
      </c>
      <c r="BB348" s="100">
        <v>7</v>
      </c>
      <c r="BC348" s="100">
        <v>4</v>
      </c>
      <c r="BD348" s="100">
        <v>7</v>
      </c>
      <c r="BE348" s="100">
        <v>4</v>
      </c>
      <c r="BF348" s="100">
        <v>2</v>
      </c>
      <c r="BG348" s="100">
        <v>13</v>
      </c>
      <c r="BH348" s="341">
        <v>0.70065759283893603</v>
      </c>
      <c r="BI348" s="341">
        <v>5.3896737910687408E-2</v>
      </c>
      <c r="BJ348" s="342">
        <v>0.35032879641946801</v>
      </c>
    </row>
    <row r="349" spans="52:62" s="3" customFormat="1" ht="18" customHeight="1" x14ac:dyDescent="0.2">
      <c r="AZ349" s="39">
        <v>264</v>
      </c>
      <c r="BA349" s="105">
        <v>22</v>
      </c>
      <c r="BB349" s="100">
        <v>8</v>
      </c>
      <c r="BC349" s="100">
        <v>3</v>
      </c>
      <c r="BD349" s="100">
        <v>7</v>
      </c>
      <c r="BE349" s="100">
        <v>4</v>
      </c>
      <c r="BF349" s="100">
        <v>2</v>
      </c>
      <c r="BG349" s="100">
        <v>13</v>
      </c>
      <c r="BH349" s="341">
        <v>0.73669611407569913</v>
      </c>
      <c r="BI349" s="341">
        <v>5.6668931851976898E-2</v>
      </c>
      <c r="BJ349" s="342">
        <v>0.36834805703785001</v>
      </c>
    </row>
    <row r="350" spans="52:62" s="3" customFormat="1" ht="18" customHeight="1" x14ac:dyDescent="0.2">
      <c r="AZ350" s="39">
        <v>265</v>
      </c>
      <c r="BA350" s="105">
        <v>22</v>
      </c>
      <c r="BB350" s="100">
        <v>8</v>
      </c>
      <c r="BC350" s="100">
        <v>4</v>
      </c>
      <c r="BD350" s="100">
        <v>7</v>
      </c>
      <c r="BE350" s="100">
        <v>4</v>
      </c>
      <c r="BF350" s="100">
        <v>2</v>
      </c>
      <c r="BG350" s="100">
        <v>13</v>
      </c>
      <c r="BH350" s="341">
        <v>0.70126629353121916</v>
      </c>
      <c r="BI350" s="341">
        <v>5.3943561040863001E-2</v>
      </c>
      <c r="BJ350" s="342">
        <v>0.35063314676561008</v>
      </c>
    </row>
    <row r="351" spans="52:62" s="3" customFormat="1" ht="18" customHeight="1" x14ac:dyDescent="0.2">
      <c r="AZ351" s="39">
        <v>266</v>
      </c>
      <c r="BA351" s="105">
        <v>22</v>
      </c>
      <c r="BB351" s="100">
        <v>9</v>
      </c>
      <c r="BC351" s="100">
        <v>3</v>
      </c>
      <c r="BD351" s="100">
        <v>7</v>
      </c>
      <c r="BE351" s="100">
        <v>4</v>
      </c>
      <c r="BF351" s="100">
        <v>2</v>
      </c>
      <c r="BG351" s="100">
        <v>13</v>
      </c>
      <c r="BH351" s="341">
        <v>0.72907176720963707</v>
      </c>
      <c r="BI351" s="341">
        <v>5.6082443631510499E-2</v>
      </c>
      <c r="BJ351" s="342">
        <v>0.36453588360481798</v>
      </c>
    </row>
    <row r="352" spans="52:62" s="3" customFormat="1" ht="18" customHeight="1" x14ac:dyDescent="0.2">
      <c r="AZ352" s="39">
        <v>267</v>
      </c>
      <c r="BA352" s="105">
        <v>22</v>
      </c>
      <c r="BB352" s="100">
        <v>9</v>
      </c>
      <c r="BC352" s="100">
        <v>4</v>
      </c>
      <c r="BD352" s="100">
        <v>7</v>
      </c>
      <c r="BE352" s="100">
        <v>4</v>
      </c>
      <c r="BF352" s="100">
        <v>2</v>
      </c>
      <c r="BG352" s="100">
        <v>13</v>
      </c>
      <c r="BH352" s="341">
        <v>0.69418967983088498</v>
      </c>
      <c r="BI352" s="341">
        <v>5.3399206140837298E-2</v>
      </c>
      <c r="BJ352" s="342">
        <v>0.34709483991544299</v>
      </c>
    </row>
    <row r="353" spans="52:62" s="3" customFormat="1" ht="18" customHeight="1" x14ac:dyDescent="0.2">
      <c r="AZ353" s="39">
        <v>268</v>
      </c>
      <c r="BA353" s="105">
        <v>23</v>
      </c>
      <c r="BB353" s="100">
        <v>1</v>
      </c>
      <c r="BC353" s="100">
        <v>3</v>
      </c>
      <c r="BD353" s="100">
        <v>1</v>
      </c>
      <c r="BE353" s="100">
        <v>4</v>
      </c>
      <c r="BF353" s="100">
        <v>2</v>
      </c>
      <c r="BG353" s="100">
        <v>5</v>
      </c>
      <c r="BH353" s="341">
        <v>0.44202097689152903</v>
      </c>
      <c r="BI353" s="341">
        <v>8.8404195378305919E-2</v>
      </c>
      <c r="BJ353" s="342">
        <v>0.22101048844576501</v>
      </c>
    </row>
    <row r="354" spans="52:62" s="3" customFormat="1" ht="18" customHeight="1" x14ac:dyDescent="0.2">
      <c r="AZ354" s="39">
        <v>269</v>
      </c>
      <c r="BA354" s="105">
        <v>23</v>
      </c>
      <c r="BB354" s="100">
        <v>1</v>
      </c>
      <c r="BC354" s="100">
        <v>4</v>
      </c>
      <c r="BD354" s="100">
        <v>1</v>
      </c>
      <c r="BE354" s="100">
        <v>4</v>
      </c>
      <c r="BF354" s="100">
        <v>2</v>
      </c>
      <c r="BG354" s="100">
        <v>5</v>
      </c>
      <c r="BH354" s="341">
        <v>0.42634934265484498</v>
      </c>
      <c r="BI354" s="341">
        <v>8.5269868530969004E-2</v>
      </c>
      <c r="BJ354" s="342">
        <v>0.21317467132742299</v>
      </c>
    </row>
    <row r="355" spans="52:62" s="3" customFormat="1" ht="18" customHeight="1" x14ac:dyDescent="0.2">
      <c r="AZ355" s="39">
        <v>270</v>
      </c>
      <c r="BA355" s="105">
        <v>23</v>
      </c>
      <c r="BB355" s="100">
        <v>2</v>
      </c>
      <c r="BC355" s="100">
        <v>3</v>
      </c>
      <c r="BD355" s="100">
        <v>1</v>
      </c>
      <c r="BE355" s="100">
        <v>4</v>
      </c>
      <c r="BF355" s="100">
        <v>2</v>
      </c>
      <c r="BG355" s="100">
        <v>5</v>
      </c>
      <c r="BH355" s="341">
        <v>0.44087876147899602</v>
      </c>
      <c r="BI355" s="341">
        <v>8.8175752295799298E-2</v>
      </c>
      <c r="BJ355" s="342">
        <v>0.22043938073949801</v>
      </c>
    </row>
    <row r="356" spans="52:62" s="3" customFormat="1" ht="18" customHeight="1" x14ac:dyDescent="0.2">
      <c r="AZ356" s="39">
        <v>271</v>
      </c>
      <c r="BA356" s="105">
        <v>23</v>
      </c>
      <c r="BB356" s="100">
        <v>2</v>
      </c>
      <c r="BC356" s="100">
        <v>4</v>
      </c>
      <c r="BD356" s="100">
        <v>1</v>
      </c>
      <c r="BE356" s="100">
        <v>4</v>
      </c>
      <c r="BF356" s="100">
        <v>2</v>
      </c>
      <c r="BG356" s="100">
        <v>5</v>
      </c>
      <c r="BH356" s="341">
        <v>0.42527671945879603</v>
      </c>
      <c r="BI356" s="341">
        <v>8.5055343891759103E-2</v>
      </c>
      <c r="BJ356" s="342">
        <v>0.21263835972939801</v>
      </c>
    </row>
    <row r="357" spans="52:62" s="3" customFormat="1" ht="18" customHeight="1" x14ac:dyDescent="0.2">
      <c r="AZ357" s="39">
        <v>272</v>
      </c>
      <c r="BA357" s="105">
        <v>23</v>
      </c>
      <c r="BB357" s="100">
        <v>4</v>
      </c>
      <c r="BC357" s="100">
        <v>3</v>
      </c>
      <c r="BD357" s="100">
        <v>1</v>
      </c>
      <c r="BE357" s="100">
        <v>4</v>
      </c>
      <c r="BF357" s="100">
        <v>2</v>
      </c>
      <c r="BG357" s="100">
        <v>5</v>
      </c>
      <c r="BH357" s="341">
        <v>0.44138634776445601</v>
      </c>
      <c r="BI357" s="341">
        <v>8.8277269552891294E-2</v>
      </c>
      <c r="BJ357" s="342">
        <v>0.22069317388222801</v>
      </c>
    </row>
    <row r="358" spans="52:62" s="3" customFormat="1" ht="18" customHeight="1" x14ac:dyDescent="0.2">
      <c r="AZ358" s="39">
        <v>273</v>
      </c>
      <c r="BA358" s="105">
        <v>23</v>
      </c>
      <c r="BB358" s="100">
        <v>4</v>
      </c>
      <c r="BC358" s="100">
        <v>4</v>
      </c>
      <c r="BD358" s="100">
        <v>1</v>
      </c>
      <c r="BE358" s="100">
        <v>4</v>
      </c>
      <c r="BF358" s="100">
        <v>2</v>
      </c>
      <c r="BG358" s="100">
        <v>5</v>
      </c>
      <c r="BH358" s="341">
        <v>0.42575338830533799</v>
      </c>
      <c r="BI358" s="341">
        <v>8.5150677661067611E-2</v>
      </c>
      <c r="BJ358" s="342">
        <v>0.21287669415266899</v>
      </c>
    </row>
    <row r="359" spans="52:62" s="3" customFormat="1" ht="18" customHeight="1" x14ac:dyDescent="0.2">
      <c r="AZ359" s="39">
        <v>274</v>
      </c>
      <c r="BA359" s="105">
        <v>23</v>
      </c>
      <c r="BB359" s="100">
        <v>6</v>
      </c>
      <c r="BC359" s="100">
        <v>3</v>
      </c>
      <c r="BD359" s="100">
        <v>1</v>
      </c>
      <c r="BE359" s="100">
        <v>4</v>
      </c>
      <c r="BF359" s="100">
        <v>2</v>
      </c>
      <c r="BG359" s="100">
        <v>5</v>
      </c>
      <c r="BH359" s="341">
        <v>0.44080646164974102</v>
      </c>
      <c r="BI359" s="341">
        <v>8.8161292329948196E-2</v>
      </c>
      <c r="BJ359" s="342">
        <v>0.22040323082487001</v>
      </c>
    </row>
    <row r="360" spans="52:62" s="3" customFormat="1" ht="18" customHeight="1" x14ac:dyDescent="0.2">
      <c r="AZ360" s="39">
        <v>275</v>
      </c>
      <c r="BA360" s="105">
        <v>23</v>
      </c>
      <c r="BB360" s="100">
        <v>6</v>
      </c>
      <c r="BC360" s="100">
        <v>4</v>
      </c>
      <c r="BD360" s="100">
        <v>1</v>
      </c>
      <c r="BE360" s="100">
        <v>4</v>
      </c>
      <c r="BF360" s="100">
        <v>2</v>
      </c>
      <c r="BG360" s="100">
        <v>5</v>
      </c>
      <c r="BH360" s="341">
        <v>0.42520882235631202</v>
      </c>
      <c r="BI360" s="341">
        <v>8.5041764471262313E-2</v>
      </c>
      <c r="BJ360" s="342">
        <v>0.21260441117815601</v>
      </c>
    </row>
    <row r="361" spans="52:62" s="3" customFormat="1" ht="18" customHeight="1" x14ac:dyDescent="0.2">
      <c r="AZ361" s="39">
        <v>276</v>
      </c>
      <c r="BA361" s="105">
        <v>23</v>
      </c>
      <c r="BB361" s="100">
        <v>7</v>
      </c>
      <c r="BC361" s="100">
        <v>3</v>
      </c>
      <c r="BD361" s="100">
        <v>1</v>
      </c>
      <c r="BE361" s="100">
        <v>4</v>
      </c>
      <c r="BF361" s="100">
        <v>2</v>
      </c>
      <c r="BG361" s="100">
        <v>5</v>
      </c>
      <c r="BH361" s="341">
        <v>0.44181326492267398</v>
      </c>
      <c r="BI361" s="341">
        <v>8.8362652984534704E-2</v>
      </c>
      <c r="BJ361" s="342">
        <v>0.22090663246133699</v>
      </c>
    </row>
    <row r="362" spans="52:62" s="3" customFormat="1" ht="18" customHeight="1" x14ac:dyDescent="0.2">
      <c r="AZ362" s="39">
        <v>277</v>
      </c>
      <c r="BA362" s="105">
        <v>23</v>
      </c>
      <c r="BB362" s="100">
        <v>7</v>
      </c>
      <c r="BC362" s="100">
        <v>4</v>
      </c>
      <c r="BD362" s="100">
        <v>1</v>
      </c>
      <c r="BE362" s="100">
        <v>4</v>
      </c>
      <c r="BF362" s="100">
        <v>2</v>
      </c>
      <c r="BG362" s="100">
        <v>5</v>
      </c>
      <c r="BH362" s="341">
        <v>0.42615429114960202</v>
      </c>
      <c r="BI362" s="341">
        <v>8.523085822992052E-2</v>
      </c>
      <c r="BJ362" s="342">
        <v>0.21307714557480101</v>
      </c>
    </row>
    <row r="363" spans="52:62" s="3" customFormat="1" ht="18" customHeight="1" x14ac:dyDescent="0.2">
      <c r="AZ363" s="39">
        <v>278</v>
      </c>
      <c r="BA363" s="105">
        <v>23</v>
      </c>
      <c r="BB363" s="100">
        <v>9</v>
      </c>
      <c r="BC363" s="100">
        <v>3</v>
      </c>
      <c r="BD363" s="100">
        <v>1</v>
      </c>
      <c r="BE363" s="100">
        <v>4</v>
      </c>
      <c r="BF363" s="100">
        <v>2</v>
      </c>
      <c r="BG363" s="100">
        <v>5</v>
      </c>
      <c r="BH363" s="341">
        <v>0.43914822716481411</v>
      </c>
      <c r="BI363" s="341">
        <v>8.7829645432962802E-2</v>
      </c>
      <c r="BJ363" s="342">
        <v>0.219574113582407</v>
      </c>
    </row>
    <row r="364" spans="52:62" s="3" customFormat="1" ht="18" customHeight="1" x14ac:dyDescent="0.2">
      <c r="AZ364" s="39">
        <v>279</v>
      </c>
      <c r="BA364" s="105">
        <v>23</v>
      </c>
      <c r="BB364" s="100">
        <v>9</v>
      </c>
      <c r="BC364" s="100">
        <v>4</v>
      </c>
      <c r="BD364" s="100">
        <v>1</v>
      </c>
      <c r="BE364" s="100">
        <v>4</v>
      </c>
      <c r="BF364" s="100">
        <v>2</v>
      </c>
      <c r="BG364" s="100">
        <v>5</v>
      </c>
      <c r="BH364" s="341">
        <v>0.42365149080919912</v>
      </c>
      <c r="BI364" s="341">
        <v>8.4730298161839704E-2</v>
      </c>
      <c r="BJ364" s="342">
        <v>0.211825745404599</v>
      </c>
    </row>
    <row r="365" spans="52:62" s="3" customFormat="1" ht="18" customHeight="1" x14ac:dyDescent="0.2">
      <c r="AZ365" s="39">
        <v>280</v>
      </c>
      <c r="BA365" s="105">
        <v>24</v>
      </c>
      <c r="BB365" s="100">
        <v>1</v>
      </c>
      <c r="BC365" s="100">
        <v>3</v>
      </c>
      <c r="BD365" s="100">
        <v>7</v>
      </c>
      <c r="BE365" s="100">
        <v>4</v>
      </c>
      <c r="BF365" s="100">
        <v>2</v>
      </c>
      <c r="BG365" s="100">
        <v>13</v>
      </c>
      <c r="BH365" s="341">
        <v>0.73658335852302004</v>
      </c>
      <c r="BI365" s="341">
        <v>5.6660258347924597E-2</v>
      </c>
      <c r="BJ365" s="342">
        <v>0.36829167926151002</v>
      </c>
    </row>
    <row r="366" spans="52:62" s="3" customFormat="1" ht="18" customHeight="1" x14ac:dyDescent="0.2">
      <c r="AZ366" s="39">
        <v>281</v>
      </c>
      <c r="BA366" s="105">
        <v>24</v>
      </c>
      <c r="BB366" s="100">
        <v>1</v>
      </c>
      <c r="BC366" s="100">
        <v>4</v>
      </c>
      <c r="BD366" s="100">
        <v>7</v>
      </c>
      <c r="BE366" s="100">
        <v>4</v>
      </c>
      <c r="BF366" s="100">
        <v>2</v>
      </c>
      <c r="BG366" s="100">
        <v>13</v>
      </c>
      <c r="BH366" s="341">
        <v>0.70116165005735698</v>
      </c>
      <c r="BI366" s="341">
        <v>5.3935511542873613E-2</v>
      </c>
      <c r="BJ366" s="342">
        <v>0.35058082502867799</v>
      </c>
    </row>
    <row r="367" spans="52:62" s="3" customFormat="1" ht="18" customHeight="1" x14ac:dyDescent="0.2">
      <c r="AZ367" s="39">
        <v>282</v>
      </c>
      <c r="BA367" s="105">
        <v>24</v>
      </c>
      <c r="BB367" s="100">
        <v>10</v>
      </c>
      <c r="BC367" s="100">
        <v>3</v>
      </c>
      <c r="BD367" s="100">
        <v>7</v>
      </c>
      <c r="BE367" s="100">
        <v>4</v>
      </c>
      <c r="BF367" s="100">
        <v>2</v>
      </c>
      <c r="BG367" s="100">
        <v>13</v>
      </c>
      <c r="BH367" s="341">
        <v>0.73370916011677412</v>
      </c>
      <c r="BI367" s="341">
        <v>5.6439166162828798E-2</v>
      </c>
      <c r="BJ367" s="342">
        <v>0.366854580058387</v>
      </c>
    </row>
    <row r="368" spans="52:62" s="3" customFormat="1" ht="18" customHeight="1" x14ac:dyDescent="0.2">
      <c r="AZ368" s="39">
        <v>283</v>
      </c>
      <c r="BA368" s="105">
        <v>24</v>
      </c>
      <c r="BB368" s="100">
        <v>10</v>
      </c>
      <c r="BC368" s="100">
        <v>4</v>
      </c>
      <c r="BD368" s="100">
        <v>7</v>
      </c>
      <c r="BE368" s="100">
        <v>4</v>
      </c>
      <c r="BF368" s="100">
        <v>2</v>
      </c>
      <c r="BG368" s="100">
        <v>13</v>
      </c>
      <c r="BH368" s="341">
        <v>0.69849411464925204</v>
      </c>
      <c r="BI368" s="341">
        <v>5.3730316511480913E-2</v>
      </c>
      <c r="BJ368" s="342">
        <v>0.34924705732462602</v>
      </c>
    </row>
    <row r="369" spans="52:62" s="3" customFormat="1" ht="18" customHeight="1" x14ac:dyDescent="0.2">
      <c r="AZ369" s="39">
        <v>284</v>
      </c>
      <c r="BA369" s="105">
        <v>24</v>
      </c>
      <c r="BB369" s="100">
        <v>2</v>
      </c>
      <c r="BC369" s="100">
        <v>3</v>
      </c>
      <c r="BD369" s="100">
        <v>7</v>
      </c>
      <c r="BE369" s="100">
        <v>4</v>
      </c>
      <c r="BF369" s="100">
        <v>2</v>
      </c>
      <c r="BG369" s="100">
        <v>13</v>
      </c>
      <c r="BH369" s="341">
        <v>0.73359669514078096</v>
      </c>
      <c r="BI369" s="341">
        <v>5.6430515010829303E-2</v>
      </c>
      <c r="BJ369" s="342">
        <v>0.36679834757038998</v>
      </c>
    </row>
    <row r="370" spans="52:62" s="3" customFormat="1" ht="18" customHeight="1" x14ac:dyDescent="0.2">
      <c r="AZ370" s="39">
        <v>285</v>
      </c>
      <c r="BA370" s="105">
        <v>24</v>
      </c>
      <c r="BB370" s="100">
        <v>2</v>
      </c>
      <c r="BC370" s="100">
        <v>4</v>
      </c>
      <c r="BD370" s="100">
        <v>7</v>
      </c>
      <c r="BE370" s="100">
        <v>4</v>
      </c>
      <c r="BF370" s="100">
        <v>2</v>
      </c>
      <c r="BG370" s="100">
        <v>13</v>
      </c>
      <c r="BH370" s="341">
        <v>0.69838973156980211</v>
      </c>
      <c r="BI370" s="341">
        <v>5.3722287043830898E-2</v>
      </c>
      <c r="BJ370" s="342">
        <v>0.34919486578490111</v>
      </c>
    </row>
    <row r="371" spans="52:62" s="3" customFormat="1" ht="18" customHeight="1" x14ac:dyDescent="0.2">
      <c r="AZ371" s="39">
        <v>286</v>
      </c>
      <c r="BA371" s="105">
        <v>24</v>
      </c>
      <c r="BB371" s="100">
        <v>3</v>
      </c>
      <c r="BC371" s="100">
        <v>3</v>
      </c>
      <c r="BD371" s="100">
        <v>7</v>
      </c>
      <c r="BE371" s="100">
        <v>4</v>
      </c>
      <c r="BF371" s="100">
        <v>2</v>
      </c>
      <c r="BG371" s="100">
        <v>13</v>
      </c>
      <c r="BH371" s="341">
        <v>0.73440610522350103</v>
      </c>
      <c r="BI371" s="341">
        <v>5.6492777324884703E-2</v>
      </c>
      <c r="BJ371" s="342">
        <v>0.36720305261175001</v>
      </c>
    </row>
    <row r="372" spans="52:62" s="3" customFormat="1" ht="18" customHeight="1" x14ac:dyDescent="0.2">
      <c r="AZ372" s="39">
        <v>287</v>
      </c>
      <c r="BA372" s="105">
        <v>24</v>
      </c>
      <c r="BB372" s="100">
        <v>3</v>
      </c>
      <c r="BC372" s="100">
        <v>4</v>
      </c>
      <c r="BD372" s="100">
        <v>7</v>
      </c>
      <c r="BE372" s="100">
        <v>4</v>
      </c>
      <c r="BF372" s="100">
        <v>2</v>
      </c>
      <c r="BG372" s="100">
        <v>13</v>
      </c>
      <c r="BH372" s="341">
        <v>0.69914096842863416</v>
      </c>
      <c r="BI372" s="341">
        <v>5.3780074494510298E-2</v>
      </c>
      <c r="BJ372" s="342">
        <v>0.34957048421431708</v>
      </c>
    </row>
    <row r="373" spans="52:62" s="3" customFormat="1" ht="18" customHeight="1" x14ac:dyDescent="0.2">
      <c r="AZ373" s="39">
        <v>288</v>
      </c>
      <c r="BA373" s="105">
        <v>24</v>
      </c>
      <c r="BB373" s="100">
        <v>4</v>
      </c>
      <c r="BC373" s="100">
        <v>3</v>
      </c>
      <c r="BD373" s="100">
        <v>7</v>
      </c>
      <c r="BE373" s="100">
        <v>4</v>
      </c>
      <c r="BF373" s="100">
        <v>2</v>
      </c>
      <c r="BG373" s="100">
        <v>13</v>
      </c>
      <c r="BH373" s="341">
        <v>0.73492392189682698</v>
      </c>
      <c r="BI373" s="341">
        <v>5.6532609376678998E-2</v>
      </c>
      <c r="BJ373" s="342">
        <v>0.36746196094841299</v>
      </c>
    </row>
    <row r="374" spans="52:62" s="3" customFormat="1" ht="18" customHeight="1" x14ac:dyDescent="0.2">
      <c r="AZ374" s="39">
        <v>289</v>
      </c>
      <c r="BA374" s="105">
        <v>24</v>
      </c>
      <c r="BB374" s="100">
        <v>4</v>
      </c>
      <c r="BC374" s="100">
        <v>4</v>
      </c>
      <c r="BD374" s="100">
        <v>7</v>
      </c>
      <c r="BE374" s="100">
        <v>4</v>
      </c>
      <c r="BF374" s="100">
        <v>2</v>
      </c>
      <c r="BG374" s="100">
        <v>13</v>
      </c>
      <c r="BH374" s="341">
        <v>0.69962155953584404</v>
      </c>
      <c r="BI374" s="341">
        <v>5.3817043041218697E-2</v>
      </c>
      <c r="BJ374" s="342">
        <v>0.34981077976792202</v>
      </c>
    </row>
    <row r="375" spans="52:62" s="3" customFormat="1" ht="18" customHeight="1" x14ac:dyDescent="0.2">
      <c r="AZ375" s="39">
        <v>290</v>
      </c>
      <c r="BA375" s="105">
        <v>24</v>
      </c>
      <c r="BB375" s="100">
        <v>5</v>
      </c>
      <c r="BC375" s="100">
        <v>3</v>
      </c>
      <c r="BD375" s="100">
        <v>7</v>
      </c>
      <c r="BE375" s="100">
        <v>4</v>
      </c>
      <c r="BF375" s="100">
        <v>2</v>
      </c>
      <c r="BG375" s="100">
        <v>13</v>
      </c>
      <c r="BH375" s="341">
        <v>0.73589202014033306</v>
      </c>
      <c r="BI375" s="341">
        <v>5.6607078472333303E-2</v>
      </c>
      <c r="BJ375" s="342">
        <v>0.36794601007016697</v>
      </c>
    </row>
    <row r="376" spans="52:62" s="3" customFormat="1" ht="18" customHeight="1" x14ac:dyDescent="0.2">
      <c r="AZ376" s="39">
        <v>291</v>
      </c>
      <c r="BA376" s="105">
        <v>24</v>
      </c>
      <c r="BB376" s="100">
        <v>5</v>
      </c>
      <c r="BC376" s="100">
        <v>4</v>
      </c>
      <c r="BD376" s="100">
        <v>7</v>
      </c>
      <c r="BE376" s="100">
        <v>4</v>
      </c>
      <c r="BF376" s="100">
        <v>2</v>
      </c>
      <c r="BG376" s="100">
        <v>13</v>
      </c>
      <c r="BH376" s="341">
        <v>0.70052004174469007</v>
      </c>
      <c r="BI376" s="341">
        <v>5.3886157057283807E-2</v>
      </c>
      <c r="BJ376" s="342">
        <v>0.35026002087234498</v>
      </c>
    </row>
    <row r="377" spans="52:62" s="3" customFormat="1" ht="18" customHeight="1" x14ac:dyDescent="0.2">
      <c r="AZ377" s="39">
        <v>292</v>
      </c>
      <c r="BA377" s="105">
        <v>24</v>
      </c>
      <c r="BB377" s="100">
        <v>6</v>
      </c>
      <c r="BC377" s="100">
        <v>3</v>
      </c>
      <c r="BD377" s="100">
        <v>7</v>
      </c>
      <c r="BE377" s="100">
        <v>4</v>
      </c>
      <c r="BF377" s="100">
        <v>2</v>
      </c>
      <c r="BG377" s="100">
        <v>13</v>
      </c>
      <c r="BH377" s="341">
        <v>0.73340764643548695</v>
      </c>
      <c r="BI377" s="341">
        <v>5.6415972802729697E-2</v>
      </c>
      <c r="BJ377" s="342">
        <v>0.36670382321774297</v>
      </c>
    </row>
    <row r="378" spans="52:62" s="3" customFormat="1" ht="18" customHeight="1" x14ac:dyDescent="0.2">
      <c r="AZ378" s="39">
        <v>293</v>
      </c>
      <c r="BA378" s="105">
        <v>24</v>
      </c>
      <c r="BB378" s="100">
        <v>6</v>
      </c>
      <c r="BC378" s="100">
        <v>4</v>
      </c>
      <c r="BD378" s="100">
        <v>7</v>
      </c>
      <c r="BE378" s="100">
        <v>4</v>
      </c>
      <c r="BF378" s="100">
        <v>2</v>
      </c>
      <c r="BG378" s="100">
        <v>13</v>
      </c>
      <c r="BH378" s="341">
        <v>0.69821426740710313</v>
      </c>
      <c r="BI378" s="341">
        <v>5.3708789800546407E-2</v>
      </c>
      <c r="BJ378" s="342">
        <v>0.34910713370355201</v>
      </c>
    </row>
    <row r="379" spans="52:62" s="3" customFormat="1" ht="18" customHeight="1" x14ac:dyDescent="0.2">
      <c r="AZ379" s="39">
        <v>294</v>
      </c>
      <c r="BA379" s="105">
        <v>24</v>
      </c>
      <c r="BB379" s="100">
        <v>7</v>
      </c>
      <c r="BC379" s="100">
        <v>3</v>
      </c>
      <c r="BD379" s="100">
        <v>7</v>
      </c>
      <c r="BE379" s="100">
        <v>4</v>
      </c>
      <c r="BF379" s="100">
        <v>2</v>
      </c>
      <c r="BG379" s="100">
        <v>13</v>
      </c>
      <c r="BH379" s="341">
        <v>0.7360402314212231</v>
      </c>
      <c r="BI379" s="341">
        <v>5.6618479340094098E-2</v>
      </c>
      <c r="BJ379" s="342">
        <v>0.36802011571061211</v>
      </c>
    </row>
    <row r="380" spans="52:62" s="3" customFormat="1" ht="18" customHeight="1" x14ac:dyDescent="0.2">
      <c r="AZ380" s="39">
        <v>295</v>
      </c>
      <c r="BA380" s="105">
        <v>24</v>
      </c>
      <c r="BB380" s="100">
        <v>7</v>
      </c>
      <c r="BC380" s="100">
        <v>4</v>
      </c>
      <c r="BD380" s="100">
        <v>7</v>
      </c>
      <c r="BE380" s="100">
        <v>4</v>
      </c>
      <c r="BF380" s="100">
        <v>2</v>
      </c>
      <c r="BG380" s="100">
        <v>13</v>
      </c>
      <c r="BH380" s="341">
        <v>0.70065759283893603</v>
      </c>
      <c r="BI380" s="341">
        <v>5.3896737910687408E-2</v>
      </c>
      <c r="BJ380" s="342">
        <v>0.35032879641946801</v>
      </c>
    </row>
    <row r="381" spans="52:62" s="3" customFormat="1" ht="18" customHeight="1" x14ac:dyDescent="0.2">
      <c r="AZ381" s="39">
        <v>296</v>
      </c>
      <c r="BA381" s="105">
        <v>24</v>
      </c>
      <c r="BB381" s="100">
        <v>8</v>
      </c>
      <c r="BC381" s="100">
        <v>3</v>
      </c>
      <c r="BD381" s="100">
        <v>7</v>
      </c>
      <c r="BE381" s="100">
        <v>4</v>
      </c>
      <c r="BF381" s="100">
        <v>2</v>
      </c>
      <c r="BG381" s="100">
        <v>13</v>
      </c>
      <c r="BH381" s="341">
        <v>0.73669611407569913</v>
      </c>
      <c r="BI381" s="341">
        <v>5.6668931851976898E-2</v>
      </c>
      <c r="BJ381" s="342">
        <v>0.36834805703785001</v>
      </c>
    </row>
    <row r="382" spans="52:62" s="3" customFormat="1" ht="18" customHeight="1" x14ac:dyDescent="0.2">
      <c r="AZ382" s="39">
        <v>297</v>
      </c>
      <c r="BA382" s="105">
        <v>24</v>
      </c>
      <c r="BB382" s="100">
        <v>8</v>
      </c>
      <c r="BC382" s="100">
        <v>4</v>
      </c>
      <c r="BD382" s="100">
        <v>7</v>
      </c>
      <c r="BE382" s="100">
        <v>4</v>
      </c>
      <c r="BF382" s="100">
        <v>2</v>
      </c>
      <c r="BG382" s="100">
        <v>13</v>
      </c>
      <c r="BH382" s="341">
        <v>0.70126629353121916</v>
      </c>
      <c r="BI382" s="341">
        <v>5.3943561040863001E-2</v>
      </c>
      <c r="BJ382" s="342">
        <v>0.35063314676561008</v>
      </c>
    </row>
    <row r="383" spans="52:62" s="3" customFormat="1" ht="18" customHeight="1" x14ac:dyDescent="0.2">
      <c r="AZ383" s="39">
        <v>298</v>
      </c>
      <c r="BA383" s="105">
        <v>24</v>
      </c>
      <c r="BB383" s="100">
        <v>9</v>
      </c>
      <c r="BC383" s="100">
        <v>3</v>
      </c>
      <c r="BD383" s="100">
        <v>7</v>
      </c>
      <c r="BE383" s="100">
        <v>4</v>
      </c>
      <c r="BF383" s="100">
        <v>2</v>
      </c>
      <c r="BG383" s="100">
        <v>13</v>
      </c>
      <c r="BH383" s="341">
        <v>0.72907176720963707</v>
      </c>
      <c r="BI383" s="341">
        <v>5.6082443631510499E-2</v>
      </c>
      <c r="BJ383" s="342">
        <v>0.36453588360481798</v>
      </c>
    </row>
    <row r="384" spans="52:62" s="3" customFormat="1" ht="18" customHeight="1" x14ac:dyDescent="0.2">
      <c r="AZ384" s="39">
        <v>299</v>
      </c>
      <c r="BA384" s="105">
        <v>24</v>
      </c>
      <c r="BB384" s="100">
        <v>9</v>
      </c>
      <c r="BC384" s="100">
        <v>4</v>
      </c>
      <c r="BD384" s="100">
        <v>7</v>
      </c>
      <c r="BE384" s="100">
        <v>4</v>
      </c>
      <c r="BF384" s="100">
        <v>2</v>
      </c>
      <c r="BG384" s="100">
        <v>13</v>
      </c>
      <c r="BH384" s="341">
        <v>0.69418967983088498</v>
      </c>
      <c r="BI384" s="341">
        <v>5.3399206140837298E-2</v>
      </c>
      <c r="BJ384" s="342">
        <v>0.34709483991544299</v>
      </c>
    </row>
    <row r="385" spans="52:62" s="3" customFormat="1" ht="18" customHeight="1" x14ac:dyDescent="0.2">
      <c r="AZ385" s="39">
        <v>300</v>
      </c>
      <c r="BA385" s="105">
        <v>25</v>
      </c>
      <c r="BB385" s="100">
        <v>1</v>
      </c>
      <c r="BC385" s="100">
        <v>3</v>
      </c>
      <c r="BD385" s="100">
        <v>7</v>
      </c>
      <c r="BE385" s="100">
        <v>4</v>
      </c>
      <c r="BF385" s="100">
        <v>2</v>
      </c>
      <c r="BG385" s="100">
        <v>13</v>
      </c>
      <c r="BH385" s="341">
        <v>0.73658335852302004</v>
      </c>
      <c r="BI385" s="341">
        <v>5.6660258347924597E-2</v>
      </c>
      <c r="BJ385" s="342">
        <v>0.36829167926151002</v>
      </c>
    </row>
    <row r="386" spans="52:62" s="3" customFormat="1" ht="18" customHeight="1" x14ac:dyDescent="0.2">
      <c r="AZ386" s="39">
        <v>301</v>
      </c>
      <c r="BA386" s="105">
        <v>25</v>
      </c>
      <c r="BB386" s="100">
        <v>1</v>
      </c>
      <c r="BC386" s="100">
        <v>4</v>
      </c>
      <c r="BD386" s="100">
        <v>7</v>
      </c>
      <c r="BE386" s="100">
        <v>4</v>
      </c>
      <c r="BF386" s="100">
        <v>2</v>
      </c>
      <c r="BG386" s="100">
        <v>13</v>
      </c>
      <c r="BH386" s="341">
        <v>0.70116165005735698</v>
      </c>
      <c r="BI386" s="341">
        <v>5.3935511542873613E-2</v>
      </c>
      <c r="BJ386" s="342">
        <v>0.35058082502867799</v>
      </c>
    </row>
    <row r="387" spans="52:62" s="3" customFormat="1" ht="18" customHeight="1" x14ac:dyDescent="0.2">
      <c r="AZ387" s="39">
        <v>302</v>
      </c>
      <c r="BA387" s="105">
        <v>25</v>
      </c>
      <c r="BB387" s="100">
        <v>10</v>
      </c>
      <c r="BC387" s="100">
        <v>3</v>
      </c>
      <c r="BD387" s="100">
        <v>7</v>
      </c>
      <c r="BE387" s="100">
        <v>4</v>
      </c>
      <c r="BF387" s="100">
        <v>2</v>
      </c>
      <c r="BG387" s="100">
        <v>13</v>
      </c>
      <c r="BH387" s="341">
        <v>0.73370916011677412</v>
      </c>
      <c r="BI387" s="341">
        <v>5.6439166162828798E-2</v>
      </c>
      <c r="BJ387" s="342">
        <v>0.366854580058387</v>
      </c>
    </row>
    <row r="388" spans="52:62" s="3" customFormat="1" ht="18" customHeight="1" x14ac:dyDescent="0.2">
      <c r="AZ388" s="39">
        <v>303</v>
      </c>
      <c r="BA388" s="105">
        <v>25</v>
      </c>
      <c r="BB388" s="100">
        <v>10</v>
      </c>
      <c r="BC388" s="100">
        <v>4</v>
      </c>
      <c r="BD388" s="100">
        <v>7</v>
      </c>
      <c r="BE388" s="100">
        <v>4</v>
      </c>
      <c r="BF388" s="100">
        <v>2</v>
      </c>
      <c r="BG388" s="100">
        <v>13</v>
      </c>
      <c r="BH388" s="341">
        <v>0.69849411464925204</v>
      </c>
      <c r="BI388" s="341">
        <v>5.3730316511480913E-2</v>
      </c>
      <c r="BJ388" s="342">
        <v>0.34924705732462602</v>
      </c>
    </row>
    <row r="389" spans="52:62" s="3" customFormat="1" ht="18" customHeight="1" x14ac:dyDescent="0.2">
      <c r="AZ389" s="39">
        <v>304</v>
      </c>
      <c r="BA389" s="105">
        <v>25</v>
      </c>
      <c r="BB389" s="100">
        <v>2</v>
      </c>
      <c r="BC389" s="100">
        <v>3</v>
      </c>
      <c r="BD389" s="100">
        <v>7</v>
      </c>
      <c r="BE389" s="100">
        <v>4</v>
      </c>
      <c r="BF389" s="100">
        <v>2</v>
      </c>
      <c r="BG389" s="100">
        <v>13</v>
      </c>
      <c r="BH389" s="341">
        <v>0.73359669514078096</v>
      </c>
      <c r="BI389" s="341">
        <v>5.6430515010829303E-2</v>
      </c>
      <c r="BJ389" s="342">
        <v>0.36679834757038998</v>
      </c>
    </row>
    <row r="390" spans="52:62" s="3" customFormat="1" ht="18" customHeight="1" x14ac:dyDescent="0.2">
      <c r="AZ390" s="39">
        <v>305</v>
      </c>
      <c r="BA390" s="105">
        <v>25</v>
      </c>
      <c r="BB390" s="100">
        <v>2</v>
      </c>
      <c r="BC390" s="100">
        <v>4</v>
      </c>
      <c r="BD390" s="100">
        <v>7</v>
      </c>
      <c r="BE390" s="100">
        <v>4</v>
      </c>
      <c r="BF390" s="100">
        <v>2</v>
      </c>
      <c r="BG390" s="100">
        <v>13</v>
      </c>
      <c r="BH390" s="341">
        <v>0.69838973156980211</v>
      </c>
      <c r="BI390" s="341">
        <v>5.3722287043830898E-2</v>
      </c>
      <c r="BJ390" s="342">
        <v>0.34919486578490111</v>
      </c>
    </row>
    <row r="391" spans="52:62" s="3" customFormat="1" ht="18" customHeight="1" x14ac:dyDescent="0.2">
      <c r="AZ391" s="39">
        <v>306</v>
      </c>
      <c r="BA391" s="105">
        <v>25</v>
      </c>
      <c r="BB391" s="100">
        <v>3</v>
      </c>
      <c r="BC391" s="100">
        <v>3</v>
      </c>
      <c r="BD391" s="100">
        <v>7</v>
      </c>
      <c r="BE391" s="100">
        <v>4</v>
      </c>
      <c r="BF391" s="100">
        <v>2</v>
      </c>
      <c r="BG391" s="100">
        <v>13</v>
      </c>
      <c r="BH391" s="341">
        <v>0.73440610522350103</v>
      </c>
      <c r="BI391" s="341">
        <v>5.6492777324884703E-2</v>
      </c>
      <c r="BJ391" s="342">
        <v>0.36720305261175001</v>
      </c>
    </row>
    <row r="392" spans="52:62" s="3" customFormat="1" ht="18" customHeight="1" x14ac:dyDescent="0.2">
      <c r="AZ392" s="39">
        <v>307</v>
      </c>
      <c r="BA392" s="105">
        <v>25</v>
      </c>
      <c r="BB392" s="100">
        <v>3</v>
      </c>
      <c r="BC392" s="100">
        <v>4</v>
      </c>
      <c r="BD392" s="100">
        <v>7</v>
      </c>
      <c r="BE392" s="100">
        <v>4</v>
      </c>
      <c r="BF392" s="100">
        <v>2</v>
      </c>
      <c r="BG392" s="100">
        <v>13</v>
      </c>
      <c r="BH392" s="341">
        <v>0.69914096842863416</v>
      </c>
      <c r="BI392" s="341">
        <v>5.3780074494510298E-2</v>
      </c>
      <c r="BJ392" s="342">
        <v>0.34957048421431708</v>
      </c>
    </row>
    <row r="393" spans="52:62" s="3" customFormat="1" ht="18" customHeight="1" x14ac:dyDescent="0.2">
      <c r="AZ393" s="39">
        <v>308</v>
      </c>
      <c r="BA393" s="105">
        <v>25</v>
      </c>
      <c r="BB393" s="100">
        <v>4</v>
      </c>
      <c r="BC393" s="100">
        <v>3</v>
      </c>
      <c r="BD393" s="100">
        <v>7</v>
      </c>
      <c r="BE393" s="100">
        <v>4</v>
      </c>
      <c r="BF393" s="100">
        <v>2</v>
      </c>
      <c r="BG393" s="100">
        <v>13</v>
      </c>
      <c r="BH393" s="341">
        <v>0.73492392189682698</v>
      </c>
      <c r="BI393" s="341">
        <v>5.6532609376678998E-2</v>
      </c>
      <c r="BJ393" s="342">
        <v>0.36746196094841299</v>
      </c>
    </row>
    <row r="394" spans="52:62" s="3" customFormat="1" ht="18" customHeight="1" x14ac:dyDescent="0.2">
      <c r="AZ394" s="39">
        <v>309</v>
      </c>
      <c r="BA394" s="105">
        <v>25</v>
      </c>
      <c r="BB394" s="100">
        <v>4</v>
      </c>
      <c r="BC394" s="100">
        <v>4</v>
      </c>
      <c r="BD394" s="100">
        <v>7</v>
      </c>
      <c r="BE394" s="100">
        <v>4</v>
      </c>
      <c r="BF394" s="100">
        <v>2</v>
      </c>
      <c r="BG394" s="100">
        <v>13</v>
      </c>
      <c r="BH394" s="341">
        <v>0.69962155953584404</v>
      </c>
      <c r="BI394" s="341">
        <v>5.3817043041218697E-2</v>
      </c>
      <c r="BJ394" s="342">
        <v>0.34981077976792202</v>
      </c>
    </row>
    <row r="395" spans="52:62" s="3" customFormat="1" ht="18" customHeight="1" x14ac:dyDescent="0.2">
      <c r="AZ395" s="39">
        <v>310</v>
      </c>
      <c r="BA395" s="105">
        <v>25</v>
      </c>
      <c r="BB395" s="100">
        <v>5</v>
      </c>
      <c r="BC395" s="100">
        <v>3</v>
      </c>
      <c r="BD395" s="100">
        <v>7</v>
      </c>
      <c r="BE395" s="100">
        <v>4</v>
      </c>
      <c r="BF395" s="100">
        <v>2</v>
      </c>
      <c r="BG395" s="100">
        <v>13</v>
      </c>
      <c r="BH395" s="341">
        <v>0.73589202014033306</v>
      </c>
      <c r="BI395" s="341">
        <v>5.6607078472333303E-2</v>
      </c>
      <c r="BJ395" s="342">
        <v>0.36794601007016697</v>
      </c>
    </row>
    <row r="396" spans="52:62" s="3" customFormat="1" ht="18" customHeight="1" x14ac:dyDescent="0.2">
      <c r="AZ396" s="39">
        <v>311</v>
      </c>
      <c r="BA396" s="105">
        <v>25</v>
      </c>
      <c r="BB396" s="100">
        <v>5</v>
      </c>
      <c r="BC396" s="100">
        <v>4</v>
      </c>
      <c r="BD396" s="100">
        <v>7</v>
      </c>
      <c r="BE396" s="100">
        <v>4</v>
      </c>
      <c r="BF396" s="100">
        <v>2</v>
      </c>
      <c r="BG396" s="100">
        <v>13</v>
      </c>
      <c r="BH396" s="341">
        <v>0.70052004174469007</v>
      </c>
      <c r="BI396" s="341">
        <v>5.3886157057283807E-2</v>
      </c>
      <c r="BJ396" s="342">
        <v>0.35026002087234498</v>
      </c>
    </row>
    <row r="397" spans="52:62" s="3" customFormat="1" ht="18" customHeight="1" x14ac:dyDescent="0.2">
      <c r="AZ397" s="39">
        <v>312</v>
      </c>
      <c r="BA397" s="105">
        <v>25</v>
      </c>
      <c r="BB397" s="100">
        <v>6</v>
      </c>
      <c r="BC397" s="100">
        <v>3</v>
      </c>
      <c r="BD397" s="100">
        <v>7</v>
      </c>
      <c r="BE397" s="100">
        <v>4</v>
      </c>
      <c r="BF397" s="100">
        <v>2</v>
      </c>
      <c r="BG397" s="100">
        <v>13</v>
      </c>
      <c r="BH397" s="341">
        <v>0.73340764643548695</v>
      </c>
      <c r="BI397" s="341">
        <v>5.6415972802729697E-2</v>
      </c>
      <c r="BJ397" s="342">
        <v>0.36670382321774297</v>
      </c>
    </row>
    <row r="398" spans="52:62" s="3" customFormat="1" ht="18" customHeight="1" x14ac:dyDescent="0.2">
      <c r="AZ398" s="39">
        <v>313</v>
      </c>
      <c r="BA398" s="105">
        <v>25</v>
      </c>
      <c r="BB398" s="100">
        <v>6</v>
      </c>
      <c r="BC398" s="100">
        <v>4</v>
      </c>
      <c r="BD398" s="100">
        <v>7</v>
      </c>
      <c r="BE398" s="100">
        <v>4</v>
      </c>
      <c r="BF398" s="100">
        <v>2</v>
      </c>
      <c r="BG398" s="100">
        <v>13</v>
      </c>
      <c r="BH398" s="341">
        <v>0.69821426740710313</v>
      </c>
      <c r="BI398" s="341">
        <v>5.3708789800546407E-2</v>
      </c>
      <c r="BJ398" s="342">
        <v>0.34910713370355201</v>
      </c>
    </row>
    <row r="399" spans="52:62" s="3" customFormat="1" ht="18" customHeight="1" x14ac:dyDescent="0.2">
      <c r="AZ399" s="39">
        <v>314</v>
      </c>
      <c r="BA399" s="105">
        <v>25</v>
      </c>
      <c r="BB399" s="100">
        <v>7</v>
      </c>
      <c r="BC399" s="100">
        <v>3</v>
      </c>
      <c r="BD399" s="100">
        <v>7</v>
      </c>
      <c r="BE399" s="100">
        <v>4</v>
      </c>
      <c r="BF399" s="100">
        <v>2</v>
      </c>
      <c r="BG399" s="100">
        <v>13</v>
      </c>
      <c r="BH399" s="341">
        <v>0.7360402314212231</v>
      </c>
      <c r="BI399" s="341">
        <v>5.6618479340094098E-2</v>
      </c>
      <c r="BJ399" s="342">
        <v>0.36802011571061211</v>
      </c>
    </row>
    <row r="400" spans="52:62" s="3" customFormat="1" ht="18" customHeight="1" x14ac:dyDescent="0.2">
      <c r="AZ400" s="39">
        <v>315</v>
      </c>
      <c r="BA400" s="105">
        <v>25</v>
      </c>
      <c r="BB400" s="100">
        <v>7</v>
      </c>
      <c r="BC400" s="100">
        <v>4</v>
      </c>
      <c r="BD400" s="100">
        <v>7</v>
      </c>
      <c r="BE400" s="100">
        <v>4</v>
      </c>
      <c r="BF400" s="100">
        <v>2</v>
      </c>
      <c r="BG400" s="100">
        <v>13</v>
      </c>
      <c r="BH400" s="341">
        <v>0.70065759283893603</v>
      </c>
      <c r="BI400" s="341">
        <v>5.3896737910687408E-2</v>
      </c>
      <c r="BJ400" s="342">
        <v>0.35032879641946801</v>
      </c>
    </row>
    <row r="401" spans="52:62" s="3" customFormat="1" ht="18" customHeight="1" x14ac:dyDescent="0.2">
      <c r="AZ401" s="39">
        <v>316</v>
      </c>
      <c r="BA401" s="105">
        <v>25</v>
      </c>
      <c r="BB401" s="100">
        <v>8</v>
      </c>
      <c r="BC401" s="100">
        <v>3</v>
      </c>
      <c r="BD401" s="100">
        <v>7</v>
      </c>
      <c r="BE401" s="100">
        <v>4</v>
      </c>
      <c r="BF401" s="100">
        <v>2</v>
      </c>
      <c r="BG401" s="100">
        <v>13</v>
      </c>
      <c r="BH401" s="341">
        <v>0.73669611407569913</v>
      </c>
      <c r="BI401" s="341">
        <v>5.6668931851976898E-2</v>
      </c>
      <c r="BJ401" s="342">
        <v>0.36834805703785001</v>
      </c>
    </row>
    <row r="402" spans="52:62" s="3" customFormat="1" ht="18" customHeight="1" x14ac:dyDescent="0.2">
      <c r="AZ402" s="39">
        <v>317</v>
      </c>
      <c r="BA402" s="105">
        <v>25</v>
      </c>
      <c r="BB402" s="100">
        <v>8</v>
      </c>
      <c r="BC402" s="100">
        <v>4</v>
      </c>
      <c r="BD402" s="100">
        <v>7</v>
      </c>
      <c r="BE402" s="100">
        <v>4</v>
      </c>
      <c r="BF402" s="100">
        <v>2</v>
      </c>
      <c r="BG402" s="100">
        <v>13</v>
      </c>
      <c r="BH402" s="341">
        <v>0.70126629353121916</v>
      </c>
      <c r="BI402" s="341">
        <v>5.3943561040863001E-2</v>
      </c>
      <c r="BJ402" s="342">
        <v>0.35063314676561008</v>
      </c>
    </row>
    <row r="403" spans="52:62" s="3" customFormat="1" ht="18" customHeight="1" x14ac:dyDescent="0.2">
      <c r="AZ403" s="39">
        <v>318</v>
      </c>
      <c r="BA403" s="105">
        <v>25</v>
      </c>
      <c r="BB403" s="100">
        <v>9</v>
      </c>
      <c r="BC403" s="100">
        <v>3</v>
      </c>
      <c r="BD403" s="100">
        <v>7</v>
      </c>
      <c r="BE403" s="100">
        <v>4</v>
      </c>
      <c r="BF403" s="100">
        <v>2</v>
      </c>
      <c r="BG403" s="100">
        <v>13</v>
      </c>
      <c r="BH403" s="341">
        <v>0.72907176720963707</v>
      </c>
      <c r="BI403" s="341">
        <v>5.6082443631510499E-2</v>
      </c>
      <c r="BJ403" s="342">
        <v>0.36453588360481798</v>
      </c>
    </row>
    <row r="404" spans="52:62" s="3" customFormat="1" ht="18" customHeight="1" x14ac:dyDescent="0.2">
      <c r="AZ404" s="39">
        <v>319</v>
      </c>
      <c r="BA404" s="105">
        <v>25</v>
      </c>
      <c r="BB404" s="100">
        <v>9</v>
      </c>
      <c r="BC404" s="100">
        <v>4</v>
      </c>
      <c r="BD404" s="100">
        <v>7</v>
      </c>
      <c r="BE404" s="100">
        <v>4</v>
      </c>
      <c r="BF404" s="100">
        <v>2</v>
      </c>
      <c r="BG404" s="100">
        <v>13</v>
      </c>
      <c r="BH404" s="341">
        <v>0.69418967983088498</v>
      </c>
      <c r="BI404" s="341">
        <v>5.3399206140837298E-2</v>
      </c>
      <c r="BJ404" s="342">
        <v>0.34709483991544299</v>
      </c>
    </row>
    <row r="405" spans="52:62" s="3" customFormat="1" ht="18" customHeight="1" x14ac:dyDescent="0.2">
      <c r="AZ405" s="39">
        <v>320</v>
      </c>
      <c r="BA405" s="105">
        <v>26</v>
      </c>
      <c r="BB405" s="100">
        <v>4</v>
      </c>
      <c r="BC405" s="100">
        <v>3</v>
      </c>
      <c r="BD405" s="100">
        <v>82</v>
      </c>
      <c r="BE405" s="100">
        <v>4</v>
      </c>
      <c r="BF405" s="100">
        <v>2</v>
      </c>
      <c r="BG405" s="100">
        <v>3</v>
      </c>
      <c r="BH405" s="341">
        <v>0.93493784254936618</v>
      </c>
      <c r="BI405" s="341">
        <v>0.31164594751645508</v>
      </c>
      <c r="BJ405" s="342">
        <v>0.46746892127468298</v>
      </c>
    </row>
    <row r="406" spans="52:62" s="3" customFormat="1" ht="18" customHeight="1" x14ac:dyDescent="0.2">
      <c r="AZ406" s="39">
        <v>321</v>
      </c>
      <c r="BA406" s="105">
        <v>26</v>
      </c>
      <c r="BB406" s="100">
        <v>4</v>
      </c>
      <c r="BC406" s="100">
        <v>4</v>
      </c>
      <c r="BD406" s="100">
        <v>82</v>
      </c>
      <c r="BE406" s="100">
        <v>4</v>
      </c>
      <c r="BF406" s="100">
        <v>2</v>
      </c>
      <c r="BG406" s="100">
        <v>3</v>
      </c>
      <c r="BH406" s="341">
        <v>0.88473849466178411</v>
      </c>
      <c r="BI406" s="341">
        <v>0.294912831553928</v>
      </c>
      <c r="BJ406" s="342">
        <v>0.44236924733089211</v>
      </c>
    </row>
    <row r="407" spans="52:62" s="3" customFormat="1" ht="18" customHeight="1" x14ac:dyDescent="0.2">
      <c r="AZ407" s="39">
        <v>322</v>
      </c>
      <c r="BA407" s="105">
        <v>27</v>
      </c>
      <c r="BB407" s="100">
        <v>1</v>
      </c>
      <c r="BC407" s="100">
        <v>3</v>
      </c>
      <c r="BD407" s="100">
        <v>1</v>
      </c>
      <c r="BE407" s="100">
        <v>4</v>
      </c>
      <c r="BF407" s="100">
        <v>2</v>
      </c>
      <c r="BG407" s="100">
        <v>5</v>
      </c>
      <c r="BH407" s="341">
        <v>0.44202097689152903</v>
      </c>
      <c r="BI407" s="341">
        <v>8.8404195378305919E-2</v>
      </c>
      <c r="BJ407" s="342">
        <v>0.22101048844576501</v>
      </c>
    </row>
    <row r="408" spans="52:62" s="3" customFormat="1" ht="18" customHeight="1" x14ac:dyDescent="0.2">
      <c r="AZ408" s="39">
        <v>323</v>
      </c>
      <c r="BA408" s="105">
        <v>27</v>
      </c>
      <c r="BB408" s="100">
        <v>1</v>
      </c>
      <c r="BC408" s="100">
        <v>4</v>
      </c>
      <c r="BD408" s="100">
        <v>1</v>
      </c>
      <c r="BE408" s="100">
        <v>4</v>
      </c>
      <c r="BF408" s="100">
        <v>2</v>
      </c>
      <c r="BG408" s="100">
        <v>5</v>
      </c>
      <c r="BH408" s="341">
        <v>0.42634934265484498</v>
      </c>
      <c r="BI408" s="341">
        <v>8.5269868530969004E-2</v>
      </c>
      <c r="BJ408" s="342">
        <v>0.21317467132742299</v>
      </c>
    </row>
    <row r="409" spans="52:62" s="3" customFormat="1" ht="18" customHeight="1" x14ac:dyDescent="0.2">
      <c r="AZ409" s="39">
        <v>324</v>
      </c>
      <c r="BA409" s="105">
        <v>27</v>
      </c>
      <c r="BB409" s="100">
        <v>2</v>
      </c>
      <c r="BC409" s="100">
        <v>3</v>
      </c>
      <c r="BD409" s="100">
        <v>1</v>
      </c>
      <c r="BE409" s="100">
        <v>4</v>
      </c>
      <c r="BF409" s="100">
        <v>2</v>
      </c>
      <c r="BG409" s="100">
        <v>5</v>
      </c>
      <c r="BH409" s="341">
        <v>0.44087876147899602</v>
      </c>
      <c r="BI409" s="341">
        <v>8.8175752295799298E-2</v>
      </c>
      <c r="BJ409" s="342">
        <v>0.22043938073949801</v>
      </c>
    </row>
    <row r="410" spans="52:62" s="3" customFormat="1" ht="18" customHeight="1" x14ac:dyDescent="0.2">
      <c r="AZ410" s="39">
        <v>325</v>
      </c>
      <c r="BA410" s="105">
        <v>27</v>
      </c>
      <c r="BB410" s="100">
        <v>2</v>
      </c>
      <c r="BC410" s="100">
        <v>4</v>
      </c>
      <c r="BD410" s="100">
        <v>1</v>
      </c>
      <c r="BE410" s="100">
        <v>4</v>
      </c>
      <c r="BF410" s="100">
        <v>2</v>
      </c>
      <c r="BG410" s="100">
        <v>5</v>
      </c>
      <c r="BH410" s="341">
        <v>0.42527671945879603</v>
      </c>
      <c r="BI410" s="341">
        <v>8.5055343891759103E-2</v>
      </c>
      <c r="BJ410" s="342">
        <v>0.21263835972939801</v>
      </c>
    </row>
    <row r="411" spans="52:62" s="3" customFormat="1" ht="18" customHeight="1" x14ac:dyDescent="0.2">
      <c r="AZ411" s="39">
        <v>326</v>
      </c>
      <c r="BA411" s="105">
        <v>27</v>
      </c>
      <c r="BB411" s="100">
        <v>4</v>
      </c>
      <c r="BC411" s="100">
        <v>3</v>
      </c>
      <c r="BD411" s="100">
        <v>1</v>
      </c>
      <c r="BE411" s="100">
        <v>4</v>
      </c>
      <c r="BF411" s="100">
        <v>2</v>
      </c>
      <c r="BG411" s="100">
        <v>5</v>
      </c>
      <c r="BH411" s="341">
        <v>0.44138634776445601</v>
      </c>
      <c r="BI411" s="341">
        <v>8.8277269552891294E-2</v>
      </c>
      <c r="BJ411" s="342">
        <v>0.22069317388222801</v>
      </c>
    </row>
    <row r="412" spans="52:62" s="3" customFormat="1" ht="18" customHeight="1" x14ac:dyDescent="0.2">
      <c r="AZ412" s="39">
        <v>327</v>
      </c>
      <c r="BA412" s="105">
        <v>27</v>
      </c>
      <c r="BB412" s="100">
        <v>4</v>
      </c>
      <c r="BC412" s="100">
        <v>4</v>
      </c>
      <c r="BD412" s="100">
        <v>1</v>
      </c>
      <c r="BE412" s="100">
        <v>4</v>
      </c>
      <c r="BF412" s="100">
        <v>2</v>
      </c>
      <c r="BG412" s="100">
        <v>5</v>
      </c>
      <c r="BH412" s="341">
        <v>0.42575338830533799</v>
      </c>
      <c r="BI412" s="341">
        <v>8.5150677661067611E-2</v>
      </c>
      <c r="BJ412" s="342">
        <v>0.21287669415266899</v>
      </c>
    </row>
    <row r="413" spans="52:62" s="3" customFormat="1" ht="18" customHeight="1" x14ac:dyDescent="0.2">
      <c r="AZ413" s="39">
        <v>328</v>
      </c>
      <c r="BA413" s="105">
        <v>27</v>
      </c>
      <c r="BB413" s="100">
        <v>6</v>
      </c>
      <c r="BC413" s="100">
        <v>3</v>
      </c>
      <c r="BD413" s="100">
        <v>1</v>
      </c>
      <c r="BE413" s="100">
        <v>4</v>
      </c>
      <c r="BF413" s="100">
        <v>2</v>
      </c>
      <c r="BG413" s="100">
        <v>5</v>
      </c>
      <c r="BH413" s="341">
        <v>0.44080646164974102</v>
      </c>
      <c r="BI413" s="341">
        <v>8.8161292329948196E-2</v>
      </c>
      <c r="BJ413" s="342">
        <v>0.22040323082487001</v>
      </c>
    </row>
    <row r="414" spans="52:62" s="3" customFormat="1" ht="18" customHeight="1" x14ac:dyDescent="0.2">
      <c r="AZ414" s="39">
        <v>329</v>
      </c>
      <c r="BA414" s="105">
        <v>27</v>
      </c>
      <c r="BB414" s="100">
        <v>6</v>
      </c>
      <c r="BC414" s="100">
        <v>4</v>
      </c>
      <c r="BD414" s="100">
        <v>1</v>
      </c>
      <c r="BE414" s="100">
        <v>4</v>
      </c>
      <c r="BF414" s="100">
        <v>2</v>
      </c>
      <c r="BG414" s="100">
        <v>5</v>
      </c>
      <c r="BH414" s="341">
        <v>0.42520882235631202</v>
      </c>
      <c r="BI414" s="341">
        <v>8.5041764471262313E-2</v>
      </c>
      <c r="BJ414" s="342">
        <v>0.21260441117815601</v>
      </c>
    </row>
    <row r="415" spans="52:62" s="3" customFormat="1" ht="18" customHeight="1" x14ac:dyDescent="0.2">
      <c r="AZ415" s="39">
        <v>330</v>
      </c>
      <c r="BA415" s="105">
        <v>27</v>
      </c>
      <c r="BB415" s="100">
        <v>7</v>
      </c>
      <c r="BC415" s="100">
        <v>3</v>
      </c>
      <c r="BD415" s="100">
        <v>1</v>
      </c>
      <c r="BE415" s="100">
        <v>4</v>
      </c>
      <c r="BF415" s="100">
        <v>2</v>
      </c>
      <c r="BG415" s="100">
        <v>5</v>
      </c>
      <c r="BH415" s="341">
        <v>0.44181326492267398</v>
      </c>
      <c r="BI415" s="341">
        <v>8.8362652984534704E-2</v>
      </c>
      <c r="BJ415" s="342">
        <v>0.22090663246133699</v>
      </c>
    </row>
    <row r="416" spans="52:62" s="3" customFormat="1" ht="18" customHeight="1" x14ac:dyDescent="0.2">
      <c r="AZ416" s="39">
        <v>331</v>
      </c>
      <c r="BA416" s="105">
        <v>27</v>
      </c>
      <c r="BB416" s="100">
        <v>7</v>
      </c>
      <c r="BC416" s="100">
        <v>4</v>
      </c>
      <c r="BD416" s="100">
        <v>1</v>
      </c>
      <c r="BE416" s="100">
        <v>4</v>
      </c>
      <c r="BF416" s="100">
        <v>2</v>
      </c>
      <c r="BG416" s="100">
        <v>5</v>
      </c>
      <c r="BH416" s="341">
        <v>0.42615429114960202</v>
      </c>
      <c r="BI416" s="341">
        <v>8.523085822992052E-2</v>
      </c>
      <c r="BJ416" s="342">
        <v>0.21307714557480101</v>
      </c>
    </row>
    <row r="417" spans="52:62" s="3" customFormat="1" ht="18" customHeight="1" x14ac:dyDescent="0.2">
      <c r="AZ417" s="39">
        <v>332</v>
      </c>
      <c r="BA417" s="105">
        <v>27</v>
      </c>
      <c r="BB417" s="100">
        <v>9</v>
      </c>
      <c r="BC417" s="100">
        <v>3</v>
      </c>
      <c r="BD417" s="100">
        <v>1</v>
      </c>
      <c r="BE417" s="100">
        <v>4</v>
      </c>
      <c r="BF417" s="100">
        <v>2</v>
      </c>
      <c r="BG417" s="100">
        <v>5</v>
      </c>
      <c r="BH417" s="341">
        <v>0.43914822716481411</v>
      </c>
      <c r="BI417" s="341">
        <v>8.7829645432962802E-2</v>
      </c>
      <c r="BJ417" s="342">
        <v>0.219574113582407</v>
      </c>
    </row>
    <row r="418" spans="52:62" s="3" customFormat="1" ht="18" customHeight="1" x14ac:dyDescent="0.2">
      <c r="AZ418" s="39">
        <v>333</v>
      </c>
      <c r="BA418" s="105">
        <v>27</v>
      </c>
      <c r="BB418" s="100">
        <v>9</v>
      </c>
      <c r="BC418" s="100">
        <v>4</v>
      </c>
      <c r="BD418" s="100">
        <v>1</v>
      </c>
      <c r="BE418" s="100">
        <v>4</v>
      </c>
      <c r="BF418" s="100">
        <v>2</v>
      </c>
      <c r="BG418" s="100">
        <v>5</v>
      </c>
      <c r="BH418" s="341">
        <v>0.42365149080919912</v>
      </c>
      <c r="BI418" s="341">
        <v>8.4730298161839704E-2</v>
      </c>
      <c r="BJ418" s="342">
        <v>0.211825745404599</v>
      </c>
    </row>
    <row r="419" spans="52:62" s="3" customFormat="1" ht="18" customHeight="1" x14ac:dyDescent="0.2">
      <c r="AZ419" s="39">
        <v>334</v>
      </c>
      <c r="BA419" s="105">
        <v>28</v>
      </c>
      <c r="BB419" s="100">
        <v>4</v>
      </c>
      <c r="BC419" s="100">
        <v>3</v>
      </c>
      <c r="BD419" s="100">
        <v>34</v>
      </c>
      <c r="BE419" s="100">
        <v>4</v>
      </c>
      <c r="BF419" s="100">
        <v>2</v>
      </c>
      <c r="BG419" s="100">
        <v>2</v>
      </c>
      <c r="BH419" s="341">
        <v>0.30746432894154901</v>
      </c>
      <c r="BI419" s="341">
        <v>0.15373216447077401</v>
      </c>
      <c r="BJ419" s="342">
        <v>0.15373216447077401</v>
      </c>
    </row>
    <row r="420" spans="52:62" s="3" customFormat="1" ht="18" customHeight="1" x14ac:dyDescent="0.2">
      <c r="AZ420" s="39">
        <v>335</v>
      </c>
      <c r="BA420" s="105">
        <v>28</v>
      </c>
      <c r="BB420" s="100">
        <v>4</v>
      </c>
      <c r="BC420" s="100">
        <v>4</v>
      </c>
      <c r="BD420" s="100">
        <v>34</v>
      </c>
      <c r="BE420" s="100">
        <v>4</v>
      </c>
      <c r="BF420" s="100">
        <v>2</v>
      </c>
      <c r="BG420" s="100">
        <v>2</v>
      </c>
      <c r="BH420" s="341">
        <v>0.29944567452314402</v>
      </c>
      <c r="BI420" s="341">
        <v>0.14972283726157201</v>
      </c>
      <c r="BJ420" s="342">
        <v>0.14972283726157201</v>
      </c>
    </row>
    <row r="421" spans="52:62" s="3" customFormat="1" ht="18" customHeight="1" x14ac:dyDescent="0.2">
      <c r="AZ421" s="39">
        <v>336</v>
      </c>
      <c r="BA421" s="105">
        <v>28</v>
      </c>
      <c r="BB421" s="100">
        <v>7</v>
      </c>
      <c r="BC421" s="100">
        <v>3</v>
      </c>
      <c r="BD421" s="100">
        <v>34</v>
      </c>
      <c r="BE421" s="100">
        <v>4</v>
      </c>
      <c r="BF421" s="100">
        <v>2</v>
      </c>
      <c r="BG421" s="100">
        <v>2</v>
      </c>
      <c r="BH421" s="341">
        <v>0.30763432751750208</v>
      </c>
      <c r="BI421" s="341">
        <v>0.15381716375875101</v>
      </c>
      <c r="BJ421" s="342">
        <v>0.15381716375875101</v>
      </c>
    </row>
    <row r="422" spans="52:62" s="3" customFormat="1" ht="18" customHeight="1" x14ac:dyDescent="0.2">
      <c r="AZ422" s="39">
        <v>337</v>
      </c>
      <c r="BA422" s="105">
        <v>28</v>
      </c>
      <c r="BB422" s="100">
        <v>7</v>
      </c>
      <c r="BC422" s="100">
        <v>4</v>
      </c>
      <c r="BD422" s="100">
        <v>34</v>
      </c>
      <c r="BE422" s="100">
        <v>4</v>
      </c>
      <c r="BF422" s="100">
        <v>2</v>
      </c>
      <c r="BG422" s="100">
        <v>2</v>
      </c>
      <c r="BH422" s="341">
        <v>0.29960680765313707</v>
      </c>
      <c r="BI422" s="341">
        <v>0.14980340382656901</v>
      </c>
      <c r="BJ422" s="342">
        <v>0.14980340382656901</v>
      </c>
    </row>
    <row r="423" spans="52:62" s="3" customFormat="1" ht="18" customHeight="1" x14ac:dyDescent="0.2">
      <c r="AZ423" s="39">
        <v>338</v>
      </c>
      <c r="BA423" s="105">
        <v>28</v>
      </c>
      <c r="BB423" s="100">
        <v>9</v>
      </c>
      <c r="BC423" s="100">
        <v>3</v>
      </c>
      <c r="BD423" s="100">
        <v>34</v>
      </c>
      <c r="BE423" s="100">
        <v>4</v>
      </c>
      <c r="BF423" s="100">
        <v>2</v>
      </c>
      <c r="BG423" s="100">
        <v>2</v>
      </c>
      <c r="BH423" s="341">
        <v>0.30657310631109908</v>
      </c>
      <c r="BI423" s="341">
        <v>0.15328655315554901</v>
      </c>
      <c r="BJ423" s="342">
        <v>0.15328655315554901</v>
      </c>
    </row>
    <row r="424" spans="52:62" s="3" customFormat="1" ht="18" customHeight="1" x14ac:dyDescent="0.2">
      <c r="AZ424" s="39">
        <v>339</v>
      </c>
      <c r="BA424" s="105">
        <v>28</v>
      </c>
      <c r="BB424" s="100">
        <v>9</v>
      </c>
      <c r="BC424" s="100">
        <v>4</v>
      </c>
      <c r="BD424" s="100">
        <v>34</v>
      </c>
      <c r="BE424" s="100">
        <v>4</v>
      </c>
      <c r="BF424" s="100">
        <v>2</v>
      </c>
      <c r="BG424" s="100">
        <v>2</v>
      </c>
      <c r="BH424" s="341">
        <v>0.298600890315595</v>
      </c>
      <c r="BI424" s="341">
        <v>0.149300445157798</v>
      </c>
      <c r="BJ424" s="342">
        <v>0.149300445157798</v>
      </c>
    </row>
    <row r="425" spans="52:62" s="3" customFormat="1" ht="18" customHeight="1" x14ac:dyDescent="0.2">
      <c r="AZ425" s="39">
        <v>340</v>
      </c>
      <c r="BA425" s="105">
        <v>29</v>
      </c>
      <c r="BB425" s="100">
        <v>1</v>
      </c>
      <c r="BC425" s="100">
        <v>3</v>
      </c>
      <c r="BD425" s="100">
        <v>1</v>
      </c>
      <c r="BE425" s="100">
        <v>4</v>
      </c>
      <c r="BF425" s="100">
        <v>2</v>
      </c>
      <c r="BG425" s="100">
        <v>5</v>
      </c>
      <c r="BH425" s="341">
        <v>0.44202097689152903</v>
      </c>
      <c r="BI425" s="341">
        <v>8.8404195378305919E-2</v>
      </c>
      <c r="BJ425" s="342">
        <v>0.22101048844576501</v>
      </c>
    </row>
    <row r="426" spans="52:62" s="3" customFormat="1" ht="18" customHeight="1" x14ac:dyDescent="0.2">
      <c r="AZ426" s="39">
        <v>341</v>
      </c>
      <c r="BA426" s="105">
        <v>29</v>
      </c>
      <c r="BB426" s="100">
        <v>1</v>
      </c>
      <c r="BC426" s="100">
        <v>4</v>
      </c>
      <c r="BD426" s="100">
        <v>1</v>
      </c>
      <c r="BE426" s="100">
        <v>4</v>
      </c>
      <c r="BF426" s="100">
        <v>2</v>
      </c>
      <c r="BG426" s="100">
        <v>5</v>
      </c>
      <c r="BH426" s="341">
        <v>0.42634934265484498</v>
      </c>
      <c r="BI426" s="341">
        <v>8.5269868530969004E-2</v>
      </c>
      <c r="BJ426" s="342">
        <v>0.21317467132742299</v>
      </c>
    </row>
    <row r="427" spans="52:62" s="3" customFormat="1" ht="18" customHeight="1" x14ac:dyDescent="0.2">
      <c r="AZ427" s="39">
        <v>342</v>
      </c>
      <c r="BA427" s="105">
        <v>29</v>
      </c>
      <c r="BB427" s="100">
        <v>2</v>
      </c>
      <c r="BC427" s="100">
        <v>3</v>
      </c>
      <c r="BD427" s="100">
        <v>1</v>
      </c>
      <c r="BE427" s="100">
        <v>4</v>
      </c>
      <c r="BF427" s="100">
        <v>2</v>
      </c>
      <c r="BG427" s="100">
        <v>5</v>
      </c>
      <c r="BH427" s="341">
        <v>0.44087876147899602</v>
      </c>
      <c r="BI427" s="341">
        <v>8.8175752295799298E-2</v>
      </c>
      <c r="BJ427" s="342">
        <v>0.22043938073949801</v>
      </c>
    </row>
    <row r="428" spans="52:62" s="3" customFormat="1" ht="18" customHeight="1" x14ac:dyDescent="0.2">
      <c r="AZ428" s="39">
        <v>343</v>
      </c>
      <c r="BA428" s="105">
        <v>29</v>
      </c>
      <c r="BB428" s="100">
        <v>2</v>
      </c>
      <c r="BC428" s="100">
        <v>4</v>
      </c>
      <c r="BD428" s="100">
        <v>1</v>
      </c>
      <c r="BE428" s="100">
        <v>4</v>
      </c>
      <c r="BF428" s="100">
        <v>2</v>
      </c>
      <c r="BG428" s="100">
        <v>5</v>
      </c>
      <c r="BH428" s="341">
        <v>0.42527671945879603</v>
      </c>
      <c r="BI428" s="341">
        <v>8.5055343891759103E-2</v>
      </c>
      <c r="BJ428" s="342">
        <v>0.21263835972939801</v>
      </c>
    </row>
    <row r="429" spans="52:62" s="3" customFormat="1" ht="18" customHeight="1" x14ac:dyDescent="0.2">
      <c r="AZ429" s="39">
        <v>344</v>
      </c>
      <c r="BA429" s="105">
        <v>29</v>
      </c>
      <c r="BB429" s="100">
        <v>4</v>
      </c>
      <c r="BC429" s="100">
        <v>3</v>
      </c>
      <c r="BD429" s="100">
        <v>1</v>
      </c>
      <c r="BE429" s="100">
        <v>4</v>
      </c>
      <c r="BF429" s="100">
        <v>2</v>
      </c>
      <c r="BG429" s="100">
        <v>5</v>
      </c>
      <c r="BH429" s="341">
        <v>0.44138634776445601</v>
      </c>
      <c r="BI429" s="341">
        <v>8.8277269552891294E-2</v>
      </c>
      <c r="BJ429" s="342">
        <v>0.22069317388222801</v>
      </c>
    </row>
    <row r="430" spans="52:62" s="3" customFormat="1" ht="18" customHeight="1" x14ac:dyDescent="0.2">
      <c r="AZ430" s="39">
        <v>345</v>
      </c>
      <c r="BA430" s="105">
        <v>29</v>
      </c>
      <c r="BB430" s="100">
        <v>4</v>
      </c>
      <c r="BC430" s="100">
        <v>4</v>
      </c>
      <c r="BD430" s="100">
        <v>1</v>
      </c>
      <c r="BE430" s="100">
        <v>4</v>
      </c>
      <c r="BF430" s="100">
        <v>2</v>
      </c>
      <c r="BG430" s="100">
        <v>5</v>
      </c>
      <c r="BH430" s="341">
        <v>0.42575338830533799</v>
      </c>
      <c r="BI430" s="341">
        <v>8.5150677661067611E-2</v>
      </c>
      <c r="BJ430" s="342">
        <v>0.21287669415266899</v>
      </c>
    </row>
    <row r="431" spans="52:62" s="3" customFormat="1" ht="18" customHeight="1" x14ac:dyDescent="0.2">
      <c r="AZ431" s="39">
        <v>346</v>
      </c>
      <c r="BA431" s="105">
        <v>29</v>
      </c>
      <c r="BB431" s="100">
        <v>6</v>
      </c>
      <c r="BC431" s="100">
        <v>3</v>
      </c>
      <c r="BD431" s="100">
        <v>1</v>
      </c>
      <c r="BE431" s="100">
        <v>4</v>
      </c>
      <c r="BF431" s="100">
        <v>2</v>
      </c>
      <c r="BG431" s="100">
        <v>5</v>
      </c>
      <c r="BH431" s="341">
        <v>0.44080646164974102</v>
      </c>
      <c r="BI431" s="341">
        <v>8.8161292329948196E-2</v>
      </c>
      <c r="BJ431" s="342">
        <v>0.22040323082487001</v>
      </c>
    </row>
    <row r="432" spans="52:62" s="3" customFormat="1" ht="18" customHeight="1" x14ac:dyDescent="0.2">
      <c r="AZ432" s="39">
        <v>347</v>
      </c>
      <c r="BA432" s="105">
        <v>29</v>
      </c>
      <c r="BB432" s="100">
        <v>6</v>
      </c>
      <c r="BC432" s="100">
        <v>4</v>
      </c>
      <c r="BD432" s="100">
        <v>1</v>
      </c>
      <c r="BE432" s="100">
        <v>4</v>
      </c>
      <c r="BF432" s="100">
        <v>2</v>
      </c>
      <c r="BG432" s="100">
        <v>5</v>
      </c>
      <c r="BH432" s="341">
        <v>0.42520882235631202</v>
      </c>
      <c r="BI432" s="341">
        <v>8.5041764471262313E-2</v>
      </c>
      <c r="BJ432" s="342">
        <v>0.21260441117815601</v>
      </c>
    </row>
    <row r="433" spans="52:62" s="3" customFormat="1" ht="18" customHeight="1" x14ac:dyDescent="0.2">
      <c r="AZ433" s="39">
        <v>348</v>
      </c>
      <c r="BA433" s="105">
        <v>29</v>
      </c>
      <c r="BB433" s="100">
        <v>7</v>
      </c>
      <c r="BC433" s="100">
        <v>3</v>
      </c>
      <c r="BD433" s="100">
        <v>1</v>
      </c>
      <c r="BE433" s="100">
        <v>4</v>
      </c>
      <c r="BF433" s="100">
        <v>2</v>
      </c>
      <c r="BG433" s="100">
        <v>5</v>
      </c>
      <c r="BH433" s="341">
        <v>0.44181326492267398</v>
      </c>
      <c r="BI433" s="341">
        <v>8.8362652984534704E-2</v>
      </c>
      <c r="BJ433" s="342">
        <v>0.22090663246133699</v>
      </c>
    </row>
    <row r="434" spans="52:62" s="3" customFormat="1" ht="18" customHeight="1" x14ac:dyDescent="0.2">
      <c r="AZ434" s="39">
        <v>349</v>
      </c>
      <c r="BA434" s="105">
        <v>29</v>
      </c>
      <c r="BB434" s="100">
        <v>7</v>
      </c>
      <c r="BC434" s="100">
        <v>4</v>
      </c>
      <c r="BD434" s="100">
        <v>1</v>
      </c>
      <c r="BE434" s="100">
        <v>4</v>
      </c>
      <c r="BF434" s="100">
        <v>2</v>
      </c>
      <c r="BG434" s="100">
        <v>5</v>
      </c>
      <c r="BH434" s="341">
        <v>0.42615429114960202</v>
      </c>
      <c r="BI434" s="341">
        <v>8.523085822992052E-2</v>
      </c>
      <c r="BJ434" s="342">
        <v>0.21307714557480101</v>
      </c>
    </row>
    <row r="435" spans="52:62" s="3" customFormat="1" ht="18" customHeight="1" x14ac:dyDescent="0.2">
      <c r="AZ435" s="39">
        <v>350</v>
      </c>
      <c r="BA435" s="105">
        <v>29</v>
      </c>
      <c r="BB435" s="100">
        <v>9</v>
      </c>
      <c r="BC435" s="100">
        <v>3</v>
      </c>
      <c r="BD435" s="100">
        <v>1</v>
      </c>
      <c r="BE435" s="100">
        <v>4</v>
      </c>
      <c r="BF435" s="100">
        <v>2</v>
      </c>
      <c r="BG435" s="100">
        <v>5</v>
      </c>
      <c r="BH435" s="341">
        <v>0.43914822716481411</v>
      </c>
      <c r="BI435" s="341">
        <v>8.7829645432962802E-2</v>
      </c>
      <c r="BJ435" s="342">
        <v>0.219574113582407</v>
      </c>
    </row>
    <row r="436" spans="52:62" s="3" customFormat="1" ht="18" customHeight="1" x14ac:dyDescent="0.2">
      <c r="AZ436" s="39">
        <v>351</v>
      </c>
      <c r="BA436" s="105">
        <v>29</v>
      </c>
      <c r="BB436" s="100">
        <v>9</v>
      </c>
      <c r="BC436" s="100">
        <v>4</v>
      </c>
      <c r="BD436" s="100">
        <v>1</v>
      </c>
      <c r="BE436" s="100">
        <v>4</v>
      </c>
      <c r="BF436" s="100">
        <v>2</v>
      </c>
      <c r="BG436" s="100">
        <v>5</v>
      </c>
      <c r="BH436" s="341">
        <v>0.42365149080919912</v>
      </c>
      <c r="BI436" s="341">
        <v>8.4730298161839704E-2</v>
      </c>
      <c r="BJ436" s="342">
        <v>0.211825745404599</v>
      </c>
    </row>
    <row r="437" spans="52:62" s="3" customFormat="1" ht="18" customHeight="1" x14ac:dyDescent="0.2">
      <c r="AZ437" s="39">
        <v>352</v>
      </c>
      <c r="BA437" s="105">
        <v>30</v>
      </c>
      <c r="BB437" s="100">
        <v>1</v>
      </c>
      <c r="BC437" s="100">
        <v>3</v>
      </c>
      <c r="BD437" s="100">
        <v>16</v>
      </c>
      <c r="BE437" s="100">
        <v>4</v>
      </c>
      <c r="BF437" s="100">
        <v>2</v>
      </c>
      <c r="BG437" s="100">
        <v>1</v>
      </c>
      <c r="BH437" s="341">
        <v>0.10134435252495499</v>
      </c>
      <c r="BI437" s="341">
        <v>0.10134435252495499</v>
      </c>
      <c r="BJ437" s="342">
        <v>5.0672176262477303E-2</v>
      </c>
    </row>
    <row r="438" spans="52:62" s="3" customFormat="1" ht="18" customHeight="1" x14ac:dyDescent="0.2">
      <c r="AZ438" s="39">
        <v>353</v>
      </c>
      <c r="BA438" s="105">
        <v>30</v>
      </c>
      <c r="BB438" s="100">
        <v>1</v>
      </c>
      <c r="BC438" s="100">
        <v>4</v>
      </c>
      <c r="BD438" s="100">
        <v>16</v>
      </c>
      <c r="BE438" s="100">
        <v>4</v>
      </c>
      <c r="BF438" s="100">
        <v>2</v>
      </c>
      <c r="BG438" s="100">
        <v>1</v>
      </c>
      <c r="BH438" s="341">
        <v>0.10119688790586499</v>
      </c>
      <c r="BI438" s="341">
        <v>0.10119688790586499</v>
      </c>
      <c r="BJ438" s="342">
        <v>5.05984439529324E-2</v>
      </c>
    </row>
    <row r="439" spans="52:62" s="3" customFormat="1" ht="18" customHeight="1" x14ac:dyDescent="0.2">
      <c r="AZ439" s="39">
        <v>354</v>
      </c>
      <c r="BA439" s="105">
        <v>30</v>
      </c>
      <c r="BB439" s="100">
        <v>2</v>
      </c>
      <c r="BC439" s="100">
        <v>3</v>
      </c>
      <c r="BD439" s="100">
        <v>16</v>
      </c>
      <c r="BE439" s="100">
        <v>4</v>
      </c>
      <c r="BF439" s="100">
        <v>2</v>
      </c>
      <c r="BG439" s="100">
        <v>1</v>
      </c>
      <c r="BH439" s="341">
        <v>0.101121408916805</v>
      </c>
      <c r="BI439" s="341">
        <v>0.101121408916805</v>
      </c>
      <c r="BJ439" s="342">
        <v>5.056070445840271E-2</v>
      </c>
    </row>
    <row r="440" spans="52:62" s="3" customFormat="1" ht="18" customHeight="1" x14ac:dyDescent="0.2">
      <c r="AZ440" s="39">
        <v>355</v>
      </c>
      <c r="BA440" s="105">
        <v>30</v>
      </c>
      <c r="BB440" s="100">
        <v>2</v>
      </c>
      <c r="BC440" s="100">
        <v>4</v>
      </c>
      <c r="BD440" s="100">
        <v>16</v>
      </c>
      <c r="BE440" s="100">
        <v>4</v>
      </c>
      <c r="BF440" s="100">
        <v>2</v>
      </c>
      <c r="BG440" s="100">
        <v>1</v>
      </c>
      <c r="BH440" s="341">
        <v>0.100976864887819</v>
      </c>
      <c r="BI440" s="341">
        <v>0.100976864887819</v>
      </c>
      <c r="BJ440" s="342">
        <v>5.0488432443909499E-2</v>
      </c>
    </row>
    <row r="441" spans="52:62" s="3" customFormat="1" ht="18" customHeight="1" x14ac:dyDescent="0.2">
      <c r="AZ441" s="39">
        <v>356</v>
      </c>
      <c r="BA441" s="105">
        <v>30</v>
      </c>
      <c r="BB441" s="100">
        <v>4</v>
      </c>
      <c r="BC441" s="100">
        <v>3</v>
      </c>
      <c r="BD441" s="100">
        <v>16</v>
      </c>
      <c r="BE441" s="100">
        <v>4</v>
      </c>
      <c r="BF441" s="100">
        <v>2</v>
      </c>
      <c r="BG441" s="100">
        <v>1</v>
      </c>
      <c r="BH441" s="341">
        <v>0.101220481091555</v>
      </c>
      <c r="BI441" s="341">
        <v>0.101220481091555</v>
      </c>
      <c r="BJ441" s="342">
        <v>5.0610240545777299E-2</v>
      </c>
    </row>
    <row r="442" spans="52:62" s="3" customFormat="1" ht="18" customHeight="1" x14ac:dyDescent="0.2">
      <c r="AZ442" s="39">
        <v>357</v>
      </c>
      <c r="BA442" s="105">
        <v>30</v>
      </c>
      <c r="BB442" s="100">
        <v>4</v>
      </c>
      <c r="BC442" s="100">
        <v>4</v>
      </c>
      <c r="BD442" s="100">
        <v>16</v>
      </c>
      <c r="BE442" s="100">
        <v>4</v>
      </c>
      <c r="BF442" s="100">
        <v>2</v>
      </c>
      <c r="BG442" s="100">
        <v>1</v>
      </c>
      <c r="BH442" s="341">
        <v>0.101074641970145</v>
      </c>
      <c r="BI442" s="341">
        <v>0.101074641970145</v>
      </c>
      <c r="BJ442" s="342">
        <v>5.0537320985072701E-2</v>
      </c>
    </row>
    <row r="443" spans="52:62" s="3" customFormat="1" ht="18" customHeight="1" x14ac:dyDescent="0.2">
      <c r="AZ443" s="39">
        <v>358</v>
      </c>
      <c r="BA443" s="105">
        <v>30</v>
      </c>
      <c r="BB443" s="100">
        <v>7</v>
      </c>
      <c r="BC443" s="100">
        <v>3</v>
      </c>
      <c r="BD443" s="100">
        <v>16</v>
      </c>
      <c r="BE443" s="100">
        <v>4</v>
      </c>
      <c r="BF443" s="100">
        <v>2</v>
      </c>
      <c r="BG443" s="100">
        <v>1</v>
      </c>
      <c r="BH443" s="341">
        <v>0.101303810126881</v>
      </c>
      <c r="BI443" s="341">
        <v>0.101303810126881</v>
      </c>
      <c r="BJ443" s="342">
        <v>5.0651905063440597E-2</v>
      </c>
    </row>
    <row r="444" spans="52:62" s="3" customFormat="1" ht="18" customHeight="1" x14ac:dyDescent="0.2">
      <c r="AZ444" s="39">
        <v>359</v>
      </c>
      <c r="BA444" s="105">
        <v>30</v>
      </c>
      <c r="BB444" s="100">
        <v>7</v>
      </c>
      <c r="BC444" s="100">
        <v>4</v>
      </c>
      <c r="BD444" s="100">
        <v>16</v>
      </c>
      <c r="BE444" s="100">
        <v>4</v>
      </c>
      <c r="BF444" s="100">
        <v>2</v>
      </c>
      <c r="BG444" s="100">
        <v>1</v>
      </c>
      <c r="BH444" s="341">
        <v>0.10115687828879801</v>
      </c>
      <c r="BI444" s="341">
        <v>0.10115687828879801</v>
      </c>
      <c r="BJ444" s="342">
        <v>5.05784391443991E-2</v>
      </c>
    </row>
    <row r="445" spans="52:62" s="3" customFormat="1" ht="18" customHeight="1" x14ac:dyDescent="0.2">
      <c r="AZ445" s="39">
        <v>360</v>
      </c>
      <c r="BA445" s="105">
        <v>30</v>
      </c>
      <c r="BB445" s="100">
        <v>9</v>
      </c>
      <c r="BC445" s="100">
        <v>3</v>
      </c>
      <c r="BD445" s="100">
        <v>16</v>
      </c>
      <c r="BE445" s="100">
        <v>4</v>
      </c>
      <c r="BF445" s="100">
        <v>2</v>
      </c>
      <c r="BG445" s="100">
        <v>1</v>
      </c>
      <c r="BH445" s="341">
        <v>0.10078363944635001</v>
      </c>
      <c r="BI445" s="341">
        <v>0.10078363944635001</v>
      </c>
      <c r="BJ445" s="342">
        <v>5.0391819723174899E-2</v>
      </c>
    </row>
    <row r="446" spans="52:62" s="3" customFormat="1" ht="18" customHeight="1" x14ac:dyDescent="0.2">
      <c r="AZ446" s="39">
        <v>361</v>
      </c>
      <c r="BA446" s="105">
        <v>30</v>
      </c>
      <c r="BB446" s="100">
        <v>9</v>
      </c>
      <c r="BC446" s="100">
        <v>4</v>
      </c>
      <c r="BD446" s="100">
        <v>16</v>
      </c>
      <c r="BE446" s="100">
        <v>4</v>
      </c>
      <c r="BF446" s="100">
        <v>2</v>
      </c>
      <c r="BG446" s="100">
        <v>1</v>
      </c>
      <c r="BH446" s="341">
        <v>0.100643477382482</v>
      </c>
      <c r="BI446" s="341">
        <v>0.100643477382482</v>
      </c>
      <c r="BJ446" s="342">
        <v>5.0321738691241E-2</v>
      </c>
    </row>
    <row r="447" spans="52:62" s="3" customFormat="1" ht="18" customHeight="1" x14ac:dyDescent="0.2">
      <c r="AZ447" s="39">
        <v>362</v>
      </c>
      <c r="BA447" s="105">
        <v>31</v>
      </c>
      <c r="BB447" s="100">
        <v>1</v>
      </c>
      <c r="BC447" s="100">
        <v>3</v>
      </c>
      <c r="BD447" s="100">
        <v>7</v>
      </c>
      <c r="BE447" s="100">
        <v>4</v>
      </c>
      <c r="BF447" s="100">
        <v>1</v>
      </c>
      <c r="BG447" s="100">
        <v>13</v>
      </c>
      <c r="BH447" s="341">
        <v>0.73658335852302004</v>
      </c>
      <c r="BI447" s="341">
        <v>5.6660258347924597E-2</v>
      </c>
      <c r="BJ447" s="342">
        <v>0.73658335852302004</v>
      </c>
    </row>
    <row r="448" spans="52:62" s="3" customFormat="1" ht="18" customHeight="1" x14ac:dyDescent="0.2">
      <c r="AZ448" s="39">
        <v>363</v>
      </c>
      <c r="BA448" s="105">
        <v>31</v>
      </c>
      <c r="BB448" s="100">
        <v>1</v>
      </c>
      <c r="BC448" s="100">
        <v>4</v>
      </c>
      <c r="BD448" s="100">
        <v>7</v>
      </c>
      <c r="BE448" s="100">
        <v>4</v>
      </c>
      <c r="BF448" s="100">
        <v>1</v>
      </c>
      <c r="BG448" s="100">
        <v>13</v>
      </c>
      <c r="BH448" s="341">
        <v>0.70116165005735698</v>
      </c>
      <c r="BI448" s="341">
        <v>5.3935511542873613E-2</v>
      </c>
      <c r="BJ448" s="342">
        <v>0.70116165005735698</v>
      </c>
    </row>
    <row r="449" spans="52:62" s="3" customFormat="1" ht="18" customHeight="1" x14ac:dyDescent="0.2">
      <c r="AZ449" s="39">
        <v>364</v>
      </c>
      <c r="BA449" s="105">
        <v>31</v>
      </c>
      <c r="BB449" s="100">
        <v>10</v>
      </c>
      <c r="BC449" s="100">
        <v>3</v>
      </c>
      <c r="BD449" s="100">
        <v>7</v>
      </c>
      <c r="BE449" s="100">
        <v>4</v>
      </c>
      <c r="BF449" s="100">
        <v>1</v>
      </c>
      <c r="BG449" s="100">
        <v>13</v>
      </c>
      <c r="BH449" s="341">
        <v>0.73370916011677412</v>
      </c>
      <c r="BI449" s="341">
        <v>5.6439166162828798E-2</v>
      </c>
      <c r="BJ449" s="342">
        <v>0.73370916011677412</v>
      </c>
    </row>
    <row r="450" spans="52:62" s="3" customFormat="1" ht="18" customHeight="1" x14ac:dyDescent="0.2">
      <c r="AZ450" s="39">
        <v>365</v>
      </c>
      <c r="BA450" s="105">
        <v>31</v>
      </c>
      <c r="BB450" s="100">
        <v>10</v>
      </c>
      <c r="BC450" s="100">
        <v>4</v>
      </c>
      <c r="BD450" s="100">
        <v>7</v>
      </c>
      <c r="BE450" s="100">
        <v>4</v>
      </c>
      <c r="BF450" s="100">
        <v>1</v>
      </c>
      <c r="BG450" s="100">
        <v>13</v>
      </c>
      <c r="BH450" s="341">
        <v>0.69849411464925204</v>
      </c>
      <c r="BI450" s="341">
        <v>5.3730316511480913E-2</v>
      </c>
      <c r="BJ450" s="342">
        <v>0.69849411464925204</v>
      </c>
    </row>
    <row r="451" spans="52:62" s="3" customFormat="1" ht="18" customHeight="1" x14ac:dyDescent="0.2">
      <c r="AZ451" s="39">
        <v>366</v>
      </c>
      <c r="BA451" s="105">
        <v>31</v>
      </c>
      <c r="BB451" s="100">
        <v>2</v>
      </c>
      <c r="BC451" s="100">
        <v>3</v>
      </c>
      <c r="BD451" s="100">
        <v>7</v>
      </c>
      <c r="BE451" s="100">
        <v>4</v>
      </c>
      <c r="BF451" s="100">
        <v>1</v>
      </c>
      <c r="BG451" s="100">
        <v>13</v>
      </c>
      <c r="BH451" s="341">
        <v>0.73359669514078096</v>
      </c>
      <c r="BI451" s="341">
        <v>5.6430515010829303E-2</v>
      </c>
      <c r="BJ451" s="342">
        <v>0.73359669514078096</v>
      </c>
    </row>
    <row r="452" spans="52:62" s="3" customFormat="1" ht="18" customHeight="1" x14ac:dyDescent="0.2">
      <c r="AZ452" s="39">
        <v>367</v>
      </c>
      <c r="BA452" s="105">
        <v>31</v>
      </c>
      <c r="BB452" s="100">
        <v>2</v>
      </c>
      <c r="BC452" s="100">
        <v>4</v>
      </c>
      <c r="BD452" s="100">
        <v>7</v>
      </c>
      <c r="BE452" s="100">
        <v>4</v>
      </c>
      <c r="BF452" s="100">
        <v>1</v>
      </c>
      <c r="BG452" s="100">
        <v>13</v>
      </c>
      <c r="BH452" s="341">
        <v>0.69838973156980211</v>
      </c>
      <c r="BI452" s="341">
        <v>5.3722287043830898E-2</v>
      </c>
      <c r="BJ452" s="342">
        <v>0.69838973156980211</v>
      </c>
    </row>
    <row r="453" spans="52:62" s="3" customFormat="1" ht="18" customHeight="1" x14ac:dyDescent="0.2">
      <c r="AZ453" s="39">
        <v>368</v>
      </c>
      <c r="BA453" s="105">
        <v>31</v>
      </c>
      <c r="BB453" s="100">
        <v>3</v>
      </c>
      <c r="BC453" s="100">
        <v>3</v>
      </c>
      <c r="BD453" s="100">
        <v>7</v>
      </c>
      <c r="BE453" s="100">
        <v>4</v>
      </c>
      <c r="BF453" s="100">
        <v>1</v>
      </c>
      <c r="BG453" s="100">
        <v>13</v>
      </c>
      <c r="BH453" s="341">
        <v>0.73440610522350103</v>
      </c>
      <c r="BI453" s="341">
        <v>5.6492777324884703E-2</v>
      </c>
      <c r="BJ453" s="342">
        <v>0.73440610522350103</v>
      </c>
    </row>
    <row r="454" spans="52:62" s="3" customFormat="1" ht="18" customHeight="1" x14ac:dyDescent="0.2">
      <c r="AZ454" s="39">
        <v>369</v>
      </c>
      <c r="BA454" s="105">
        <v>31</v>
      </c>
      <c r="BB454" s="100">
        <v>3</v>
      </c>
      <c r="BC454" s="100">
        <v>4</v>
      </c>
      <c r="BD454" s="100">
        <v>7</v>
      </c>
      <c r="BE454" s="100">
        <v>4</v>
      </c>
      <c r="BF454" s="100">
        <v>1</v>
      </c>
      <c r="BG454" s="100">
        <v>13</v>
      </c>
      <c r="BH454" s="341">
        <v>0.69914096842863416</v>
      </c>
      <c r="BI454" s="341">
        <v>5.3780074494510298E-2</v>
      </c>
      <c r="BJ454" s="342">
        <v>0.69914096842863416</v>
      </c>
    </row>
    <row r="455" spans="52:62" s="3" customFormat="1" ht="18" customHeight="1" x14ac:dyDescent="0.2">
      <c r="AZ455" s="39">
        <v>370</v>
      </c>
      <c r="BA455" s="105">
        <v>31</v>
      </c>
      <c r="BB455" s="100">
        <v>4</v>
      </c>
      <c r="BC455" s="100">
        <v>3</v>
      </c>
      <c r="BD455" s="100">
        <v>7</v>
      </c>
      <c r="BE455" s="100">
        <v>4</v>
      </c>
      <c r="BF455" s="100">
        <v>1</v>
      </c>
      <c r="BG455" s="100">
        <v>13</v>
      </c>
      <c r="BH455" s="341">
        <v>0.73492392189682698</v>
      </c>
      <c r="BI455" s="341">
        <v>5.6532609376678998E-2</v>
      </c>
      <c r="BJ455" s="342">
        <v>0.73492392189682698</v>
      </c>
    </row>
    <row r="456" spans="52:62" s="3" customFormat="1" ht="18" customHeight="1" x14ac:dyDescent="0.2">
      <c r="AZ456" s="39">
        <v>371</v>
      </c>
      <c r="BA456" s="105">
        <v>31</v>
      </c>
      <c r="BB456" s="100">
        <v>4</v>
      </c>
      <c r="BC456" s="100">
        <v>4</v>
      </c>
      <c r="BD456" s="100">
        <v>7</v>
      </c>
      <c r="BE456" s="100">
        <v>4</v>
      </c>
      <c r="BF456" s="100">
        <v>1</v>
      </c>
      <c r="BG456" s="100">
        <v>13</v>
      </c>
      <c r="BH456" s="341">
        <v>0.69962155953584404</v>
      </c>
      <c r="BI456" s="341">
        <v>5.3817043041218697E-2</v>
      </c>
      <c r="BJ456" s="342">
        <v>0.69962155953584404</v>
      </c>
    </row>
    <row r="457" spans="52:62" s="3" customFormat="1" ht="18" customHeight="1" x14ac:dyDescent="0.2">
      <c r="AZ457" s="39">
        <v>372</v>
      </c>
      <c r="BA457" s="105">
        <v>31</v>
      </c>
      <c r="BB457" s="100">
        <v>5</v>
      </c>
      <c r="BC457" s="100">
        <v>3</v>
      </c>
      <c r="BD457" s="100">
        <v>7</v>
      </c>
      <c r="BE457" s="100">
        <v>4</v>
      </c>
      <c r="BF457" s="100">
        <v>1</v>
      </c>
      <c r="BG457" s="100">
        <v>13</v>
      </c>
      <c r="BH457" s="341">
        <v>0.73589202014033306</v>
      </c>
      <c r="BI457" s="341">
        <v>5.6607078472333303E-2</v>
      </c>
      <c r="BJ457" s="342">
        <v>0.73589202014033306</v>
      </c>
    </row>
    <row r="458" spans="52:62" s="3" customFormat="1" ht="18" customHeight="1" x14ac:dyDescent="0.2">
      <c r="AZ458" s="39">
        <v>373</v>
      </c>
      <c r="BA458" s="105">
        <v>31</v>
      </c>
      <c r="BB458" s="100">
        <v>5</v>
      </c>
      <c r="BC458" s="100">
        <v>4</v>
      </c>
      <c r="BD458" s="100">
        <v>7</v>
      </c>
      <c r="BE458" s="100">
        <v>4</v>
      </c>
      <c r="BF458" s="100">
        <v>1</v>
      </c>
      <c r="BG458" s="100">
        <v>13</v>
      </c>
      <c r="BH458" s="341">
        <v>0.70052004174469007</v>
      </c>
      <c r="BI458" s="341">
        <v>5.3886157057283807E-2</v>
      </c>
      <c r="BJ458" s="342">
        <v>0.70052004174469007</v>
      </c>
    </row>
    <row r="459" spans="52:62" s="3" customFormat="1" ht="18" customHeight="1" x14ac:dyDescent="0.2">
      <c r="AZ459" s="39">
        <v>374</v>
      </c>
      <c r="BA459" s="105">
        <v>31</v>
      </c>
      <c r="BB459" s="100">
        <v>6</v>
      </c>
      <c r="BC459" s="100">
        <v>3</v>
      </c>
      <c r="BD459" s="100">
        <v>7</v>
      </c>
      <c r="BE459" s="100">
        <v>4</v>
      </c>
      <c r="BF459" s="100">
        <v>1</v>
      </c>
      <c r="BG459" s="100">
        <v>13</v>
      </c>
      <c r="BH459" s="341">
        <v>0.73340764643548695</v>
      </c>
      <c r="BI459" s="341">
        <v>5.6415972802729697E-2</v>
      </c>
      <c r="BJ459" s="342">
        <v>0.73340764643548695</v>
      </c>
    </row>
    <row r="460" spans="52:62" s="3" customFormat="1" ht="18" customHeight="1" x14ac:dyDescent="0.2">
      <c r="AZ460" s="39">
        <v>375</v>
      </c>
      <c r="BA460" s="105">
        <v>31</v>
      </c>
      <c r="BB460" s="100">
        <v>6</v>
      </c>
      <c r="BC460" s="100">
        <v>4</v>
      </c>
      <c r="BD460" s="100">
        <v>7</v>
      </c>
      <c r="BE460" s="100">
        <v>4</v>
      </c>
      <c r="BF460" s="100">
        <v>1</v>
      </c>
      <c r="BG460" s="100">
        <v>13</v>
      </c>
      <c r="BH460" s="341">
        <v>0.69821426740710313</v>
      </c>
      <c r="BI460" s="341">
        <v>5.3708789800546407E-2</v>
      </c>
      <c r="BJ460" s="342">
        <v>0.69821426740710313</v>
      </c>
    </row>
    <row r="461" spans="52:62" s="3" customFormat="1" ht="18" customHeight="1" x14ac:dyDescent="0.2">
      <c r="AZ461" s="39">
        <v>376</v>
      </c>
      <c r="BA461" s="105">
        <v>31</v>
      </c>
      <c r="BB461" s="100">
        <v>7</v>
      </c>
      <c r="BC461" s="100">
        <v>3</v>
      </c>
      <c r="BD461" s="100">
        <v>7</v>
      </c>
      <c r="BE461" s="100">
        <v>4</v>
      </c>
      <c r="BF461" s="100">
        <v>1</v>
      </c>
      <c r="BG461" s="100">
        <v>13</v>
      </c>
      <c r="BH461" s="341">
        <v>0.7360402314212231</v>
      </c>
      <c r="BI461" s="341">
        <v>5.6618479340094098E-2</v>
      </c>
      <c r="BJ461" s="342">
        <v>0.7360402314212231</v>
      </c>
    </row>
    <row r="462" spans="52:62" s="3" customFormat="1" ht="18" customHeight="1" x14ac:dyDescent="0.2">
      <c r="AZ462" s="39">
        <v>377</v>
      </c>
      <c r="BA462" s="105">
        <v>31</v>
      </c>
      <c r="BB462" s="100">
        <v>7</v>
      </c>
      <c r="BC462" s="100">
        <v>4</v>
      </c>
      <c r="BD462" s="100">
        <v>7</v>
      </c>
      <c r="BE462" s="100">
        <v>4</v>
      </c>
      <c r="BF462" s="100">
        <v>1</v>
      </c>
      <c r="BG462" s="100">
        <v>13</v>
      </c>
      <c r="BH462" s="341">
        <v>0.70065759283893603</v>
      </c>
      <c r="BI462" s="341">
        <v>5.3896737910687408E-2</v>
      </c>
      <c r="BJ462" s="342">
        <v>0.70065759283893603</v>
      </c>
    </row>
    <row r="463" spans="52:62" s="3" customFormat="1" ht="18" customHeight="1" x14ac:dyDescent="0.2">
      <c r="AZ463" s="39">
        <v>378</v>
      </c>
      <c r="BA463" s="105">
        <v>31</v>
      </c>
      <c r="BB463" s="100">
        <v>8</v>
      </c>
      <c r="BC463" s="100">
        <v>3</v>
      </c>
      <c r="BD463" s="100">
        <v>7</v>
      </c>
      <c r="BE463" s="100">
        <v>4</v>
      </c>
      <c r="BF463" s="100">
        <v>1</v>
      </c>
      <c r="BG463" s="100">
        <v>13</v>
      </c>
      <c r="BH463" s="341">
        <v>0.73669611407569913</v>
      </c>
      <c r="BI463" s="341">
        <v>5.6668931851976898E-2</v>
      </c>
      <c r="BJ463" s="342">
        <v>0.73669611407569913</v>
      </c>
    </row>
    <row r="464" spans="52:62" s="3" customFormat="1" ht="18" customHeight="1" x14ac:dyDescent="0.2">
      <c r="AZ464" s="39">
        <v>379</v>
      </c>
      <c r="BA464" s="105">
        <v>31</v>
      </c>
      <c r="BB464" s="100">
        <v>8</v>
      </c>
      <c r="BC464" s="100">
        <v>4</v>
      </c>
      <c r="BD464" s="100">
        <v>7</v>
      </c>
      <c r="BE464" s="100">
        <v>4</v>
      </c>
      <c r="BF464" s="100">
        <v>1</v>
      </c>
      <c r="BG464" s="100">
        <v>13</v>
      </c>
      <c r="BH464" s="341">
        <v>0.70126629353121916</v>
      </c>
      <c r="BI464" s="341">
        <v>5.3943561040863001E-2</v>
      </c>
      <c r="BJ464" s="342">
        <v>0.70126629353121916</v>
      </c>
    </row>
    <row r="465" spans="52:62" s="3" customFormat="1" ht="18" customHeight="1" x14ac:dyDescent="0.2">
      <c r="AZ465" s="39">
        <v>380</v>
      </c>
      <c r="BA465" s="105">
        <v>31</v>
      </c>
      <c r="BB465" s="100">
        <v>9</v>
      </c>
      <c r="BC465" s="100">
        <v>3</v>
      </c>
      <c r="BD465" s="100">
        <v>7</v>
      </c>
      <c r="BE465" s="100">
        <v>4</v>
      </c>
      <c r="BF465" s="100">
        <v>1</v>
      </c>
      <c r="BG465" s="100">
        <v>13</v>
      </c>
      <c r="BH465" s="341">
        <v>0.72907176720963707</v>
      </c>
      <c r="BI465" s="341">
        <v>5.6082443631510499E-2</v>
      </c>
      <c r="BJ465" s="342">
        <v>0.72907176720963707</v>
      </c>
    </row>
    <row r="466" spans="52:62" s="3" customFormat="1" ht="18" customHeight="1" x14ac:dyDescent="0.2">
      <c r="AZ466" s="39">
        <v>381</v>
      </c>
      <c r="BA466" s="105">
        <v>31</v>
      </c>
      <c r="BB466" s="100">
        <v>9</v>
      </c>
      <c r="BC466" s="100">
        <v>4</v>
      </c>
      <c r="BD466" s="100">
        <v>7</v>
      </c>
      <c r="BE466" s="100">
        <v>4</v>
      </c>
      <c r="BF466" s="100">
        <v>1</v>
      </c>
      <c r="BG466" s="100">
        <v>13</v>
      </c>
      <c r="BH466" s="341">
        <v>0.69418967983088498</v>
      </c>
      <c r="BI466" s="341">
        <v>5.3399206140837298E-2</v>
      </c>
      <c r="BJ466" s="342">
        <v>0.69418967983088498</v>
      </c>
    </row>
    <row r="467" spans="52:62" s="3" customFormat="1" ht="18" customHeight="1" x14ac:dyDescent="0.2">
      <c r="AZ467" s="39">
        <v>382</v>
      </c>
      <c r="BA467" s="105">
        <v>32</v>
      </c>
      <c r="BB467" s="100">
        <v>1</v>
      </c>
      <c r="BC467" s="100">
        <v>3</v>
      </c>
      <c r="BD467" s="100">
        <v>7</v>
      </c>
      <c r="BE467" s="100">
        <v>4</v>
      </c>
      <c r="BF467" s="100">
        <v>1</v>
      </c>
      <c r="BG467" s="100">
        <v>13</v>
      </c>
      <c r="BH467" s="341">
        <v>0.73658335852302004</v>
      </c>
      <c r="BI467" s="341">
        <v>5.6660258347924597E-2</v>
      </c>
      <c r="BJ467" s="342">
        <v>0.73658335852302004</v>
      </c>
    </row>
    <row r="468" spans="52:62" s="3" customFormat="1" ht="18" customHeight="1" x14ac:dyDescent="0.2">
      <c r="AZ468" s="39">
        <v>383</v>
      </c>
      <c r="BA468" s="105">
        <v>32</v>
      </c>
      <c r="BB468" s="100">
        <v>1</v>
      </c>
      <c r="BC468" s="100">
        <v>4</v>
      </c>
      <c r="BD468" s="100">
        <v>7</v>
      </c>
      <c r="BE468" s="100">
        <v>4</v>
      </c>
      <c r="BF468" s="100">
        <v>1</v>
      </c>
      <c r="BG468" s="100">
        <v>13</v>
      </c>
      <c r="BH468" s="341">
        <v>0.70116165005735698</v>
      </c>
      <c r="BI468" s="341">
        <v>5.3935511542873613E-2</v>
      </c>
      <c r="BJ468" s="342">
        <v>0.70116165005735698</v>
      </c>
    </row>
    <row r="469" spans="52:62" s="3" customFormat="1" ht="18" customHeight="1" x14ac:dyDescent="0.2">
      <c r="AZ469" s="39">
        <v>384</v>
      </c>
      <c r="BA469" s="105">
        <v>32</v>
      </c>
      <c r="BB469" s="100">
        <v>10</v>
      </c>
      <c r="BC469" s="100">
        <v>3</v>
      </c>
      <c r="BD469" s="100">
        <v>7</v>
      </c>
      <c r="BE469" s="100">
        <v>4</v>
      </c>
      <c r="BF469" s="100">
        <v>1</v>
      </c>
      <c r="BG469" s="100">
        <v>13</v>
      </c>
      <c r="BH469" s="341">
        <v>0.73370916011677412</v>
      </c>
      <c r="BI469" s="341">
        <v>5.6439166162828798E-2</v>
      </c>
      <c r="BJ469" s="342">
        <v>0.73370916011677412</v>
      </c>
    </row>
    <row r="470" spans="52:62" s="3" customFormat="1" ht="18" customHeight="1" x14ac:dyDescent="0.2">
      <c r="AZ470" s="39">
        <v>385</v>
      </c>
      <c r="BA470" s="105">
        <v>32</v>
      </c>
      <c r="BB470" s="100">
        <v>10</v>
      </c>
      <c r="BC470" s="100">
        <v>4</v>
      </c>
      <c r="BD470" s="100">
        <v>7</v>
      </c>
      <c r="BE470" s="100">
        <v>4</v>
      </c>
      <c r="BF470" s="100">
        <v>1</v>
      </c>
      <c r="BG470" s="100">
        <v>13</v>
      </c>
      <c r="BH470" s="341">
        <v>0.69849411464925204</v>
      </c>
      <c r="BI470" s="341">
        <v>5.3730316511480913E-2</v>
      </c>
      <c r="BJ470" s="342">
        <v>0.69849411464925204</v>
      </c>
    </row>
    <row r="471" spans="52:62" s="3" customFormat="1" ht="18" customHeight="1" x14ac:dyDescent="0.2">
      <c r="AZ471" s="39">
        <v>386</v>
      </c>
      <c r="BA471" s="105">
        <v>32</v>
      </c>
      <c r="BB471" s="100">
        <v>2</v>
      </c>
      <c r="BC471" s="100">
        <v>3</v>
      </c>
      <c r="BD471" s="100">
        <v>7</v>
      </c>
      <c r="BE471" s="100">
        <v>4</v>
      </c>
      <c r="BF471" s="100">
        <v>1</v>
      </c>
      <c r="BG471" s="100">
        <v>13</v>
      </c>
      <c r="BH471" s="341">
        <v>0.73359669514078096</v>
      </c>
      <c r="BI471" s="341">
        <v>5.6430515010829303E-2</v>
      </c>
      <c r="BJ471" s="342">
        <v>0.73359669514078096</v>
      </c>
    </row>
    <row r="472" spans="52:62" s="3" customFormat="1" ht="18" customHeight="1" x14ac:dyDescent="0.2">
      <c r="AZ472" s="39">
        <v>387</v>
      </c>
      <c r="BA472" s="105">
        <v>32</v>
      </c>
      <c r="BB472" s="100">
        <v>2</v>
      </c>
      <c r="BC472" s="100">
        <v>4</v>
      </c>
      <c r="BD472" s="100">
        <v>7</v>
      </c>
      <c r="BE472" s="100">
        <v>4</v>
      </c>
      <c r="BF472" s="100">
        <v>1</v>
      </c>
      <c r="BG472" s="100">
        <v>13</v>
      </c>
      <c r="BH472" s="341">
        <v>0.69838973156980211</v>
      </c>
      <c r="BI472" s="341">
        <v>5.3722287043830898E-2</v>
      </c>
      <c r="BJ472" s="342">
        <v>0.69838973156980211</v>
      </c>
    </row>
    <row r="473" spans="52:62" s="3" customFormat="1" ht="18" customHeight="1" x14ac:dyDescent="0.2">
      <c r="AZ473" s="39">
        <v>388</v>
      </c>
      <c r="BA473" s="105">
        <v>32</v>
      </c>
      <c r="BB473" s="100">
        <v>3</v>
      </c>
      <c r="BC473" s="100">
        <v>3</v>
      </c>
      <c r="BD473" s="100">
        <v>7</v>
      </c>
      <c r="BE473" s="100">
        <v>4</v>
      </c>
      <c r="BF473" s="100">
        <v>1</v>
      </c>
      <c r="BG473" s="100">
        <v>13</v>
      </c>
      <c r="BH473" s="341">
        <v>0.73440610522350103</v>
      </c>
      <c r="BI473" s="341">
        <v>5.6492777324884703E-2</v>
      </c>
      <c r="BJ473" s="342">
        <v>0.73440610522350103</v>
      </c>
    </row>
    <row r="474" spans="52:62" s="3" customFormat="1" ht="18" customHeight="1" x14ac:dyDescent="0.2">
      <c r="AZ474" s="39">
        <v>389</v>
      </c>
      <c r="BA474" s="105">
        <v>32</v>
      </c>
      <c r="BB474" s="100">
        <v>3</v>
      </c>
      <c r="BC474" s="100">
        <v>4</v>
      </c>
      <c r="BD474" s="100">
        <v>7</v>
      </c>
      <c r="BE474" s="100">
        <v>4</v>
      </c>
      <c r="BF474" s="100">
        <v>1</v>
      </c>
      <c r="BG474" s="100">
        <v>13</v>
      </c>
      <c r="BH474" s="341">
        <v>0.69914096842863416</v>
      </c>
      <c r="BI474" s="341">
        <v>5.3780074494510298E-2</v>
      </c>
      <c r="BJ474" s="342">
        <v>0.69914096842863416</v>
      </c>
    </row>
    <row r="475" spans="52:62" s="3" customFormat="1" ht="18" customHeight="1" x14ac:dyDescent="0.2">
      <c r="AZ475" s="39">
        <v>390</v>
      </c>
      <c r="BA475" s="105">
        <v>32</v>
      </c>
      <c r="BB475" s="100">
        <v>4</v>
      </c>
      <c r="BC475" s="100">
        <v>3</v>
      </c>
      <c r="BD475" s="100">
        <v>7</v>
      </c>
      <c r="BE475" s="100">
        <v>4</v>
      </c>
      <c r="BF475" s="100">
        <v>1</v>
      </c>
      <c r="BG475" s="100">
        <v>13</v>
      </c>
      <c r="BH475" s="341">
        <v>0.73492392189682698</v>
      </c>
      <c r="BI475" s="341">
        <v>5.6532609376678998E-2</v>
      </c>
      <c r="BJ475" s="342">
        <v>0.73492392189682698</v>
      </c>
    </row>
    <row r="476" spans="52:62" s="3" customFormat="1" ht="18" customHeight="1" x14ac:dyDescent="0.2">
      <c r="AZ476" s="39">
        <v>391</v>
      </c>
      <c r="BA476" s="105">
        <v>32</v>
      </c>
      <c r="BB476" s="100">
        <v>4</v>
      </c>
      <c r="BC476" s="100">
        <v>4</v>
      </c>
      <c r="BD476" s="100">
        <v>7</v>
      </c>
      <c r="BE476" s="100">
        <v>4</v>
      </c>
      <c r="BF476" s="100">
        <v>1</v>
      </c>
      <c r="BG476" s="100">
        <v>13</v>
      </c>
      <c r="BH476" s="341">
        <v>0.69962155953584404</v>
      </c>
      <c r="BI476" s="341">
        <v>5.3817043041218697E-2</v>
      </c>
      <c r="BJ476" s="342">
        <v>0.69962155953584404</v>
      </c>
    </row>
    <row r="477" spans="52:62" s="3" customFormat="1" ht="18" customHeight="1" x14ac:dyDescent="0.2">
      <c r="AZ477" s="39">
        <v>392</v>
      </c>
      <c r="BA477" s="105">
        <v>32</v>
      </c>
      <c r="BB477" s="100">
        <v>5</v>
      </c>
      <c r="BC477" s="100">
        <v>3</v>
      </c>
      <c r="BD477" s="100">
        <v>7</v>
      </c>
      <c r="BE477" s="100">
        <v>4</v>
      </c>
      <c r="BF477" s="100">
        <v>1</v>
      </c>
      <c r="BG477" s="100">
        <v>13</v>
      </c>
      <c r="BH477" s="341">
        <v>0.73589202014033306</v>
      </c>
      <c r="BI477" s="341">
        <v>5.6607078472333303E-2</v>
      </c>
      <c r="BJ477" s="342">
        <v>0.73589202014033306</v>
      </c>
    </row>
    <row r="478" spans="52:62" s="3" customFormat="1" ht="18" customHeight="1" x14ac:dyDescent="0.2">
      <c r="AZ478" s="39">
        <v>393</v>
      </c>
      <c r="BA478" s="105">
        <v>32</v>
      </c>
      <c r="BB478" s="100">
        <v>5</v>
      </c>
      <c r="BC478" s="100">
        <v>4</v>
      </c>
      <c r="BD478" s="100">
        <v>7</v>
      </c>
      <c r="BE478" s="100">
        <v>4</v>
      </c>
      <c r="BF478" s="100">
        <v>1</v>
      </c>
      <c r="BG478" s="100">
        <v>13</v>
      </c>
      <c r="BH478" s="341">
        <v>0.70052004174469007</v>
      </c>
      <c r="BI478" s="341">
        <v>5.3886157057283807E-2</v>
      </c>
      <c r="BJ478" s="342">
        <v>0.70052004174469007</v>
      </c>
    </row>
    <row r="479" spans="52:62" s="3" customFormat="1" ht="18" customHeight="1" x14ac:dyDescent="0.2">
      <c r="AZ479" s="39">
        <v>394</v>
      </c>
      <c r="BA479" s="105">
        <v>32</v>
      </c>
      <c r="BB479" s="100">
        <v>6</v>
      </c>
      <c r="BC479" s="100">
        <v>3</v>
      </c>
      <c r="BD479" s="100">
        <v>7</v>
      </c>
      <c r="BE479" s="100">
        <v>4</v>
      </c>
      <c r="BF479" s="100">
        <v>1</v>
      </c>
      <c r="BG479" s="100">
        <v>13</v>
      </c>
      <c r="BH479" s="341">
        <v>0.73340764643548695</v>
      </c>
      <c r="BI479" s="341">
        <v>5.6415972802729697E-2</v>
      </c>
      <c r="BJ479" s="342">
        <v>0.73340764643548695</v>
      </c>
    </row>
    <row r="480" spans="52:62" s="3" customFormat="1" ht="18" customHeight="1" x14ac:dyDescent="0.2">
      <c r="AZ480" s="39">
        <v>395</v>
      </c>
      <c r="BA480" s="105">
        <v>32</v>
      </c>
      <c r="BB480" s="100">
        <v>6</v>
      </c>
      <c r="BC480" s="100">
        <v>4</v>
      </c>
      <c r="BD480" s="100">
        <v>7</v>
      </c>
      <c r="BE480" s="100">
        <v>4</v>
      </c>
      <c r="BF480" s="100">
        <v>1</v>
      </c>
      <c r="BG480" s="100">
        <v>13</v>
      </c>
      <c r="BH480" s="341">
        <v>0.69821426740710313</v>
      </c>
      <c r="BI480" s="341">
        <v>5.3708789800546407E-2</v>
      </c>
      <c r="BJ480" s="342">
        <v>0.69821426740710313</v>
      </c>
    </row>
    <row r="481" spans="52:62" s="3" customFormat="1" ht="18" customHeight="1" x14ac:dyDescent="0.2">
      <c r="AZ481" s="39">
        <v>396</v>
      </c>
      <c r="BA481" s="105">
        <v>32</v>
      </c>
      <c r="BB481" s="100">
        <v>7</v>
      </c>
      <c r="BC481" s="100">
        <v>3</v>
      </c>
      <c r="BD481" s="100">
        <v>7</v>
      </c>
      <c r="BE481" s="100">
        <v>4</v>
      </c>
      <c r="BF481" s="100">
        <v>1</v>
      </c>
      <c r="BG481" s="100">
        <v>13</v>
      </c>
      <c r="BH481" s="341">
        <v>0.7360402314212231</v>
      </c>
      <c r="BI481" s="341">
        <v>5.6618479340094098E-2</v>
      </c>
      <c r="BJ481" s="342">
        <v>0.7360402314212231</v>
      </c>
    </row>
    <row r="482" spans="52:62" s="3" customFormat="1" ht="18" customHeight="1" x14ac:dyDescent="0.2">
      <c r="AZ482" s="39">
        <v>397</v>
      </c>
      <c r="BA482" s="105">
        <v>32</v>
      </c>
      <c r="BB482" s="100">
        <v>7</v>
      </c>
      <c r="BC482" s="100">
        <v>4</v>
      </c>
      <c r="BD482" s="100">
        <v>7</v>
      </c>
      <c r="BE482" s="100">
        <v>4</v>
      </c>
      <c r="BF482" s="100">
        <v>1</v>
      </c>
      <c r="BG482" s="100">
        <v>13</v>
      </c>
      <c r="BH482" s="341">
        <v>0.70065759283893603</v>
      </c>
      <c r="BI482" s="341">
        <v>5.3896737910687408E-2</v>
      </c>
      <c r="BJ482" s="342">
        <v>0.70065759283893603</v>
      </c>
    </row>
    <row r="483" spans="52:62" s="3" customFormat="1" ht="18" customHeight="1" x14ac:dyDescent="0.2">
      <c r="AZ483" s="39">
        <f t="shared" ref="AZ483:AZ506" si="1">AZ482+1</f>
        <v>398</v>
      </c>
      <c r="BA483" s="105">
        <v>32</v>
      </c>
      <c r="BB483" s="100">
        <v>8</v>
      </c>
      <c r="BC483" s="100">
        <v>3</v>
      </c>
      <c r="BD483" s="100">
        <v>7</v>
      </c>
      <c r="BE483" s="100">
        <v>4</v>
      </c>
      <c r="BF483" s="100">
        <v>1</v>
      </c>
      <c r="BG483" s="100">
        <v>13</v>
      </c>
      <c r="BH483" s="341">
        <v>0.73669611407569913</v>
      </c>
      <c r="BI483" s="341">
        <v>5.6668931851976898E-2</v>
      </c>
      <c r="BJ483" s="342">
        <v>0.73669611407569913</v>
      </c>
    </row>
    <row r="484" spans="52:62" s="3" customFormat="1" ht="18" customHeight="1" x14ac:dyDescent="0.2">
      <c r="AZ484" s="39">
        <f t="shared" si="1"/>
        <v>399</v>
      </c>
      <c r="BA484" s="105">
        <v>32</v>
      </c>
      <c r="BB484" s="100">
        <v>8</v>
      </c>
      <c r="BC484" s="100">
        <v>4</v>
      </c>
      <c r="BD484" s="100">
        <v>7</v>
      </c>
      <c r="BE484" s="100">
        <v>4</v>
      </c>
      <c r="BF484" s="100">
        <v>1</v>
      </c>
      <c r="BG484" s="100">
        <v>13</v>
      </c>
      <c r="BH484" s="341">
        <v>0.70126629353121916</v>
      </c>
      <c r="BI484" s="341">
        <v>5.3943561040863001E-2</v>
      </c>
      <c r="BJ484" s="342">
        <v>0.70126629353121916</v>
      </c>
    </row>
    <row r="485" spans="52:62" s="3" customFormat="1" ht="18" customHeight="1" x14ac:dyDescent="0.2">
      <c r="AZ485" s="39">
        <f t="shared" si="1"/>
        <v>400</v>
      </c>
      <c r="BA485" s="105">
        <v>32</v>
      </c>
      <c r="BB485" s="100">
        <v>9</v>
      </c>
      <c r="BC485" s="100">
        <v>3</v>
      </c>
      <c r="BD485" s="100">
        <v>7</v>
      </c>
      <c r="BE485" s="100">
        <v>4</v>
      </c>
      <c r="BF485" s="100">
        <v>1</v>
      </c>
      <c r="BG485" s="100">
        <v>13</v>
      </c>
      <c r="BH485" s="341">
        <v>0.72907176720963707</v>
      </c>
      <c r="BI485" s="341">
        <v>5.6082443631510499E-2</v>
      </c>
      <c r="BJ485" s="342">
        <v>0.72907176720963707</v>
      </c>
    </row>
    <row r="486" spans="52:62" s="3" customFormat="1" ht="18" customHeight="1" x14ac:dyDescent="0.2">
      <c r="AZ486" s="39">
        <f t="shared" si="1"/>
        <v>401</v>
      </c>
      <c r="BA486" s="105">
        <v>32</v>
      </c>
      <c r="BB486" s="100">
        <v>9</v>
      </c>
      <c r="BC486" s="100">
        <v>4</v>
      </c>
      <c r="BD486" s="100">
        <v>7</v>
      </c>
      <c r="BE486" s="100">
        <v>4</v>
      </c>
      <c r="BF486" s="100">
        <v>1</v>
      </c>
      <c r="BG486" s="100">
        <v>13</v>
      </c>
      <c r="BH486" s="341">
        <v>0.69418967983088498</v>
      </c>
      <c r="BI486" s="341">
        <v>5.3399206140837298E-2</v>
      </c>
      <c r="BJ486" s="342">
        <v>0.69418967983088498</v>
      </c>
    </row>
    <row r="487" spans="52:62" s="3" customFormat="1" ht="18" customHeight="1" x14ac:dyDescent="0.2">
      <c r="AZ487" s="39">
        <f t="shared" si="1"/>
        <v>402</v>
      </c>
      <c r="BA487" s="105">
        <v>33</v>
      </c>
      <c r="BB487" s="100">
        <v>1</v>
      </c>
      <c r="BC487" s="100">
        <v>3</v>
      </c>
      <c r="BD487" s="100">
        <v>7</v>
      </c>
      <c r="BE487" s="100">
        <v>4</v>
      </c>
      <c r="BF487" s="100">
        <v>1</v>
      </c>
      <c r="BG487" s="100">
        <v>13</v>
      </c>
      <c r="BH487" s="341">
        <v>0.73658335852302004</v>
      </c>
      <c r="BI487" s="341">
        <v>5.6660258347924597E-2</v>
      </c>
      <c r="BJ487" s="342">
        <v>0.73658335852302004</v>
      </c>
    </row>
    <row r="488" spans="52:62" s="3" customFormat="1" ht="18" customHeight="1" x14ac:dyDescent="0.2">
      <c r="AZ488" s="39">
        <f t="shared" si="1"/>
        <v>403</v>
      </c>
      <c r="BA488" s="105">
        <v>33</v>
      </c>
      <c r="BB488" s="100">
        <v>1</v>
      </c>
      <c r="BC488" s="100">
        <v>4</v>
      </c>
      <c r="BD488" s="100">
        <v>7</v>
      </c>
      <c r="BE488" s="100">
        <v>4</v>
      </c>
      <c r="BF488" s="100">
        <v>1</v>
      </c>
      <c r="BG488" s="100">
        <v>13</v>
      </c>
      <c r="BH488" s="341">
        <v>0.70116165005735698</v>
      </c>
      <c r="BI488" s="341">
        <v>5.3935511542873613E-2</v>
      </c>
      <c r="BJ488" s="342">
        <v>0.70116165005735698</v>
      </c>
    </row>
    <row r="489" spans="52:62" s="3" customFormat="1" ht="18" customHeight="1" x14ac:dyDescent="0.2">
      <c r="AZ489" s="39">
        <f t="shared" si="1"/>
        <v>404</v>
      </c>
      <c r="BA489" s="105">
        <v>33</v>
      </c>
      <c r="BB489" s="100">
        <v>10</v>
      </c>
      <c r="BC489" s="100">
        <v>3</v>
      </c>
      <c r="BD489" s="100">
        <v>7</v>
      </c>
      <c r="BE489" s="100">
        <v>4</v>
      </c>
      <c r="BF489" s="100">
        <v>1</v>
      </c>
      <c r="BG489" s="100">
        <v>13</v>
      </c>
      <c r="BH489" s="341">
        <v>0.73370916011677412</v>
      </c>
      <c r="BI489" s="341">
        <v>5.6439166162828798E-2</v>
      </c>
      <c r="BJ489" s="342">
        <v>0.73370916011677412</v>
      </c>
    </row>
    <row r="490" spans="52:62" s="3" customFormat="1" ht="18" customHeight="1" x14ac:dyDescent="0.2">
      <c r="AZ490" s="39">
        <f t="shared" si="1"/>
        <v>405</v>
      </c>
      <c r="BA490" s="105">
        <v>33</v>
      </c>
      <c r="BB490" s="100">
        <v>10</v>
      </c>
      <c r="BC490" s="100">
        <v>4</v>
      </c>
      <c r="BD490" s="100">
        <v>7</v>
      </c>
      <c r="BE490" s="100">
        <v>4</v>
      </c>
      <c r="BF490" s="100">
        <v>1</v>
      </c>
      <c r="BG490" s="100">
        <v>13</v>
      </c>
      <c r="BH490" s="341">
        <v>0.69849411464925204</v>
      </c>
      <c r="BI490" s="341">
        <v>5.3730316511480913E-2</v>
      </c>
      <c r="BJ490" s="342">
        <v>0.69849411464925204</v>
      </c>
    </row>
    <row r="491" spans="52:62" s="3" customFormat="1" ht="18" customHeight="1" x14ac:dyDescent="0.2">
      <c r="AZ491" s="39">
        <f t="shared" si="1"/>
        <v>406</v>
      </c>
      <c r="BA491" s="105">
        <v>33</v>
      </c>
      <c r="BB491" s="100">
        <v>2</v>
      </c>
      <c r="BC491" s="100">
        <v>3</v>
      </c>
      <c r="BD491" s="100">
        <v>7</v>
      </c>
      <c r="BE491" s="100">
        <v>4</v>
      </c>
      <c r="BF491" s="100">
        <v>1</v>
      </c>
      <c r="BG491" s="100">
        <v>13</v>
      </c>
      <c r="BH491" s="341">
        <v>0.73359669514078096</v>
      </c>
      <c r="BI491" s="341">
        <v>5.6430515010829303E-2</v>
      </c>
      <c r="BJ491" s="342">
        <v>0.73359669514078096</v>
      </c>
    </row>
    <row r="492" spans="52:62" s="3" customFormat="1" ht="18" customHeight="1" x14ac:dyDescent="0.2">
      <c r="AZ492" s="39">
        <f t="shared" si="1"/>
        <v>407</v>
      </c>
      <c r="BA492" s="105">
        <v>33</v>
      </c>
      <c r="BB492" s="100">
        <v>2</v>
      </c>
      <c r="BC492" s="100">
        <v>4</v>
      </c>
      <c r="BD492" s="100">
        <v>7</v>
      </c>
      <c r="BE492" s="100">
        <v>4</v>
      </c>
      <c r="BF492" s="100">
        <v>1</v>
      </c>
      <c r="BG492" s="100">
        <v>13</v>
      </c>
      <c r="BH492" s="341">
        <v>0.69838973156980211</v>
      </c>
      <c r="BI492" s="341">
        <v>5.3722287043830898E-2</v>
      </c>
      <c r="BJ492" s="342">
        <v>0.69838973156980211</v>
      </c>
    </row>
    <row r="493" spans="52:62" s="3" customFormat="1" ht="18" customHeight="1" x14ac:dyDescent="0.2">
      <c r="AZ493" s="39">
        <f t="shared" si="1"/>
        <v>408</v>
      </c>
      <c r="BA493" s="105">
        <v>33</v>
      </c>
      <c r="BB493" s="100">
        <v>3</v>
      </c>
      <c r="BC493" s="100">
        <v>3</v>
      </c>
      <c r="BD493" s="100">
        <v>7</v>
      </c>
      <c r="BE493" s="100">
        <v>4</v>
      </c>
      <c r="BF493" s="100">
        <v>1</v>
      </c>
      <c r="BG493" s="100">
        <v>13</v>
      </c>
      <c r="BH493" s="341">
        <v>0.73440610522350103</v>
      </c>
      <c r="BI493" s="341">
        <v>5.6492777324884703E-2</v>
      </c>
      <c r="BJ493" s="342">
        <v>0.73440610522350103</v>
      </c>
    </row>
    <row r="494" spans="52:62" s="3" customFormat="1" ht="18" customHeight="1" x14ac:dyDescent="0.2">
      <c r="AZ494" s="39">
        <f t="shared" si="1"/>
        <v>409</v>
      </c>
      <c r="BA494" s="105">
        <v>33</v>
      </c>
      <c r="BB494" s="100">
        <v>3</v>
      </c>
      <c r="BC494" s="100">
        <v>4</v>
      </c>
      <c r="BD494" s="100">
        <v>7</v>
      </c>
      <c r="BE494" s="100">
        <v>4</v>
      </c>
      <c r="BF494" s="100">
        <v>1</v>
      </c>
      <c r="BG494" s="100">
        <v>13</v>
      </c>
      <c r="BH494" s="341">
        <v>0.69914096842863416</v>
      </c>
      <c r="BI494" s="341">
        <v>5.3780074494510298E-2</v>
      </c>
      <c r="BJ494" s="342">
        <v>0.69914096842863416</v>
      </c>
    </row>
    <row r="495" spans="52:62" s="3" customFormat="1" ht="18" customHeight="1" x14ac:dyDescent="0.2">
      <c r="AZ495" s="39">
        <f t="shared" si="1"/>
        <v>410</v>
      </c>
      <c r="BA495" s="105">
        <v>33</v>
      </c>
      <c r="BB495" s="100">
        <v>4</v>
      </c>
      <c r="BC495" s="100">
        <v>3</v>
      </c>
      <c r="BD495" s="100">
        <v>7</v>
      </c>
      <c r="BE495" s="100">
        <v>4</v>
      </c>
      <c r="BF495" s="100">
        <v>1</v>
      </c>
      <c r="BG495" s="100">
        <v>13</v>
      </c>
      <c r="BH495" s="341">
        <v>0.73492392189682698</v>
      </c>
      <c r="BI495" s="341">
        <v>5.6532609376678998E-2</v>
      </c>
      <c r="BJ495" s="342">
        <v>0.73492392189682698</v>
      </c>
    </row>
    <row r="496" spans="52:62" s="3" customFormat="1" ht="18" customHeight="1" x14ac:dyDescent="0.2">
      <c r="AZ496" s="39">
        <f t="shared" si="1"/>
        <v>411</v>
      </c>
      <c r="BA496" s="105">
        <v>33</v>
      </c>
      <c r="BB496" s="100">
        <v>4</v>
      </c>
      <c r="BC496" s="100">
        <v>4</v>
      </c>
      <c r="BD496" s="100">
        <v>7</v>
      </c>
      <c r="BE496" s="100">
        <v>4</v>
      </c>
      <c r="BF496" s="100">
        <v>1</v>
      </c>
      <c r="BG496" s="100">
        <v>13</v>
      </c>
      <c r="BH496" s="341">
        <v>0.69962155953584404</v>
      </c>
      <c r="BI496" s="341">
        <v>5.3817043041218697E-2</v>
      </c>
      <c r="BJ496" s="342">
        <v>0.69962155953584404</v>
      </c>
    </row>
    <row r="497" spans="52:62" s="3" customFormat="1" ht="18" customHeight="1" x14ac:dyDescent="0.2">
      <c r="AZ497" s="39">
        <f t="shared" si="1"/>
        <v>412</v>
      </c>
      <c r="BA497" s="105">
        <v>33</v>
      </c>
      <c r="BB497" s="100">
        <v>5</v>
      </c>
      <c r="BC497" s="100">
        <v>3</v>
      </c>
      <c r="BD497" s="100">
        <v>7</v>
      </c>
      <c r="BE497" s="100">
        <v>4</v>
      </c>
      <c r="BF497" s="100">
        <v>1</v>
      </c>
      <c r="BG497" s="100">
        <v>13</v>
      </c>
      <c r="BH497" s="341">
        <v>0.73589202014033306</v>
      </c>
      <c r="BI497" s="341">
        <v>5.6607078472333303E-2</v>
      </c>
      <c r="BJ497" s="342">
        <v>0.73589202014033306</v>
      </c>
    </row>
    <row r="498" spans="52:62" s="3" customFormat="1" ht="18" customHeight="1" x14ac:dyDescent="0.2">
      <c r="AZ498" s="39">
        <f t="shared" si="1"/>
        <v>413</v>
      </c>
      <c r="BA498" s="105">
        <v>33</v>
      </c>
      <c r="BB498" s="100">
        <v>5</v>
      </c>
      <c r="BC498" s="100">
        <v>4</v>
      </c>
      <c r="BD498" s="100">
        <v>7</v>
      </c>
      <c r="BE498" s="100">
        <v>4</v>
      </c>
      <c r="BF498" s="100">
        <v>1</v>
      </c>
      <c r="BG498" s="100">
        <v>13</v>
      </c>
      <c r="BH498" s="341">
        <v>0.70052004174469007</v>
      </c>
      <c r="BI498" s="341">
        <v>5.3886157057283807E-2</v>
      </c>
      <c r="BJ498" s="342">
        <v>0.70052004174469007</v>
      </c>
    </row>
    <row r="499" spans="52:62" s="3" customFormat="1" ht="18" customHeight="1" x14ac:dyDescent="0.2">
      <c r="AZ499" s="39">
        <f t="shared" si="1"/>
        <v>414</v>
      </c>
      <c r="BA499" s="105">
        <v>33</v>
      </c>
      <c r="BB499" s="100">
        <v>6</v>
      </c>
      <c r="BC499" s="100">
        <v>3</v>
      </c>
      <c r="BD499" s="100">
        <v>7</v>
      </c>
      <c r="BE499" s="100">
        <v>4</v>
      </c>
      <c r="BF499" s="100">
        <v>1</v>
      </c>
      <c r="BG499" s="100">
        <v>13</v>
      </c>
      <c r="BH499" s="341">
        <v>0.73340764643548695</v>
      </c>
      <c r="BI499" s="341">
        <v>5.6415972802729697E-2</v>
      </c>
      <c r="BJ499" s="342">
        <v>0.73340764643548695</v>
      </c>
    </row>
    <row r="500" spans="52:62" s="3" customFormat="1" ht="18" customHeight="1" x14ac:dyDescent="0.2">
      <c r="AZ500" s="39">
        <f t="shared" si="1"/>
        <v>415</v>
      </c>
      <c r="BA500" s="105">
        <v>33</v>
      </c>
      <c r="BB500" s="100">
        <v>6</v>
      </c>
      <c r="BC500" s="100">
        <v>4</v>
      </c>
      <c r="BD500" s="100">
        <v>7</v>
      </c>
      <c r="BE500" s="100">
        <v>4</v>
      </c>
      <c r="BF500" s="100">
        <v>1</v>
      </c>
      <c r="BG500" s="100">
        <v>13</v>
      </c>
      <c r="BH500" s="341">
        <v>0.69821426740710313</v>
      </c>
      <c r="BI500" s="341">
        <v>5.3708789800546407E-2</v>
      </c>
      <c r="BJ500" s="342">
        <v>0.69821426740710313</v>
      </c>
    </row>
    <row r="501" spans="52:62" s="3" customFormat="1" ht="18" customHeight="1" x14ac:dyDescent="0.2">
      <c r="AZ501" s="39">
        <f t="shared" si="1"/>
        <v>416</v>
      </c>
      <c r="BA501" s="105">
        <v>33</v>
      </c>
      <c r="BB501" s="100">
        <v>7</v>
      </c>
      <c r="BC501" s="100">
        <v>3</v>
      </c>
      <c r="BD501" s="100">
        <v>7</v>
      </c>
      <c r="BE501" s="100">
        <v>4</v>
      </c>
      <c r="BF501" s="100">
        <v>1</v>
      </c>
      <c r="BG501" s="100">
        <v>13</v>
      </c>
      <c r="BH501" s="341">
        <v>0.7360402314212231</v>
      </c>
      <c r="BI501" s="341">
        <v>5.6618479340094098E-2</v>
      </c>
      <c r="BJ501" s="342">
        <v>0.7360402314212231</v>
      </c>
    </row>
    <row r="502" spans="52:62" s="3" customFormat="1" ht="18" customHeight="1" x14ac:dyDescent="0.2">
      <c r="AZ502" s="39">
        <f t="shared" si="1"/>
        <v>417</v>
      </c>
      <c r="BA502" s="105">
        <v>33</v>
      </c>
      <c r="BB502" s="100">
        <v>7</v>
      </c>
      <c r="BC502" s="100">
        <v>4</v>
      </c>
      <c r="BD502" s="100">
        <v>7</v>
      </c>
      <c r="BE502" s="100">
        <v>4</v>
      </c>
      <c r="BF502" s="100">
        <v>1</v>
      </c>
      <c r="BG502" s="100">
        <v>13</v>
      </c>
      <c r="BH502" s="341">
        <v>0.70065759283893603</v>
      </c>
      <c r="BI502" s="341">
        <v>5.3896737910687408E-2</v>
      </c>
      <c r="BJ502" s="342">
        <v>0.70065759283893603</v>
      </c>
    </row>
    <row r="503" spans="52:62" s="3" customFormat="1" ht="18" customHeight="1" x14ac:dyDescent="0.2">
      <c r="AZ503" s="39">
        <f t="shared" si="1"/>
        <v>418</v>
      </c>
      <c r="BA503" s="105">
        <v>33</v>
      </c>
      <c r="BB503" s="100">
        <v>8</v>
      </c>
      <c r="BC503" s="100">
        <v>3</v>
      </c>
      <c r="BD503" s="100">
        <v>7</v>
      </c>
      <c r="BE503" s="100">
        <v>4</v>
      </c>
      <c r="BF503" s="100">
        <v>1</v>
      </c>
      <c r="BG503" s="100">
        <v>13</v>
      </c>
      <c r="BH503" s="341">
        <v>0.73669611407569913</v>
      </c>
      <c r="BI503" s="341">
        <v>5.6668931851976898E-2</v>
      </c>
      <c r="BJ503" s="342">
        <v>0.73669611407569913</v>
      </c>
    </row>
    <row r="504" spans="52:62" s="3" customFormat="1" ht="18" customHeight="1" x14ac:dyDescent="0.2">
      <c r="AZ504" s="39">
        <f t="shared" si="1"/>
        <v>419</v>
      </c>
      <c r="BA504" s="105">
        <v>33</v>
      </c>
      <c r="BB504" s="100">
        <v>8</v>
      </c>
      <c r="BC504" s="100">
        <v>4</v>
      </c>
      <c r="BD504" s="100">
        <v>7</v>
      </c>
      <c r="BE504" s="100">
        <v>4</v>
      </c>
      <c r="BF504" s="100">
        <v>1</v>
      </c>
      <c r="BG504" s="100">
        <v>13</v>
      </c>
      <c r="BH504" s="341">
        <v>0.70126629353121916</v>
      </c>
      <c r="BI504" s="341">
        <v>5.3943561040863001E-2</v>
      </c>
      <c r="BJ504" s="342">
        <v>0.70126629353121916</v>
      </c>
    </row>
    <row r="505" spans="52:62" s="3" customFormat="1" ht="18" customHeight="1" x14ac:dyDescent="0.2">
      <c r="AZ505" s="39">
        <f t="shared" si="1"/>
        <v>420</v>
      </c>
      <c r="BA505" s="105">
        <v>33</v>
      </c>
      <c r="BB505" s="100">
        <v>9</v>
      </c>
      <c r="BC505" s="100">
        <v>3</v>
      </c>
      <c r="BD505" s="100">
        <v>7</v>
      </c>
      <c r="BE505" s="100">
        <v>4</v>
      </c>
      <c r="BF505" s="100">
        <v>1</v>
      </c>
      <c r="BG505" s="100">
        <v>13</v>
      </c>
      <c r="BH505" s="341">
        <v>0.72907176720963707</v>
      </c>
      <c r="BI505" s="341">
        <v>5.6082443631510499E-2</v>
      </c>
      <c r="BJ505" s="342">
        <v>0.72907176720963707</v>
      </c>
    </row>
    <row r="506" spans="52:62" s="3" customFormat="1" ht="18.5" customHeight="1" x14ac:dyDescent="0.2">
      <c r="AZ506" s="56">
        <f t="shared" si="1"/>
        <v>421</v>
      </c>
      <c r="BA506" s="107">
        <v>33</v>
      </c>
      <c r="BB506" s="108">
        <v>9</v>
      </c>
      <c r="BC506" s="108">
        <v>4</v>
      </c>
      <c r="BD506" s="108">
        <v>7</v>
      </c>
      <c r="BE506" s="108">
        <v>4</v>
      </c>
      <c r="BF506" s="108">
        <v>1</v>
      </c>
      <c r="BG506" s="108">
        <v>13</v>
      </c>
      <c r="BH506" s="343">
        <v>0.69418967983088498</v>
      </c>
      <c r="BI506" s="343">
        <v>5.3399206140837298E-2</v>
      </c>
      <c r="BJ506" s="344">
        <v>0.69418967983088498</v>
      </c>
    </row>
  </sheetData>
  <mergeCells count="7">
    <mergeCell ref="F83:I83"/>
    <mergeCell ref="K83:N83"/>
    <mergeCell ref="Q83:R83"/>
    <mergeCell ref="AZ83:BJ83"/>
    <mergeCell ref="V84:Y84"/>
    <mergeCell ref="AQ84:AT84"/>
    <mergeCell ref="AZ84:BE84"/>
  </mergeCells>
  <pageMargins left="0.75" right="0.75" top="1" bottom="1" header="0.51180599999999998" footer="0.51180599999999998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crosstab_procedure</vt:lpstr>
      <vt:lpstr>timeMax</vt:lpstr>
      <vt:lpstr>quadprog</vt:lpstr>
      <vt:lpstr>linprog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2019-01-06T15:01:55Z</dcterms:modified>
</cp:coreProperties>
</file>